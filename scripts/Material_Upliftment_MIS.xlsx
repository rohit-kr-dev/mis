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ankaj Choudhary\Polymetalz\2025-26\"/>
    </mc:Choice>
  </mc:AlternateContent>
  <xr:revisionPtr revIDLastSave="0" documentId="13_ncr:1_{B2744F5A-349D-42B6-882B-0C92F0F28CC1}" xr6:coauthVersionLast="47" xr6:coauthVersionMax="47" xr10:uidLastSave="{00000000-0000-0000-0000-000000000000}"/>
  <bookViews>
    <workbookView xWindow="-108" yWindow="-108" windowWidth="23256" windowHeight="12456" tabRatio="818" activeTab="4" xr2:uid="{00000000-000D-0000-FFFF-FFFF00000000}"/>
  </bookViews>
  <sheets>
    <sheet name="Dropdown" sheetId="5" r:id="rId1"/>
    <sheet name="Items Master" sheetId="3" r:id="rId2"/>
    <sheet name="As per Zoho" sheetId="8" r:id="rId3"/>
    <sheet name="Master Check" sheetId="7" r:id="rId4"/>
    <sheet name="&lt;&lt; Working &gt;&gt;" sheetId="1" r:id="rId5"/>
    <sheet name="Supplier Wise Monthly" sheetId="2" r:id="rId6"/>
    <sheet name="Supplier Wise Yearly" sheetId="4" r:id="rId7"/>
    <sheet name="All Suppliers Monthly" sheetId="6" r:id="rId8"/>
  </sheets>
  <definedNames>
    <definedName name="_xlnm._FilterDatabase" localSheetId="4" hidden="1">'&lt;&lt; Working &gt;&gt;'!$A$2:$AR$1234</definedName>
    <definedName name="_xlnm._FilterDatabase" localSheetId="7" hidden="1">'All Suppliers Monthly'!$A$6:$M$66</definedName>
    <definedName name="_xlnm._FilterDatabase" localSheetId="2" hidden="1">'As per Zoho'!$A$2:$M$78</definedName>
    <definedName name="_xlnm._FilterDatabase" localSheetId="1" hidden="1">'Items Master'!$A$1:$F$1</definedName>
    <definedName name="_xlnm._FilterDatabase" localSheetId="3" hidden="1">'Master Check'!$A$3:$D$73</definedName>
    <definedName name="_xlnm._FilterDatabase" localSheetId="5" hidden="1">'Supplier Wise Monthly'!$A$6:$F$66</definedName>
    <definedName name="_xlnm._FilterDatabase" localSheetId="6" hidden="1">'Supplier Wise Yearly'!$A$6:$Q$66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721" i="1" l="1"/>
  <c r="AP721" i="1" s="1"/>
  <c r="R721" i="1"/>
  <c r="M721" i="1"/>
  <c r="L721" i="1"/>
  <c r="G721" i="1"/>
  <c r="E721" i="1"/>
  <c r="A722" i="1"/>
  <c r="A721" i="1"/>
  <c r="AN141" i="1"/>
  <c r="AP141" i="1" s="1"/>
  <c r="R141" i="1"/>
  <c r="M141" i="1"/>
  <c r="L141" i="1"/>
  <c r="G141" i="1"/>
  <c r="E141" i="1"/>
  <c r="AN1205" i="1"/>
  <c r="AP1205" i="1" s="1"/>
  <c r="AN1206" i="1"/>
  <c r="AP1206" i="1" s="1"/>
  <c r="AN1207" i="1"/>
  <c r="AP1207" i="1" s="1"/>
  <c r="AN1208" i="1"/>
  <c r="AP1208" i="1" s="1"/>
  <c r="AN1209" i="1"/>
  <c r="AP1209" i="1" s="1"/>
  <c r="AN1210" i="1"/>
  <c r="AP1210" i="1" s="1"/>
  <c r="AN1211" i="1"/>
  <c r="AP1211" i="1" s="1"/>
  <c r="AN1212" i="1"/>
  <c r="AP1212" i="1" s="1"/>
  <c r="AN1213" i="1"/>
  <c r="AP1213" i="1" s="1"/>
  <c r="AN1214" i="1"/>
  <c r="AP1214" i="1" s="1"/>
  <c r="AN1215" i="1"/>
  <c r="AP1215" i="1" s="1"/>
  <c r="AN1216" i="1"/>
  <c r="AP1216" i="1" s="1"/>
  <c r="AN1217" i="1"/>
  <c r="AP1217" i="1" s="1"/>
  <c r="AN1218" i="1"/>
  <c r="AP1218" i="1" s="1"/>
  <c r="AN1219" i="1"/>
  <c r="AP1219" i="1" s="1"/>
  <c r="AN1220" i="1"/>
  <c r="AP1220" i="1" s="1"/>
  <c r="AN1221" i="1"/>
  <c r="AP1221" i="1" s="1"/>
  <c r="AN1222" i="1"/>
  <c r="AP1222" i="1" s="1"/>
  <c r="AN1223" i="1"/>
  <c r="AP1223" i="1" s="1"/>
  <c r="AN1224" i="1"/>
  <c r="AP1224" i="1" s="1"/>
  <c r="AN1225" i="1"/>
  <c r="AP1225" i="1" s="1"/>
  <c r="AN1226" i="1"/>
  <c r="AP1226" i="1" s="1"/>
  <c r="AN1227" i="1"/>
  <c r="AP1227" i="1" s="1"/>
  <c r="AN1228" i="1"/>
  <c r="AP1228" i="1" s="1"/>
  <c r="AN1229" i="1"/>
  <c r="AP1229" i="1" s="1"/>
  <c r="AN1230" i="1"/>
  <c r="AP1230" i="1" s="1"/>
  <c r="AN1231" i="1"/>
  <c r="AP1231" i="1" s="1"/>
  <c r="AN1232" i="1"/>
  <c r="AP1232" i="1" s="1"/>
  <c r="AN1233" i="1"/>
  <c r="AP1233" i="1" s="1"/>
  <c r="AN1234" i="1"/>
  <c r="AP1234" i="1" s="1"/>
  <c r="Q1205" i="1"/>
  <c r="R1205" i="1" s="1"/>
  <c r="Q1206" i="1"/>
  <c r="R1206" i="1" s="1"/>
  <c r="Q1207" i="1"/>
  <c r="R1207" i="1" s="1"/>
  <c r="Q1208" i="1"/>
  <c r="R1208" i="1" s="1"/>
  <c r="Q1209" i="1"/>
  <c r="R1209" i="1" s="1"/>
  <c r="Q1210" i="1"/>
  <c r="R1210" i="1" s="1"/>
  <c r="Q1211" i="1"/>
  <c r="R1211" i="1" s="1"/>
  <c r="Q1212" i="1"/>
  <c r="R1212" i="1" s="1"/>
  <c r="Q1213" i="1"/>
  <c r="R1213" i="1" s="1"/>
  <c r="Q1214" i="1"/>
  <c r="R1214" i="1" s="1"/>
  <c r="Q1215" i="1"/>
  <c r="R1215" i="1" s="1"/>
  <c r="Q1216" i="1"/>
  <c r="R1216" i="1" s="1"/>
  <c r="Q1217" i="1"/>
  <c r="R1217" i="1" s="1"/>
  <c r="Q1218" i="1"/>
  <c r="R1218" i="1" s="1"/>
  <c r="Q1219" i="1"/>
  <c r="R1219" i="1" s="1"/>
  <c r="Q1220" i="1"/>
  <c r="R1220" i="1" s="1"/>
  <c r="Q1221" i="1"/>
  <c r="R1221" i="1" s="1"/>
  <c r="Q1222" i="1"/>
  <c r="R1222" i="1" s="1"/>
  <c r="Q1223" i="1"/>
  <c r="R1223" i="1" s="1"/>
  <c r="Q1224" i="1"/>
  <c r="R1224" i="1" s="1"/>
  <c r="Q1225" i="1"/>
  <c r="R1225" i="1" s="1"/>
  <c r="Q1226" i="1"/>
  <c r="R1226" i="1" s="1"/>
  <c r="Q1227" i="1"/>
  <c r="R1227" i="1" s="1"/>
  <c r="Q1228" i="1"/>
  <c r="R1228" i="1" s="1"/>
  <c r="Q1229" i="1"/>
  <c r="R1229" i="1" s="1"/>
  <c r="Q1230" i="1"/>
  <c r="R1230" i="1" s="1"/>
  <c r="Q1231" i="1"/>
  <c r="R1231" i="1" s="1"/>
  <c r="Q1232" i="1"/>
  <c r="R1232" i="1" s="1"/>
  <c r="Q1233" i="1"/>
  <c r="R1233" i="1" s="1"/>
  <c r="Q1234" i="1"/>
  <c r="R1234" i="1" s="1"/>
  <c r="L1205" i="1"/>
  <c r="M1205" i="1"/>
  <c r="L1206" i="1"/>
  <c r="M1206" i="1"/>
  <c r="L1207" i="1"/>
  <c r="M1207" i="1"/>
  <c r="L1208" i="1"/>
  <c r="M1208" i="1"/>
  <c r="L1209" i="1"/>
  <c r="M1209" i="1"/>
  <c r="L1210" i="1"/>
  <c r="M1210" i="1"/>
  <c r="L1211" i="1"/>
  <c r="M1211" i="1"/>
  <c r="L1212" i="1"/>
  <c r="M1212" i="1"/>
  <c r="L1213" i="1"/>
  <c r="M1213" i="1"/>
  <c r="L1214" i="1"/>
  <c r="M1214" i="1"/>
  <c r="L1215" i="1"/>
  <c r="M1215" i="1"/>
  <c r="L1216" i="1"/>
  <c r="M1216" i="1"/>
  <c r="L1217" i="1"/>
  <c r="M1217" i="1"/>
  <c r="L1218" i="1"/>
  <c r="M1218" i="1"/>
  <c r="L1219" i="1"/>
  <c r="M1219" i="1"/>
  <c r="L1220" i="1"/>
  <c r="M1220" i="1"/>
  <c r="L1221" i="1"/>
  <c r="M1221" i="1"/>
  <c r="L1222" i="1"/>
  <c r="M1222" i="1"/>
  <c r="L1223" i="1"/>
  <c r="M1223" i="1"/>
  <c r="L1224" i="1"/>
  <c r="M1224" i="1"/>
  <c r="L1225" i="1"/>
  <c r="M1225" i="1"/>
  <c r="L1226" i="1"/>
  <c r="M1226" i="1"/>
  <c r="L1227" i="1"/>
  <c r="M1227" i="1"/>
  <c r="L1228" i="1"/>
  <c r="M1228" i="1"/>
  <c r="L1229" i="1"/>
  <c r="M1229" i="1"/>
  <c r="L1230" i="1"/>
  <c r="M1230" i="1"/>
  <c r="L1231" i="1"/>
  <c r="M1231" i="1"/>
  <c r="L1232" i="1"/>
  <c r="M1232" i="1"/>
  <c r="L1233" i="1"/>
  <c r="M1233" i="1"/>
  <c r="L1234" i="1"/>
  <c r="M123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H1" i="8" l="1"/>
  <c r="AN1204" i="1" l="1"/>
  <c r="AN1203" i="1"/>
  <c r="AN1202" i="1"/>
  <c r="AN1201" i="1"/>
  <c r="AN1200" i="1"/>
  <c r="AN1199" i="1"/>
  <c r="AN1198" i="1"/>
  <c r="AN1197" i="1"/>
  <c r="AN1196" i="1"/>
  <c r="AN1195" i="1"/>
  <c r="AN1194" i="1"/>
  <c r="AN1193" i="1"/>
  <c r="AN1192" i="1"/>
  <c r="AN1191" i="1"/>
  <c r="AN1190" i="1"/>
  <c r="AN1189" i="1"/>
  <c r="AN1188" i="1"/>
  <c r="AN1187" i="1"/>
  <c r="AN1186" i="1"/>
  <c r="AN1185" i="1"/>
  <c r="AN1184" i="1"/>
  <c r="AN1183" i="1"/>
  <c r="AN1182" i="1"/>
  <c r="AN1181" i="1"/>
  <c r="AN1180" i="1"/>
  <c r="AN1179" i="1"/>
  <c r="AN1178" i="1"/>
  <c r="AN1177" i="1"/>
  <c r="AN1176" i="1"/>
  <c r="AN1175" i="1"/>
  <c r="AN1174" i="1"/>
  <c r="AN1173" i="1"/>
  <c r="AN1172" i="1"/>
  <c r="AN1171" i="1"/>
  <c r="AN1170" i="1"/>
  <c r="AN1169" i="1"/>
  <c r="AN1168" i="1"/>
  <c r="AN1167" i="1"/>
  <c r="AN1166" i="1"/>
  <c r="AN1165" i="1"/>
  <c r="AN1164" i="1"/>
  <c r="AN1163" i="1"/>
  <c r="AN1162" i="1"/>
  <c r="AN1161" i="1"/>
  <c r="AN1160" i="1"/>
  <c r="AN1159" i="1"/>
  <c r="AN1158" i="1"/>
  <c r="AN1157" i="1"/>
  <c r="AN1156" i="1"/>
  <c r="AN1155" i="1"/>
  <c r="AN1154" i="1"/>
  <c r="AN1153" i="1"/>
  <c r="AN1152" i="1"/>
  <c r="AN1151" i="1"/>
  <c r="AN1150" i="1"/>
  <c r="AN1149" i="1"/>
  <c r="AN1148" i="1"/>
  <c r="AN1147" i="1"/>
  <c r="AN1146" i="1"/>
  <c r="AN1145" i="1"/>
  <c r="AN1144" i="1"/>
  <c r="AN1143" i="1"/>
  <c r="AN1142" i="1"/>
  <c r="AN1141" i="1"/>
  <c r="AN1140" i="1"/>
  <c r="AN1139" i="1"/>
  <c r="AN1138" i="1"/>
  <c r="AN1137" i="1"/>
  <c r="AN1136" i="1"/>
  <c r="AN1135" i="1"/>
  <c r="AN1134" i="1"/>
  <c r="AN1133" i="1"/>
  <c r="AN1132" i="1"/>
  <c r="AN1131" i="1"/>
  <c r="AN1130" i="1"/>
  <c r="AN1129" i="1"/>
  <c r="AN1128" i="1"/>
  <c r="AN1127" i="1"/>
  <c r="AN1126" i="1"/>
  <c r="AN1125" i="1"/>
  <c r="AN1124" i="1"/>
  <c r="AN1123" i="1"/>
  <c r="AN1122" i="1"/>
  <c r="AN1121" i="1"/>
  <c r="AN1120" i="1"/>
  <c r="AN1119" i="1"/>
  <c r="AN1118" i="1"/>
  <c r="AN1117" i="1"/>
  <c r="AN1116" i="1"/>
  <c r="AN1115" i="1"/>
  <c r="AN1114" i="1"/>
  <c r="AN1113" i="1"/>
  <c r="AN1112" i="1"/>
  <c r="AN1111" i="1"/>
  <c r="AN1110" i="1"/>
  <c r="AN1109" i="1"/>
  <c r="AN1108" i="1"/>
  <c r="AN1107" i="1"/>
  <c r="AN1106" i="1"/>
  <c r="AN1105" i="1"/>
  <c r="AN1104" i="1"/>
  <c r="AN1103" i="1"/>
  <c r="AN1102" i="1"/>
  <c r="AN1101" i="1"/>
  <c r="AN1100" i="1"/>
  <c r="AN1099" i="1"/>
  <c r="AN1098" i="1"/>
  <c r="AN1097" i="1"/>
  <c r="AN1096" i="1"/>
  <c r="AN1095" i="1"/>
  <c r="AN1094" i="1"/>
  <c r="AN1093" i="1"/>
  <c r="AN1092" i="1"/>
  <c r="AN1091" i="1"/>
  <c r="AN1090" i="1"/>
  <c r="AN1089" i="1"/>
  <c r="AN1088" i="1"/>
  <c r="AN1087" i="1"/>
  <c r="AN1086" i="1"/>
  <c r="AN1085" i="1"/>
  <c r="AN1084" i="1"/>
  <c r="AN1083" i="1"/>
  <c r="AN1082" i="1"/>
  <c r="AN1081" i="1"/>
  <c r="AN1080" i="1"/>
  <c r="AN1079" i="1"/>
  <c r="AN1078" i="1"/>
  <c r="AN1077" i="1"/>
  <c r="AN1076" i="1"/>
  <c r="AN1075" i="1"/>
  <c r="AN1074" i="1"/>
  <c r="AN1073" i="1"/>
  <c r="AN1072" i="1"/>
  <c r="AN1071" i="1"/>
  <c r="AN1070" i="1"/>
  <c r="AN1069" i="1"/>
  <c r="AN1068" i="1"/>
  <c r="AN1067" i="1"/>
  <c r="AN1066" i="1"/>
  <c r="AN1065" i="1"/>
  <c r="AN1064" i="1"/>
  <c r="AN1063" i="1"/>
  <c r="AN1062" i="1"/>
  <c r="AN1061" i="1"/>
  <c r="AN1060" i="1"/>
  <c r="AN1059" i="1"/>
  <c r="AN1058" i="1"/>
  <c r="AN1057" i="1"/>
  <c r="AN1056" i="1"/>
  <c r="AN1055" i="1"/>
  <c r="AN1054" i="1"/>
  <c r="AN1053" i="1"/>
  <c r="AN1052" i="1"/>
  <c r="AN1051" i="1"/>
  <c r="AN1050" i="1"/>
  <c r="AN1049" i="1"/>
  <c r="AN1048" i="1"/>
  <c r="AN1047" i="1"/>
  <c r="AN1046" i="1"/>
  <c r="AN1045" i="1"/>
  <c r="AN1044" i="1"/>
  <c r="AN1043" i="1"/>
  <c r="AN1042" i="1"/>
  <c r="AN1041" i="1"/>
  <c r="AN1040" i="1"/>
  <c r="AN1039" i="1"/>
  <c r="AN1038" i="1"/>
  <c r="AN1037" i="1"/>
  <c r="AN1036" i="1"/>
  <c r="AN1035" i="1"/>
  <c r="AN1034" i="1"/>
  <c r="AN1033" i="1"/>
  <c r="AN1032" i="1"/>
  <c r="AN1031" i="1"/>
  <c r="AN1030" i="1"/>
  <c r="AN1029" i="1"/>
  <c r="AN1028" i="1"/>
  <c r="AN1027" i="1"/>
  <c r="AN1026" i="1"/>
  <c r="AN1025" i="1"/>
  <c r="AN1024" i="1"/>
  <c r="AN1023" i="1"/>
  <c r="AN1022" i="1"/>
  <c r="AN1021" i="1"/>
  <c r="AN1020" i="1"/>
  <c r="AN1019" i="1"/>
  <c r="AN1018" i="1"/>
  <c r="AN1017" i="1"/>
  <c r="AN1016" i="1"/>
  <c r="AN1015" i="1"/>
  <c r="AN1014" i="1"/>
  <c r="AN1013" i="1"/>
  <c r="AN1012" i="1"/>
  <c r="AN1011" i="1"/>
  <c r="AN1010" i="1"/>
  <c r="AN1009" i="1"/>
  <c r="AN1008" i="1"/>
  <c r="AN1007" i="1"/>
  <c r="AN1006" i="1"/>
  <c r="AN1005" i="1"/>
  <c r="AN1004" i="1"/>
  <c r="AN1003" i="1"/>
  <c r="AN1002" i="1"/>
  <c r="AN1001" i="1"/>
  <c r="AN1000" i="1"/>
  <c r="AN999" i="1"/>
  <c r="AN998" i="1"/>
  <c r="AN997" i="1"/>
  <c r="AN996" i="1"/>
  <c r="AN995" i="1"/>
  <c r="AN994" i="1"/>
  <c r="AN993" i="1"/>
  <c r="AN992" i="1"/>
  <c r="AN991" i="1"/>
  <c r="AN990" i="1"/>
  <c r="AN989" i="1"/>
  <c r="AN988" i="1"/>
  <c r="AN987" i="1"/>
  <c r="AN986" i="1"/>
  <c r="AN985" i="1"/>
  <c r="AN984" i="1"/>
  <c r="AN983" i="1"/>
  <c r="AN982" i="1"/>
  <c r="AN981" i="1"/>
  <c r="AN980" i="1"/>
  <c r="AN979" i="1"/>
  <c r="AN978" i="1"/>
  <c r="AN977" i="1"/>
  <c r="AN976" i="1"/>
  <c r="AN975" i="1"/>
  <c r="AN974" i="1"/>
  <c r="AN973" i="1"/>
  <c r="AN972" i="1"/>
  <c r="AN971" i="1"/>
  <c r="AN970" i="1"/>
  <c r="AN969" i="1"/>
  <c r="AN968" i="1"/>
  <c r="AN967" i="1"/>
  <c r="AN966" i="1"/>
  <c r="AN962" i="1"/>
  <c r="AN961" i="1"/>
  <c r="AN960" i="1"/>
  <c r="AN959" i="1"/>
  <c r="AN958" i="1"/>
  <c r="AN957" i="1"/>
  <c r="AN956" i="1"/>
  <c r="AN955" i="1"/>
  <c r="AN954" i="1"/>
  <c r="AN953" i="1"/>
  <c r="AN952" i="1"/>
  <c r="AN951" i="1"/>
  <c r="AN950" i="1"/>
  <c r="AN949" i="1"/>
  <c r="AN948" i="1"/>
  <c r="AN947" i="1"/>
  <c r="AN946" i="1"/>
  <c r="AN945" i="1"/>
  <c r="AN944" i="1"/>
  <c r="AN943" i="1"/>
  <c r="AN942" i="1"/>
  <c r="AN941" i="1"/>
  <c r="AN938" i="1"/>
  <c r="AN937" i="1"/>
  <c r="AN936" i="1"/>
  <c r="AN935" i="1"/>
  <c r="AN934" i="1"/>
  <c r="AN933" i="1"/>
  <c r="AN932" i="1"/>
  <c r="AN931" i="1"/>
  <c r="AN930" i="1"/>
  <c r="AN929" i="1"/>
  <c r="AN928" i="1"/>
  <c r="AN927" i="1"/>
  <c r="AN926" i="1"/>
  <c r="AN925" i="1"/>
  <c r="AN924" i="1"/>
  <c r="AN923" i="1"/>
  <c r="AN922" i="1"/>
  <c r="AN921" i="1"/>
  <c r="AN920" i="1"/>
  <c r="AN919" i="1"/>
  <c r="AN918" i="1"/>
  <c r="AN917" i="1"/>
  <c r="AN916" i="1"/>
  <c r="AN915" i="1"/>
  <c r="AN914" i="1"/>
  <c r="AN913" i="1"/>
  <c r="AN912" i="1"/>
  <c r="AN911" i="1"/>
  <c r="AN910" i="1"/>
  <c r="AN909" i="1"/>
  <c r="AN908" i="1"/>
  <c r="AN907" i="1"/>
  <c r="AN906" i="1"/>
  <c r="AN905" i="1"/>
  <c r="AN904" i="1"/>
  <c r="AN903" i="1"/>
  <c r="AN902" i="1"/>
  <c r="AN901" i="1"/>
  <c r="AN900" i="1"/>
  <c r="AN899" i="1"/>
  <c r="AN898" i="1"/>
  <c r="AN897" i="1"/>
  <c r="AN896" i="1"/>
  <c r="AN895" i="1"/>
  <c r="AN894" i="1"/>
  <c r="AN893" i="1"/>
  <c r="AN892" i="1"/>
  <c r="AN891" i="1"/>
  <c r="AN890" i="1"/>
  <c r="AN889" i="1"/>
  <c r="AN888" i="1"/>
  <c r="AN887" i="1"/>
  <c r="AN886" i="1"/>
  <c r="AN885" i="1"/>
  <c r="AN884" i="1"/>
  <c r="AN883" i="1"/>
  <c r="AN882" i="1"/>
  <c r="AN881" i="1"/>
  <c r="AN880" i="1"/>
  <c r="AN879" i="1"/>
  <c r="AN878" i="1"/>
  <c r="AN877" i="1"/>
  <c r="AN876" i="1"/>
  <c r="AN875" i="1"/>
  <c r="AN874" i="1"/>
  <c r="AN873" i="1"/>
  <c r="AN872" i="1"/>
  <c r="AN871" i="1"/>
  <c r="AN870" i="1"/>
  <c r="AN869" i="1"/>
  <c r="AN868" i="1"/>
  <c r="AN867" i="1"/>
  <c r="AN866" i="1"/>
  <c r="AN865" i="1"/>
  <c r="AN864" i="1"/>
  <c r="AN863" i="1"/>
  <c r="AN862" i="1"/>
  <c r="AN861" i="1"/>
  <c r="AN860" i="1"/>
  <c r="AN859" i="1"/>
  <c r="AN858" i="1"/>
  <c r="AN857" i="1"/>
  <c r="AN856" i="1"/>
  <c r="AN855" i="1"/>
  <c r="AN854" i="1"/>
  <c r="AN853" i="1"/>
  <c r="AN852" i="1"/>
  <c r="AN851" i="1"/>
  <c r="AN850" i="1"/>
  <c r="AN849" i="1"/>
  <c r="AN848" i="1"/>
  <c r="AN847" i="1"/>
  <c r="AN846" i="1"/>
  <c r="AN845" i="1"/>
  <c r="AN844" i="1"/>
  <c r="AN843" i="1"/>
  <c r="AN842" i="1"/>
  <c r="AN841" i="1"/>
  <c r="AN840" i="1"/>
  <c r="AN839" i="1"/>
  <c r="AN838" i="1"/>
  <c r="AN837" i="1"/>
  <c r="AN836" i="1"/>
  <c r="AN835" i="1"/>
  <c r="AN834" i="1"/>
  <c r="AN833" i="1"/>
  <c r="AN832" i="1"/>
  <c r="AN831" i="1"/>
  <c r="AN830" i="1"/>
  <c r="AN829" i="1"/>
  <c r="AN828" i="1"/>
  <c r="AN827" i="1"/>
  <c r="AN826" i="1"/>
  <c r="AN825" i="1"/>
  <c r="AN824" i="1"/>
  <c r="AN823" i="1"/>
  <c r="AN822" i="1"/>
  <c r="AN821" i="1"/>
  <c r="AN820" i="1"/>
  <c r="AN819" i="1"/>
  <c r="AN818" i="1"/>
  <c r="AN817" i="1"/>
  <c r="AN816" i="1"/>
  <c r="AN815" i="1"/>
  <c r="AN814" i="1"/>
  <c r="AN813" i="1"/>
  <c r="AN812" i="1"/>
  <c r="AN811" i="1"/>
  <c r="AN810" i="1"/>
  <c r="AN809" i="1"/>
  <c r="AN808" i="1"/>
  <c r="AN807" i="1"/>
  <c r="AN806" i="1"/>
  <c r="AN805" i="1"/>
  <c r="AN804" i="1"/>
  <c r="AN803" i="1"/>
  <c r="AN802" i="1"/>
  <c r="AN801" i="1"/>
  <c r="AN800" i="1"/>
  <c r="AN799" i="1"/>
  <c r="AN798" i="1"/>
  <c r="AN797" i="1"/>
  <c r="AN796" i="1"/>
  <c r="AN795" i="1"/>
  <c r="AN794" i="1"/>
  <c r="AN793" i="1"/>
  <c r="AN792" i="1"/>
  <c r="AN791" i="1"/>
  <c r="AN790" i="1"/>
  <c r="AN789" i="1"/>
  <c r="AN788" i="1"/>
  <c r="AN787" i="1"/>
  <c r="AN786" i="1"/>
  <c r="AN785" i="1"/>
  <c r="AN784" i="1"/>
  <c r="AN783" i="1"/>
  <c r="AN782" i="1"/>
  <c r="AN781" i="1"/>
  <c r="AN780" i="1"/>
  <c r="AN779" i="1"/>
  <c r="AN778" i="1"/>
  <c r="AN777" i="1"/>
  <c r="AN776" i="1"/>
  <c r="AN775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7" i="1"/>
  <c r="AN756" i="1"/>
  <c r="AN755" i="1"/>
  <c r="AN754" i="1"/>
  <c r="AN753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P1173" i="1" l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Q1174" i="1"/>
  <c r="Q1175" i="1"/>
  <c r="Q1176" i="1"/>
  <c r="Q1177" i="1"/>
  <c r="Q1178" i="1"/>
  <c r="Q1179" i="1"/>
  <c r="Q1180" i="1"/>
  <c r="R1180" i="1" s="1"/>
  <c r="Q1181" i="1"/>
  <c r="R1181" i="1" s="1"/>
  <c r="Q1182" i="1"/>
  <c r="R1182" i="1" s="1"/>
  <c r="Q1183" i="1"/>
  <c r="Q1184" i="1"/>
  <c r="R1184" i="1" s="1"/>
  <c r="Q1185" i="1"/>
  <c r="R1185" i="1" s="1"/>
  <c r="Q1186" i="1"/>
  <c r="R1186" i="1" s="1"/>
  <c r="Q1187" i="1"/>
  <c r="R1187" i="1" s="1"/>
  <c r="Q1188" i="1"/>
  <c r="R1188" i="1" s="1"/>
  <c r="Q1189" i="1"/>
  <c r="R1189" i="1" s="1"/>
  <c r="Q1190" i="1"/>
  <c r="R1190" i="1" s="1"/>
  <c r="Q1191" i="1"/>
  <c r="R1191" i="1" s="1"/>
  <c r="Q1192" i="1"/>
  <c r="R1192" i="1" s="1"/>
  <c r="Q1193" i="1"/>
  <c r="R1193" i="1" s="1"/>
  <c r="Q1194" i="1"/>
  <c r="R1194" i="1" s="1"/>
  <c r="Q1195" i="1"/>
  <c r="R1195" i="1" s="1"/>
  <c r="Q1196" i="1"/>
  <c r="R1196" i="1" s="1"/>
  <c r="Q1197" i="1"/>
  <c r="R1197" i="1" s="1"/>
  <c r="Q1198" i="1"/>
  <c r="R1198" i="1" s="1"/>
  <c r="Q1199" i="1"/>
  <c r="Q1200" i="1"/>
  <c r="R1200" i="1" s="1"/>
  <c r="Q1201" i="1"/>
  <c r="R1201" i="1" s="1"/>
  <c r="Q1202" i="1"/>
  <c r="R1202" i="1" s="1"/>
  <c r="Q1203" i="1"/>
  <c r="R1203" i="1" s="1"/>
  <c r="Q1204" i="1"/>
  <c r="R1204" i="1" s="1"/>
  <c r="Q1173" i="1"/>
  <c r="R1173" i="1" s="1"/>
  <c r="R1174" i="1"/>
  <c r="R1175" i="1"/>
  <c r="R1176" i="1"/>
  <c r="R1177" i="1"/>
  <c r="R1178" i="1"/>
  <c r="R1179" i="1"/>
  <c r="R1183" i="1"/>
  <c r="R1199" i="1"/>
  <c r="L1173" i="1" l="1"/>
  <c r="M1173" i="1"/>
  <c r="L1174" i="1"/>
  <c r="M1174" i="1"/>
  <c r="L1175" i="1"/>
  <c r="M1175" i="1"/>
  <c r="L1176" i="1"/>
  <c r="M1176" i="1"/>
  <c r="L1177" i="1"/>
  <c r="M1177" i="1"/>
  <c r="L1178" i="1"/>
  <c r="M1178" i="1"/>
  <c r="L1179" i="1"/>
  <c r="M1179" i="1"/>
  <c r="L1180" i="1"/>
  <c r="M1180" i="1"/>
  <c r="L1181" i="1"/>
  <c r="M1181" i="1"/>
  <c r="L1182" i="1"/>
  <c r="M1182" i="1"/>
  <c r="L1183" i="1"/>
  <c r="M1183" i="1"/>
  <c r="L1184" i="1"/>
  <c r="M1184" i="1"/>
  <c r="L1185" i="1"/>
  <c r="M1185" i="1"/>
  <c r="L1186" i="1"/>
  <c r="M1186" i="1"/>
  <c r="L1187" i="1"/>
  <c r="M1187" i="1"/>
  <c r="L1188" i="1"/>
  <c r="M1188" i="1"/>
  <c r="L1189" i="1"/>
  <c r="M1189" i="1"/>
  <c r="L1190" i="1"/>
  <c r="M1190" i="1"/>
  <c r="L1191" i="1"/>
  <c r="M1191" i="1"/>
  <c r="L1192" i="1"/>
  <c r="M1192" i="1"/>
  <c r="L1193" i="1"/>
  <c r="M1193" i="1"/>
  <c r="L1194" i="1"/>
  <c r="M1194" i="1"/>
  <c r="L1195" i="1"/>
  <c r="M1195" i="1"/>
  <c r="L1196" i="1"/>
  <c r="M1196" i="1"/>
  <c r="L1197" i="1"/>
  <c r="M1197" i="1"/>
  <c r="L1198" i="1"/>
  <c r="M1198" i="1"/>
  <c r="L1199" i="1"/>
  <c r="M1199" i="1"/>
  <c r="L1200" i="1"/>
  <c r="M1200" i="1"/>
  <c r="L1201" i="1"/>
  <c r="M1201" i="1"/>
  <c r="L1202" i="1"/>
  <c r="M1202" i="1"/>
  <c r="L1203" i="1"/>
  <c r="M1203" i="1"/>
  <c r="L1204" i="1"/>
  <c r="M1204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172" i="1"/>
  <c r="X757" i="1" l="1"/>
  <c r="AP748" i="1" l="1"/>
  <c r="R748" i="1"/>
  <c r="M748" i="1"/>
  <c r="L748" i="1"/>
  <c r="G748" i="1"/>
  <c r="E748" i="1"/>
  <c r="AF965" i="1" l="1"/>
  <c r="AN965" i="1" s="1"/>
  <c r="AF964" i="1"/>
  <c r="AN964" i="1" s="1"/>
  <c r="AF963" i="1"/>
  <c r="AN963" i="1" s="1"/>
  <c r="AF940" i="1"/>
  <c r="AN940" i="1" s="1"/>
  <c r="AF939" i="1"/>
  <c r="AN939" i="1" s="1"/>
  <c r="W1165" i="1" l="1"/>
  <c r="W1164" i="1"/>
  <c r="W1163" i="1"/>
  <c r="W1162" i="1"/>
  <c r="W1161" i="1"/>
  <c r="W1160" i="1"/>
  <c r="W1154" i="1"/>
  <c r="W1151" i="1"/>
  <c r="W1149" i="1"/>
  <c r="W1145" i="1"/>
  <c r="W1143" i="1"/>
  <c r="W1142" i="1"/>
  <c r="W1141" i="1"/>
  <c r="W1140" i="1"/>
  <c r="AP1140" i="1" s="1"/>
  <c r="W1139" i="1"/>
  <c r="W1138" i="1"/>
  <c r="W1134" i="1"/>
  <c r="W1130" i="1"/>
  <c r="W1124" i="1"/>
  <c r="W1123" i="1"/>
  <c r="W1122" i="1"/>
  <c r="W1119" i="1"/>
  <c r="W1118" i="1"/>
  <c r="W1115" i="1"/>
  <c r="W1110" i="1"/>
  <c r="W1108" i="1"/>
  <c r="W1107" i="1"/>
  <c r="W1106" i="1"/>
  <c r="AP1106" i="1" s="1"/>
  <c r="W1100" i="1"/>
  <c r="W1097" i="1"/>
  <c r="W1096" i="1"/>
  <c r="W1095" i="1"/>
  <c r="W1094" i="1"/>
  <c r="W1089" i="1"/>
  <c r="W1088" i="1"/>
  <c r="W1087" i="1"/>
  <c r="W1086" i="1"/>
  <c r="W1085" i="1"/>
  <c r="W1064" i="1"/>
  <c r="W1063" i="1"/>
  <c r="W1060" i="1"/>
  <c r="W1051" i="1"/>
  <c r="W1049" i="1"/>
  <c r="AP1049" i="1" s="1"/>
  <c r="W1048" i="1"/>
  <c r="W1047" i="1"/>
  <c r="W1046" i="1"/>
  <c r="W1043" i="1"/>
  <c r="W1038" i="1"/>
  <c r="W1037" i="1"/>
  <c r="W1033" i="1"/>
  <c r="W1032" i="1"/>
  <c r="W1031" i="1"/>
  <c r="W1024" i="1"/>
  <c r="W1008" i="1"/>
  <c r="W990" i="1"/>
  <c r="W989" i="1"/>
  <c r="W982" i="1"/>
  <c r="W977" i="1"/>
  <c r="W967" i="1"/>
  <c r="W966" i="1"/>
  <c r="W961" i="1"/>
  <c r="W960" i="1"/>
  <c r="W955" i="1"/>
  <c r="W954" i="1"/>
  <c r="W953" i="1"/>
  <c r="W952" i="1"/>
  <c r="AP952" i="1" s="1"/>
  <c r="W951" i="1"/>
  <c r="W949" i="1"/>
  <c r="W948" i="1"/>
  <c r="W946" i="1"/>
  <c r="W942" i="1"/>
  <c r="W923" i="1"/>
  <c r="W919" i="1"/>
  <c r="AP919" i="1" s="1"/>
  <c r="W918" i="1"/>
  <c r="W916" i="1"/>
  <c r="W915" i="1"/>
  <c r="W913" i="1"/>
  <c r="W912" i="1"/>
  <c r="W911" i="1"/>
  <c r="W903" i="1"/>
  <c r="W895" i="1"/>
  <c r="AP895" i="1" s="1"/>
  <c r="W894" i="1"/>
  <c r="W880" i="1"/>
  <c r="W879" i="1"/>
  <c r="W878" i="1"/>
  <c r="W877" i="1"/>
  <c r="AP881" i="1"/>
  <c r="AP882" i="1"/>
  <c r="AP883" i="1"/>
  <c r="AP884" i="1"/>
  <c r="AP885" i="1"/>
  <c r="AP886" i="1"/>
  <c r="AP887" i="1"/>
  <c r="AP889" i="1"/>
  <c r="AP890" i="1"/>
  <c r="AP891" i="1"/>
  <c r="AP892" i="1"/>
  <c r="AP893" i="1"/>
  <c r="AP896" i="1"/>
  <c r="AP897" i="1"/>
  <c r="AP898" i="1"/>
  <c r="AP899" i="1"/>
  <c r="AP900" i="1"/>
  <c r="AP901" i="1"/>
  <c r="AP902" i="1"/>
  <c r="AP904" i="1"/>
  <c r="AP905" i="1"/>
  <c r="AP906" i="1"/>
  <c r="AP907" i="1"/>
  <c r="AP908" i="1"/>
  <c r="AP909" i="1"/>
  <c r="AP910" i="1"/>
  <c r="AP914" i="1"/>
  <c r="AP917" i="1"/>
  <c r="AP920" i="1"/>
  <c r="AP921" i="1"/>
  <c r="AP922" i="1"/>
  <c r="AP924" i="1"/>
  <c r="AP925" i="1"/>
  <c r="AP926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3" i="1"/>
  <c r="AP944" i="1"/>
  <c r="AP945" i="1"/>
  <c r="AP947" i="1"/>
  <c r="AP950" i="1"/>
  <c r="AP956" i="1"/>
  <c r="AP957" i="1"/>
  <c r="AP958" i="1"/>
  <c r="AP962" i="1"/>
  <c r="AP963" i="1"/>
  <c r="AP964" i="1"/>
  <c r="AP965" i="1"/>
  <c r="AP968" i="1"/>
  <c r="AP969" i="1"/>
  <c r="AP970" i="1"/>
  <c r="AP971" i="1"/>
  <c r="AP972" i="1"/>
  <c r="AP973" i="1"/>
  <c r="AP974" i="1"/>
  <c r="AP975" i="1"/>
  <c r="AP976" i="1"/>
  <c r="AP978" i="1"/>
  <c r="AP979" i="1"/>
  <c r="AP980" i="1"/>
  <c r="AP981" i="1"/>
  <c r="AP983" i="1"/>
  <c r="AP984" i="1"/>
  <c r="AP985" i="1"/>
  <c r="AP986" i="1"/>
  <c r="AP987" i="1"/>
  <c r="AP988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5" i="1"/>
  <c r="AP1026" i="1"/>
  <c r="AP1027" i="1"/>
  <c r="AP1028" i="1"/>
  <c r="AP1029" i="1"/>
  <c r="AP1030" i="1"/>
  <c r="AP1034" i="1"/>
  <c r="AP1035" i="1"/>
  <c r="AP1036" i="1"/>
  <c r="AP1039" i="1"/>
  <c r="AP1040" i="1"/>
  <c r="AP1041" i="1"/>
  <c r="AP1042" i="1"/>
  <c r="AP1044" i="1"/>
  <c r="AP1045" i="1"/>
  <c r="AP1050" i="1"/>
  <c r="AP1052" i="1"/>
  <c r="AP1053" i="1"/>
  <c r="AP1054" i="1"/>
  <c r="AP1055" i="1"/>
  <c r="AP1056" i="1"/>
  <c r="AP1057" i="1"/>
  <c r="AP1058" i="1"/>
  <c r="AP1059" i="1"/>
  <c r="AP1061" i="1"/>
  <c r="AP1062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90" i="1"/>
  <c r="AP1091" i="1"/>
  <c r="AP1092" i="1"/>
  <c r="AP1093" i="1"/>
  <c r="AP1098" i="1"/>
  <c r="AP1099" i="1"/>
  <c r="AP1101" i="1"/>
  <c r="AP1102" i="1"/>
  <c r="AP1103" i="1"/>
  <c r="AP1104" i="1"/>
  <c r="AP1105" i="1"/>
  <c r="AP1109" i="1"/>
  <c r="AP1112" i="1"/>
  <c r="AP1113" i="1"/>
  <c r="AP1114" i="1"/>
  <c r="AP1116" i="1"/>
  <c r="AP1117" i="1"/>
  <c r="AP1120" i="1"/>
  <c r="AP1121" i="1"/>
  <c r="AP1125" i="1"/>
  <c r="AP1126" i="1"/>
  <c r="AP1127" i="1"/>
  <c r="AP1129" i="1"/>
  <c r="AP1131" i="1"/>
  <c r="AP1132" i="1"/>
  <c r="AP1133" i="1"/>
  <c r="AP1135" i="1"/>
  <c r="AP1136" i="1"/>
  <c r="AP1137" i="1"/>
  <c r="AP1144" i="1"/>
  <c r="AP1146" i="1"/>
  <c r="AP1147" i="1"/>
  <c r="AP1148" i="1"/>
  <c r="AP1150" i="1"/>
  <c r="AP1152" i="1"/>
  <c r="AP1153" i="1"/>
  <c r="AP1155" i="1"/>
  <c r="AP1156" i="1"/>
  <c r="AP1157" i="1"/>
  <c r="AP1158" i="1"/>
  <c r="AP1159" i="1"/>
  <c r="AP1162" i="1"/>
  <c r="AP1166" i="1"/>
  <c r="AP1167" i="1"/>
  <c r="AP1168" i="1"/>
  <c r="AP1169" i="1"/>
  <c r="AP1170" i="1"/>
  <c r="AP1171" i="1"/>
  <c r="AP1172" i="1"/>
  <c r="Q878" i="1"/>
  <c r="R878" i="1" s="1"/>
  <c r="Q879" i="1"/>
  <c r="R879" i="1" s="1"/>
  <c r="Q880" i="1"/>
  <c r="R880" i="1" s="1"/>
  <c r="Q881" i="1"/>
  <c r="R881" i="1" s="1"/>
  <c r="Q882" i="1"/>
  <c r="R882" i="1" s="1"/>
  <c r="Q883" i="1"/>
  <c r="R883" i="1" s="1"/>
  <c r="Q884" i="1"/>
  <c r="R884" i="1" s="1"/>
  <c r="Q885" i="1"/>
  <c r="R885" i="1" s="1"/>
  <c r="Q886" i="1"/>
  <c r="R886" i="1" s="1"/>
  <c r="Q887" i="1"/>
  <c r="R887" i="1" s="1"/>
  <c r="Q888" i="1"/>
  <c r="R888" i="1" s="1"/>
  <c r="Q889" i="1"/>
  <c r="R889" i="1" s="1"/>
  <c r="Q890" i="1"/>
  <c r="R890" i="1" s="1"/>
  <c r="Q891" i="1"/>
  <c r="R891" i="1" s="1"/>
  <c r="Q892" i="1"/>
  <c r="R892" i="1" s="1"/>
  <c r="Q893" i="1"/>
  <c r="R893" i="1" s="1"/>
  <c r="Q894" i="1"/>
  <c r="R894" i="1" s="1"/>
  <c r="Q895" i="1"/>
  <c r="R895" i="1" s="1"/>
  <c r="Q896" i="1"/>
  <c r="R896" i="1" s="1"/>
  <c r="Q897" i="1"/>
  <c r="R897" i="1" s="1"/>
  <c r="Q898" i="1"/>
  <c r="R898" i="1" s="1"/>
  <c r="Q899" i="1"/>
  <c r="R899" i="1" s="1"/>
  <c r="Q900" i="1"/>
  <c r="R900" i="1" s="1"/>
  <c r="Q901" i="1"/>
  <c r="R901" i="1" s="1"/>
  <c r="Q902" i="1"/>
  <c r="R902" i="1" s="1"/>
  <c r="Q903" i="1"/>
  <c r="R903" i="1" s="1"/>
  <c r="Q904" i="1"/>
  <c r="R904" i="1" s="1"/>
  <c r="Q905" i="1"/>
  <c r="R905" i="1" s="1"/>
  <c r="Q906" i="1"/>
  <c r="R906" i="1" s="1"/>
  <c r="Q907" i="1"/>
  <c r="R907" i="1" s="1"/>
  <c r="Q908" i="1"/>
  <c r="R908" i="1" s="1"/>
  <c r="Q909" i="1"/>
  <c r="R909" i="1" s="1"/>
  <c r="Q910" i="1"/>
  <c r="R910" i="1" s="1"/>
  <c r="Q911" i="1"/>
  <c r="R911" i="1" s="1"/>
  <c r="Q912" i="1"/>
  <c r="R912" i="1" s="1"/>
  <c r="Q913" i="1"/>
  <c r="R913" i="1" s="1"/>
  <c r="Q914" i="1"/>
  <c r="R914" i="1" s="1"/>
  <c r="Q915" i="1"/>
  <c r="R915" i="1" s="1"/>
  <c r="Q916" i="1"/>
  <c r="R916" i="1" s="1"/>
  <c r="Q917" i="1"/>
  <c r="R917" i="1" s="1"/>
  <c r="Q918" i="1"/>
  <c r="R918" i="1" s="1"/>
  <c r="Q919" i="1"/>
  <c r="R919" i="1" s="1"/>
  <c r="Q920" i="1"/>
  <c r="R920" i="1" s="1"/>
  <c r="Q921" i="1"/>
  <c r="R921" i="1" s="1"/>
  <c r="Q922" i="1"/>
  <c r="R922" i="1" s="1"/>
  <c r="Q923" i="1"/>
  <c r="R923" i="1" s="1"/>
  <c r="Q924" i="1"/>
  <c r="R924" i="1" s="1"/>
  <c r="Q925" i="1"/>
  <c r="R925" i="1" s="1"/>
  <c r="Q926" i="1"/>
  <c r="R926" i="1" s="1"/>
  <c r="Q927" i="1"/>
  <c r="R927" i="1" s="1"/>
  <c r="Q928" i="1"/>
  <c r="R928" i="1" s="1"/>
  <c r="Q929" i="1"/>
  <c r="R929" i="1" s="1"/>
  <c r="Q930" i="1"/>
  <c r="R930" i="1" s="1"/>
  <c r="Q931" i="1"/>
  <c r="R931" i="1" s="1"/>
  <c r="Q932" i="1"/>
  <c r="R932" i="1" s="1"/>
  <c r="Q933" i="1"/>
  <c r="R933" i="1" s="1"/>
  <c r="Q934" i="1"/>
  <c r="R934" i="1" s="1"/>
  <c r="Q935" i="1"/>
  <c r="R935" i="1" s="1"/>
  <c r="Q936" i="1"/>
  <c r="R936" i="1" s="1"/>
  <c r="Q937" i="1"/>
  <c r="R937" i="1" s="1"/>
  <c r="Q938" i="1"/>
  <c r="R938" i="1" s="1"/>
  <c r="Q939" i="1"/>
  <c r="R939" i="1" s="1"/>
  <c r="Q940" i="1"/>
  <c r="R940" i="1" s="1"/>
  <c r="Q941" i="1"/>
  <c r="R941" i="1" s="1"/>
  <c r="Q942" i="1"/>
  <c r="R942" i="1" s="1"/>
  <c r="Q943" i="1"/>
  <c r="R943" i="1" s="1"/>
  <c r="Q944" i="1"/>
  <c r="R944" i="1" s="1"/>
  <c r="Q945" i="1"/>
  <c r="R945" i="1" s="1"/>
  <c r="Q946" i="1"/>
  <c r="R946" i="1" s="1"/>
  <c r="Q947" i="1"/>
  <c r="R947" i="1" s="1"/>
  <c r="Q948" i="1"/>
  <c r="R948" i="1" s="1"/>
  <c r="Q949" i="1"/>
  <c r="R949" i="1" s="1"/>
  <c r="Q950" i="1"/>
  <c r="R950" i="1" s="1"/>
  <c r="Q951" i="1"/>
  <c r="R951" i="1" s="1"/>
  <c r="Q952" i="1"/>
  <c r="R952" i="1" s="1"/>
  <c r="Q953" i="1"/>
  <c r="R953" i="1" s="1"/>
  <c r="Q954" i="1"/>
  <c r="R954" i="1" s="1"/>
  <c r="Q955" i="1"/>
  <c r="R955" i="1" s="1"/>
  <c r="Q956" i="1"/>
  <c r="R956" i="1" s="1"/>
  <c r="Q957" i="1"/>
  <c r="R957" i="1" s="1"/>
  <c r="Q958" i="1"/>
  <c r="R958" i="1" s="1"/>
  <c r="Q959" i="1"/>
  <c r="R959" i="1" s="1"/>
  <c r="Q960" i="1"/>
  <c r="R960" i="1" s="1"/>
  <c r="Q961" i="1"/>
  <c r="R961" i="1" s="1"/>
  <c r="Q962" i="1"/>
  <c r="R962" i="1" s="1"/>
  <c r="Q963" i="1"/>
  <c r="R963" i="1" s="1"/>
  <c r="Q964" i="1"/>
  <c r="R964" i="1" s="1"/>
  <c r="Q965" i="1"/>
  <c r="R965" i="1" s="1"/>
  <c r="Q966" i="1"/>
  <c r="R966" i="1" s="1"/>
  <c r="Q967" i="1"/>
  <c r="R967" i="1" s="1"/>
  <c r="Q968" i="1"/>
  <c r="R968" i="1" s="1"/>
  <c r="Q969" i="1"/>
  <c r="R969" i="1" s="1"/>
  <c r="Q970" i="1"/>
  <c r="R970" i="1" s="1"/>
  <c r="Q971" i="1"/>
  <c r="R971" i="1" s="1"/>
  <c r="Q972" i="1"/>
  <c r="R972" i="1" s="1"/>
  <c r="Q973" i="1"/>
  <c r="R973" i="1" s="1"/>
  <c r="Q974" i="1"/>
  <c r="R974" i="1" s="1"/>
  <c r="Q975" i="1"/>
  <c r="R975" i="1" s="1"/>
  <c r="Q976" i="1"/>
  <c r="R976" i="1" s="1"/>
  <c r="Q977" i="1"/>
  <c r="R977" i="1" s="1"/>
  <c r="Q978" i="1"/>
  <c r="R978" i="1" s="1"/>
  <c r="Q979" i="1"/>
  <c r="R979" i="1" s="1"/>
  <c r="Q980" i="1"/>
  <c r="R980" i="1" s="1"/>
  <c r="Q981" i="1"/>
  <c r="R981" i="1" s="1"/>
  <c r="Q982" i="1"/>
  <c r="R982" i="1" s="1"/>
  <c r="Q983" i="1"/>
  <c r="R983" i="1" s="1"/>
  <c r="Q984" i="1"/>
  <c r="R984" i="1" s="1"/>
  <c r="Q985" i="1"/>
  <c r="R985" i="1" s="1"/>
  <c r="Q986" i="1"/>
  <c r="R986" i="1" s="1"/>
  <c r="Q987" i="1"/>
  <c r="R987" i="1" s="1"/>
  <c r="Q988" i="1"/>
  <c r="R988" i="1" s="1"/>
  <c r="Q989" i="1"/>
  <c r="R989" i="1" s="1"/>
  <c r="Q990" i="1"/>
  <c r="R990" i="1" s="1"/>
  <c r="Q991" i="1"/>
  <c r="R991" i="1" s="1"/>
  <c r="Q992" i="1"/>
  <c r="R992" i="1" s="1"/>
  <c r="Q993" i="1"/>
  <c r="R993" i="1" s="1"/>
  <c r="Q994" i="1"/>
  <c r="R994" i="1" s="1"/>
  <c r="Q995" i="1"/>
  <c r="R995" i="1" s="1"/>
  <c r="Q996" i="1"/>
  <c r="R996" i="1" s="1"/>
  <c r="Q997" i="1"/>
  <c r="R997" i="1" s="1"/>
  <c r="Q998" i="1"/>
  <c r="R998" i="1" s="1"/>
  <c r="Q999" i="1"/>
  <c r="R999" i="1" s="1"/>
  <c r="Q1000" i="1"/>
  <c r="R1000" i="1" s="1"/>
  <c r="Q1001" i="1"/>
  <c r="R1001" i="1" s="1"/>
  <c r="Q1002" i="1"/>
  <c r="R1002" i="1" s="1"/>
  <c r="Q1003" i="1"/>
  <c r="R1003" i="1" s="1"/>
  <c r="Q1004" i="1"/>
  <c r="R1004" i="1" s="1"/>
  <c r="Q1005" i="1"/>
  <c r="R1005" i="1" s="1"/>
  <c r="Q1006" i="1"/>
  <c r="R1006" i="1" s="1"/>
  <c r="Q1007" i="1"/>
  <c r="R1007" i="1" s="1"/>
  <c r="Q1008" i="1"/>
  <c r="R1008" i="1" s="1"/>
  <c r="Q1009" i="1"/>
  <c r="R1009" i="1" s="1"/>
  <c r="Q1010" i="1"/>
  <c r="R1010" i="1" s="1"/>
  <c r="Q1011" i="1"/>
  <c r="R1011" i="1" s="1"/>
  <c r="Q1012" i="1"/>
  <c r="R1012" i="1" s="1"/>
  <c r="Q1015" i="1"/>
  <c r="R1015" i="1" s="1"/>
  <c r="Q1016" i="1"/>
  <c r="R1016" i="1" s="1"/>
  <c r="Q1017" i="1"/>
  <c r="R1017" i="1" s="1"/>
  <c r="Q1018" i="1"/>
  <c r="R1018" i="1" s="1"/>
  <c r="Q1019" i="1"/>
  <c r="R1019" i="1" s="1"/>
  <c r="Q1020" i="1"/>
  <c r="R1020" i="1" s="1"/>
  <c r="Q1021" i="1"/>
  <c r="R1021" i="1" s="1"/>
  <c r="Q1022" i="1"/>
  <c r="R1022" i="1" s="1"/>
  <c r="Q1023" i="1"/>
  <c r="R1023" i="1" s="1"/>
  <c r="Q1024" i="1"/>
  <c r="R1024" i="1" s="1"/>
  <c r="Q1025" i="1"/>
  <c r="R1025" i="1" s="1"/>
  <c r="Q1026" i="1"/>
  <c r="R1026" i="1" s="1"/>
  <c r="Q1027" i="1"/>
  <c r="R1027" i="1" s="1"/>
  <c r="Q1029" i="1"/>
  <c r="R1029" i="1" s="1"/>
  <c r="Q1030" i="1"/>
  <c r="R1030" i="1" s="1"/>
  <c r="Q1031" i="1"/>
  <c r="R1031" i="1" s="1"/>
  <c r="Q1032" i="1"/>
  <c r="R1032" i="1" s="1"/>
  <c r="Q1033" i="1"/>
  <c r="R1033" i="1" s="1"/>
  <c r="Q1034" i="1"/>
  <c r="R1034" i="1" s="1"/>
  <c r="Q1035" i="1"/>
  <c r="R1035" i="1" s="1"/>
  <c r="Q1036" i="1"/>
  <c r="R1036" i="1" s="1"/>
  <c r="Q1037" i="1"/>
  <c r="R1037" i="1" s="1"/>
  <c r="Q1038" i="1"/>
  <c r="R1038" i="1" s="1"/>
  <c r="Q1039" i="1"/>
  <c r="R1039" i="1" s="1"/>
  <c r="Q1040" i="1"/>
  <c r="R1040" i="1" s="1"/>
  <c r="Q1041" i="1"/>
  <c r="R1041" i="1" s="1"/>
  <c r="Q1042" i="1"/>
  <c r="R1042" i="1" s="1"/>
  <c r="Q1043" i="1"/>
  <c r="R1043" i="1" s="1"/>
  <c r="Q1044" i="1"/>
  <c r="R1044" i="1" s="1"/>
  <c r="Q1045" i="1"/>
  <c r="R1045" i="1" s="1"/>
  <c r="Q1046" i="1"/>
  <c r="R1046" i="1" s="1"/>
  <c r="Q1047" i="1"/>
  <c r="R1047" i="1" s="1"/>
  <c r="Q1048" i="1"/>
  <c r="R1048" i="1" s="1"/>
  <c r="Q1049" i="1"/>
  <c r="R1049" i="1" s="1"/>
  <c r="Q1050" i="1"/>
  <c r="R1050" i="1" s="1"/>
  <c r="Q1051" i="1"/>
  <c r="R1051" i="1" s="1"/>
  <c r="Q1052" i="1"/>
  <c r="R1052" i="1" s="1"/>
  <c r="Q1053" i="1"/>
  <c r="R1053" i="1" s="1"/>
  <c r="Q1054" i="1"/>
  <c r="R1054" i="1" s="1"/>
  <c r="Q1055" i="1"/>
  <c r="R1055" i="1" s="1"/>
  <c r="Q1056" i="1"/>
  <c r="R1056" i="1" s="1"/>
  <c r="Q1057" i="1"/>
  <c r="R1057" i="1" s="1"/>
  <c r="Q1058" i="1"/>
  <c r="R1058" i="1" s="1"/>
  <c r="Q1059" i="1"/>
  <c r="R1059" i="1" s="1"/>
  <c r="Q1060" i="1"/>
  <c r="R1060" i="1" s="1"/>
  <c r="Q1061" i="1"/>
  <c r="R1061" i="1" s="1"/>
  <c r="Q1062" i="1"/>
  <c r="R1062" i="1" s="1"/>
  <c r="Q1063" i="1"/>
  <c r="R1063" i="1" s="1"/>
  <c r="Q1064" i="1"/>
  <c r="R1064" i="1" s="1"/>
  <c r="Q1065" i="1"/>
  <c r="R1065" i="1" s="1"/>
  <c r="Q1066" i="1"/>
  <c r="R1066" i="1" s="1"/>
  <c r="Q1067" i="1"/>
  <c r="R1067" i="1" s="1"/>
  <c r="Q1068" i="1"/>
  <c r="R1068" i="1" s="1"/>
  <c r="Q1069" i="1"/>
  <c r="R1069" i="1" s="1"/>
  <c r="Q1070" i="1"/>
  <c r="R1070" i="1" s="1"/>
  <c r="Q1071" i="1"/>
  <c r="R1071" i="1" s="1"/>
  <c r="Q1072" i="1"/>
  <c r="R1072" i="1" s="1"/>
  <c r="Q1073" i="1"/>
  <c r="R1073" i="1" s="1"/>
  <c r="Q1074" i="1"/>
  <c r="R1074" i="1" s="1"/>
  <c r="Q1075" i="1"/>
  <c r="R1075" i="1" s="1"/>
  <c r="Q1076" i="1"/>
  <c r="R1076" i="1" s="1"/>
  <c r="Q1077" i="1"/>
  <c r="R1077" i="1" s="1"/>
  <c r="Q1078" i="1"/>
  <c r="R1078" i="1" s="1"/>
  <c r="Q1079" i="1"/>
  <c r="R1079" i="1" s="1"/>
  <c r="Q1080" i="1"/>
  <c r="R1080" i="1" s="1"/>
  <c r="Q1081" i="1"/>
  <c r="R1081" i="1" s="1"/>
  <c r="Q1082" i="1"/>
  <c r="R1082" i="1" s="1"/>
  <c r="Q1083" i="1"/>
  <c r="R1083" i="1" s="1"/>
  <c r="Q1084" i="1"/>
  <c r="R1084" i="1" s="1"/>
  <c r="Q1085" i="1"/>
  <c r="R1085" i="1" s="1"/>
  <c r="Q1086" i="1"/>
  <c r="R1086" i="1" s="1"/>
  <c r="Q1087" i="1"/>
  <c r="R1087" i="1" s="1"/>
  <c r="Q1088" i="1"/>
  <c r="R1088" i="1" s="1"/>
  <c r="Q1089" i="1"/>
  <c r="R1089" i="1" s="1"/>
  <c r="Q1090" i="1"/>
  <c r="R1090" i="1" s="1"/>
  <c r="Q1091" i="1"/>
  <c r="R1091" i="1" s="1"/>
  <c r="Q1092" i="1"/>
  <c r="R1092" i="1" s="1"/>
  <c r="Q1093" i="1"/>
  <c r="R1093" i="1" s="1"/>
  <c r="Q1094" i="1"/>
  <c r="R1094" i="1" s="1"/>
  <c r="Q1095" i="1"/>
  <c r="R1095" i="1" s="1"/>
  <c r="Q1096" i="1"/>
  <c r="R1096" i="1" s="1"/>
  <c r="Q1097" i="1"/>
  <c r="R1097" i="1" s="1"/>
  <c r="Q1098" i="1"/>
  <c r="R1098" i="1" s="1"/>
  <c r="Q1099" i="1"/>
  <c r="R1099" i="1" s="1"/>
  <c r="Q1100" i="1"/>
  <c r="R1100" i="1" s="1"/>
  <c r="Q1101" i="1"/>
  <c r="R1101" i="1" s="1"/>
  <c r="Q1102" i="1"/>
  <c r="R1102" i="1" s="1"/>
  <c r="Q1103" i="1"/>
  <c r="R1103" i="1" s="1"/>
  <c r="Q1104" i="1"/>
  <c r="R1104" i="1" s="1"/>
  <c r="Q1105" i="1"/>
  <c r="R1105" i="1" s="1"/>
  <c r="Q1106" i="1"/>
  <c r="R1106" i="1" s="1"/>
  <c r="Q1107" i="1"/>
  <c r="R1107" i="1" s="1"/>
  <c r="Q1108" i="1"/>
  <c r="R1108" i="1" s="1"/>
  <c r="Q1109" i="1"/>
  <c r="R1109" i="1" s="1"/>
  <c r="Q1110" i="1"/>
  <c r="R1110" i="1" s="1"/>
  <c r="Q1111" i="1"/>
  <c r="R1111" i="1" s="1"/>
  <c r="Q1112" i="1"/>
  <c r="R1112" i="1" s="1"/>
  <c r="Q1113" i="1"/>
  <c r="R1113" i="1" s="1"/>
  <c r="Q1114" i="1"/>
  <c r="R1114" i="1" s="1"/>
  <c r="Q1115" i="1"/>
  <c r="R1115" i="1" s="1"/>
  <c r="Q1116" i="1"/>
  <c r="R1116" i="1" s="1"/>
  <c r="Q1117" i="1"/>
  <c r="R1117" i="1" s="1"/>
  <c r="Q1118" i="1"/>
  <c r="R1118" i="1" s="1"/>
  <c r="Q1119" i="1"/>
  <c r="R1119" i="1" s="1"/>
  <c r="Q1120" i="1"/>
  <c r="R1120" i="1" s="1"/>
  <c r="Q1121" i="1"/>
  <c r="R1121" i="1" s="1"/>
  <c r="Q1122" i="1"/>
  <c r="R1122" i="1" s="1"/>
  <c r="Q1123" i="1"/>
  <c r="R1123" i="1" s="1"/>
  <c r="Q1124" i="1"/>
  <c r="R1124" i="1" s="1"/>
  <c r="Q1125" i="1"/>
  <c r="R1125" i="1" s="1"/>
  <c r="Q1126" i="1"/>
  <c r="R1126" i="1" s="1"/>
  <c r="Q1127" i="1"/>
  <c r="R1127" i="1" s="1"/>
  <c r="Q1128" i="1"/>
  <c r="R1128" i="1" s="1"/>
  <c r="Q1129" i="1"/>
  <c r="R1129" i="1" s="1"/>
  <c r="Q1130" i="1"/>
  <c r="R1130" i="1" s="1"/>
  <c r="Q1131" i="1"/>
  <c r="R1131" i="1" s="1"/>
  <c r="Q1132" i="1"/>
  <c r="R1132" i="1" s="1"/>
  <c r="Q1133" i="1"/>
  <c r="R1133" i="1" s="1"/>
  <c r="Q1134" i="1"/>
  <c r="R1134" i="1" s="1"/>
  <c r="Q1135" i="1"/>
  <c r="R1135" i="1" s="1"/>
  <c r="Q1136" i="1"/>
  <c r="R1136" i="1" s="1"/>
  <c r="Q1137" i="1"/>
  <c r="R1137" i="1" s="1"/>
  <c r="Q1138" i="1"/>
  <c r="R1138" i="1" s="1"/>
  <c r="Q1139" i="1"/>
  <c r="R1139" i="1" s="1"/>
  <c r="Q1140" i="1"/>
  <c r="R1140" i="1" s="1"/>
  <c r="Q1141" i="1"/>
  <c r="R1141" i="1" s="1"/>
  <c r="Q1142" i="1"/>
  <c r="R1142" i="1" s="1"/>
  <c r="Q1143" i="1"/>
  <c r="R1143" i="1" s="1"/>
  <c r="Q1144" i="1"/>
  <c r="R1144" i="1" s="1"/>
  <c r="Q1145" i="1"/>
  <c r="R1145" i="1" s="1"/>
  <c r="Q1146" i="1"/>
  <c r="R1146" i="1" s="1"/>
  <c r="Q1147" i="1"/>
  <c r="R1147" i="1" s="1"/>
  <c r="Q1148" i="1"/>
  <c r="R1148" i="1" s="1"/>
  <c r="Q1149" i="1"/>
  <c r="R1149" i="1" s="1"/>
  <c r="Q1150" i="1"/>
  <c r="R1150" i="1" s="1"/>
  <c r="Q1151" i="1"/>
  <c r="R1151" i="1" s="1"/>
  <c r="Q1152" i="1"/>
  <c r="R1152" i="1" s="1"/>
  <c r="Q1153" i="1"/>
  <c r="R1153" i="1" s="1"/>
  <c r="Q1154" i="1"/>
  <c r="R1154" i="1" s="1"/>
  <c r="Q1155" i="1"/>
  <c r="R1155" i="1" s="1"/>
  <c r="R1156" i="1"/>
  <c r="R1157" i="1"/>
  <c r="R1158" i="1"/>
  <c r="R1159" i="1"/>
  <c r="Q1160" i="1"/>
  <c r="R1160" i="1" s="1"/>
  <c r="Q1161" i="1"/>
  <c r="R1161" i="1" s="1"/>
  <c r="Q1162" i="1"/>
  <c r="R1162" i="1" s="1"/>
  <c r="Q1163" i="1"/>
  <c r="R1163" i="1" s="1"/>
  <c r="Q1164" i="1"/>
  <c r="R1164" i="1" s="1"/>
  <c r="Q1165" i="1"/>
  <c r="R1165" i="1" s="1"/>
  <c r="R1166" i="1"/>
  <c r="Q1167" i="1"/>
  <c r="R1167" i="1" s="1"/>
  <c r="Q1168" i="1"/>
  <c r="R1168" i="1" s="1"/>
  <c r="Q1169" i="1"/>
  <c r="R1169" i="1" s="1"/>
  <c r="Q1170" i="1"/>
  <c r="R1170" i="1" s="1"/>
  <c r="R1171" i="1"/>
  <c r="Q1172" i="1"/>
  <c r="R1172" i="1" s="1"/>
  <c r="Q877" i="1"/>
  <c r="R877" i="1" s="1"/>
  <c r="R1013" i="1"/>
  <c r="R1014" i="1"/>
  <c r="R1028" i="1"/>
  <c r="AP888" i="1"/>
  <c r="AP927" i="1"/>
  <c r="AP959" i="1"/>
  <c r="AP1007" i="1"/>
  <c r="AP1111" i="1"/>
  <c r="AP1128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94" i="1"/>
  <c r="M894" i="1"/>
  <c r="L895" i="1"/>
  <c r="M895" i="1"/>
  <c r="L889" i="1"/>
  <c r="M889" i="1"/>
  <c r="L890" i="1"/>
  <c r="M890" i="1"/>
  <c r="L896" i="1"/>
  <c r="M896" i="1"/>
  <c r="L897" i="1"/>
  <c r="M897" i="1"/>
  <c r="L898" i="1"/>
  <c r="M898" i="1"/>
  <c r="L899" i="1"/>
  <c r="M899" i="1"/>
  <c r="L900" i="1"/>
  <c r="M900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7" i="1"/>
  <c r="M937" i="1"/>
  <c r="L938" i="1"/>
  <c r="M938" i="1"/>
  <c r="L931" i="1"/>
  <c r="M931" i="1"/>
  <c r="L932" i="1"/>
  <c r="M932" i="1"/>
  <c r="L939" i="1"/>
  <c r="M939" i="1"/>
  <c r="L940" i="1"/>
  <c r="M940" i="1"/>
  <c r="L941" i="1"/>
  <c r="M941" i="1"/>
  <c r="L942" i="1"/>
  <c r="M942" i="1"/>
  <c r="L948" i="1"/>
  <c r="M948" i="1"/>
  <c r="L949" i="1"/>
  <c r="M949" i="1"/>
  <c r="L943" i="1"/>
  <c r="M943" i="1"/>
  <c r="L944" i="1"/>
  <c r="M944" i="1"/>
  <c r="L950" i="1"/>
  <c r="M950" i="1"/>
  <c r="L951" i="1"/>
  <c r="M951" i="1"/>
  <c r="L952" i="1"/>
  <c r="M952" i="1"/>
  <c r="L953" i="1"/>
  <c r="M953" i="1"/>
  <c r="L954" i="1"/>
  <c r="M954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6" i="1"/>
  <c r="M966" i="1"/>
  <c r="L967" i="1"/>
  <c r="M967" i="1"/>
  <c r="L963" i="1"/>
  <c r="M963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8" i="1"/>
  <c r="M978" i="1"/>
  <c r="L975" i="1"/>
  <c r="M975" i="1"/>
  <c r="L976" i="1"/>
  <c r="M976" i="1"/>
  <c r="L979" i="1"/>
  <c r="M979" i="1"/>
  <c r="L980" i="1"/>
  <c r="M980" i="1"/>
  <c r="L981" i="1"/>
  <c r="M981" i="1"/>
  <c r="L982" i="1"/>
  <c r="M982" i="1"/>
  <c r="L983" i="1"/>
  <c r="M983" i="1"/>
  <c r="L989" i="1"/>
  <c r="M989" i="1"/>
  <c r="L990" i="1"/>
  <c r="M990" i="1"/>
  <c r="L991" i="1"/>
  <c r="M991" i="1"/>
  <c r="L992" i="1"/>
  <c r="M992" i="1"/>
  <c r="L993" i="1"/>
  <c r="M993" i="1"/>
  <c r="L994" i="1"/>
  <c r="M994" i="1"/>
  <c r="L995" i="1"/>
  <c r="M995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6" i="1"/>
  <c r="M1016" i="1"/>
  <c r="L1017" i="1"/>
  <c r="M1017" i="1"/>
  <c r="L1018" i="1"/>
  <c r="M1018" i="1"/>
  <c r="L1019" i="1"/>
  <c r="M1019" i="1"/>
  <c r="L1020" i="1"/>
  <c r="M1020" i="1"/>
  <c r="L1021" i="1"/>
  <c r="M1021" i="1"/>
  <c r="L1022" i="1"/>
  <c r="M1022" i="1"/>
  <c r="L1025" i="1"/>
  <c r="M1025" i="1"/>
  <c r="L1029" i="1"/>
  <c r="M1029" i="1"/>
  <c r="L1030" i="1"/>
  <c r="M1030" i="1"/>
  <c r="L1031" i="1"/>
  <c r="M1031" i="1"/>
  <c r="L1032" i="1"/>
  <c r="M1032" i="1"/>
  <c r="L1033" i="1"/>
  <c r="M1033" i="1"/>
  <c r="L1038" i="1"/>
  <c r="M1038" i="1"/>
  <c r="L1039" i="1"/>
  <c r="M1039" i="1"/>
  <c r="L1040" i="1"/>
  <c r="M1040" i="1"/>
  <c r="L1043" i="1"/>
  <c r="M1043" i="1"/>
  <c r="L1044" i="1"/>
  <c r="M1044" i="1"/>
  <c r="L1045" i="1"/>
  <c r="M1045" i="1"/>
  <c r="L1046" i="1"/>
  <c r="M1046" i="1"/>
  <c r="L1047" i="1"/>
  <c r="M1047" i="1"/>
  <c r="L1049" i="1"/>
  <c r="M1049" i="1"/>
  <c r="L1050" i="1"/>
  <c r="M1050" i="1"/>
  <c r="L1051" i="1"/>
  <c r="M1051" i="1"/>
  <c r="L1052" i="1"/>
  <c r="M1052" i="1"/>
  <c r="L1056" i="1"/>
  <c r="M1056" i="1"/>
  <c r="L1057" i="1"/>
  <c r="M1057" i="1"/>
  <c r="L1058" i="1"/>
  <c r="M1058" i="1"/>
  <c r="L1059" i="1"/>
  <c r="M1059" i="1"/>
  <c r="L1060" i="1"/>
  <c r="M1060" i="1"/>
  <c r="L1063" i="1"/>
  <c r="M1063" i="1"/>
  <c r="L1064" i="1"/>
  <c r="M1064" i="1"/>
  <c r="L1065" i="1"/>
  <c r="M1065" i="1"/>
  <c r="L1067" i="1"/>
  <c r="M1067" i="1"/>
  <c r="L1068" i="1"/>
  <c r="M1068" i="1"/>
  <c r="L1069" i="1"/>
  <c r="M1069" i="1"/>
  <c r="L1070" i="1"/>
  <c r="M1070" i="1"/>
  <c r="L1071" i="1"/>
  <c r="M1071" i="1"/>
  <c r="L1072" i="1"/>
  <c r="M1072" i="1"/>
  <c r="L1073" i="1"/>
  <c r="M1073" i="1"/>
  <c r="L1074" i="1"/>
  <c r="M1074" i="1"/>
  <c r="L1075" i="1"/>
  <c r="M1075" i="1"/>
  <c r="L1076" i="1"/>
  <c r="M1076" i="1"/>
  <c r="L1077" i="1"/>
  <c r="M1077" i="1"/>
  <c r="L1078" i="1"/>
  <c r="M1078" i="1"/>
  <c r="L1079" i="1"/>
  <c r="M1079" i="1"/>
  <c r="L1080" i="1"/>
  <c r="M1080" i="1"/>
  <c r="L1081" i="1"/>
  <c r="M1081" i="1"/>
  <c r="L1082" i="1"/>
  <c r="M1082" i="1"/>
  <c r="L1083" i="1"/>
  <c r="M1083" i="1"/>
  <c r="L1012" i="1"/>
  <c r="M1012" i="1"/>
  <c r="L1085" i="1"/>
  <c r="M1085" i="1"/>
  <c r="L1086" i="1"/>
  <c r="M1086" i="1"/>
  <c r="L1087" i="1"/>
  <c r="M1087" i="1"/>
  <c r="L1088" i="1"/>
  <c r="M1088" i="1"/>
  <c r="L1089" i="1"/>
  <c r="M1089" i="1"/>
  <c r="L1090" i="1"/>
  <c r="M1090" i="1"/>
  <c r="L1091" i="1"/>
  <c r="M1091" i="1"/>
  <c r="L1094" i="1"/>
  <c r="M1094" i="1"/>
  <c r="L1095" i="1"/>
  <c r="M1095" i="1"/>
  <c r="L1096" i="1"/>
  <c r="M1096" i="1"/>
  <c r="L1097" i="1"/>
  <c r="M1097" i="1"/>
  <c r="L1092" i="1"/>
  <c r="M1092" i="1"/>
  <c r="L1098" i="1"/>
  <c r="M1098" i="1"/>
  <c r="L1099" i="1"/>
  <c r="M1099" i="1"/>
  <c r="L1100" i="1"/>
  <c r="M1100" i="1"/>
  <c r="L1101" i="1"/>
  <c r="M1101" i="1"/>
  <c r="L1102" i="1"/>
  <c r="M1102" i="1"/>
  <c r="L1105" i="1"/>
  <c r="M1105" i="1"/>
  <c r="L1103" i="1"/>
  <c r="M1103" i="1"/>
  <c r="L1106" i="1"/>
  <c r="M1106" i="1"/>
  <c r="L1107" i="1"/>
  <c r="M1107" i="1"/>
  <c r="L1108" i="1"/>
  <c r="M1108" i="1"/>
  <c r="L1109" i="1"/>
  <c r="M1109" i="1"/>
  <c r="L1110" i="1"/>
  <c r="M1110" i="1"/>
  <c r="L1111" i="1"/>
  <c r="M1111" i="1"/>
  <c r="L1112" i="1"/>
  <c r="M1112" i="1"/>
  <c r="L1113" i="1"/>
  <c r="M1113" i="1"/>
  <c r="L1114" i="1"/>
  <c r="M1114" i="1"/>
  <c r="L1115" i="1"/>
  <c r="M1115" i="1"/>
  <c r="L1116" i="1"/>
  <c r="M1116" i="1"/>
  <c r="L1117" i="1"/>
  <c r="M1117" i="1"/>
  <c r="L1118" i="1"/>
  <c r="M1118" i="1"/>
  <c r="L1119" i="1"/>
  <c r="M1119" i="1"/>
  <c r="L1120" i="1"/>
  <c r="M1120" i="1"/>
  <c r="L1122" i="1"/>
  <c r="M1122" i="1"/>
  <c r="L1123" i="1"/>
  <c r="M1123" i="1"/>
  <c r="L1124" i="1"/>
  <c r="M1124" i="1"/>
  <c r="L1128" i="1"/>
  <c r="M1128" i="1"/>
  <c r="L1129" i="1"/>
  <c r="M1129" i="1"/>
  <c r="L1130" i="1"/>
  <c r="M1130" i="1"/>
  <c r="L1131" i="1"/>
  <c r="M1131" i="1"/>
  <c r="L1133" i="1"/>
  <c r="M1133" i="1"/>
  <c r="L1134" i="1"/>
  <c r="M1134" i="1"/>
  <c r="L1135" i="1"/>
  <c r="M1135" i="1"/>
  <c r="L1136" i="1"/>
  <c r="M1136" i="1"/>
  <c r="L1138" i="1"/>
  <c r="M1138" i="1"/>
  <c r="L1140" i="1"/>
  <c r="M1140" i="1"/>
  <c r="L1141" i="1"/>
  <c r="M1141" i="1"/>
  <c r="L1142" i="1"/>
  <c r="M1142" i="1"/>
  <c r="L1145" i="1"/>
  <c r="M1145" i="1"/>
  <c r="L1146" i="1"/>
  <c r="M1146" i="1"/>
  <c r="L1147" i="1"/>
  <c r="M1147" i="1"/>
  <c r="L1148" i="1"/>
  <c r="M1148" i="1"/>
  <c r="L1154" i="1"/>
  <c r="M1154" i="1"/>
  <c r="L1155" i="1"/>
  <c r="M1155" i="1"/>
  <c r="L1149" i="1"/>
  <c r="M1149" i="1"/>
  <c r="L1158" i="1"/>
  <c r="M1158" i="1"/>
  <c r="L1159" i="1"/>
  <c r="M1159" i="1"/>
  <c r="L1143" i="1"/>
  <c r="M1143" i="1"/>
  <c r="L1160" i="1"/>
  <c r="M1160" i="1"/>
  <c r="L1161" i="1"/>
  <c r="M1161" i="1"/>
  <c r="L1162" i="1"/>
  <c r="M1162" i="1"/>
  <c r="L1163" i="1"/>
  <c r="M1163" i="1"/>
  <c r="L1164" i="1"/>
  <c r="M1164" i="1"/>
  <c r="L1165" i="1"/>
  <c r="M1165" i="1"/>
  <c r="L1166" i="1"/>
  <c r="M1166" i="1"/>
  <c r="L1167" i="1"/>
  <c r="M1167" i="1"/>
  <c r="L1168" i="1"/>
  <c r="M1168" i="1"/>
  <c r="L1169" i="1"/>
  <c r="M1169" i="1"/>
  <c r="L891" i="1"/>
  <c r="M891" i="1"/>
  <c r="L892" i="1"/>
  <c r="M892" i="1"/>
  <c r="L893" i="1"/>
  <c r="M893" i="1"/>
  <c r="L901" i="1"/>
  <c r="M901" i="1"/>
  <c r="L911" i="1"/>
  <c r="M911" i="1"/>
  <c r="L922" i="1"/>
  <c r="M922" i="1"/>
  <c r="L923" i="1"/>
  <c r="M923" i="1"/>
  <c r="L933" i="1"/>
  <c r="M933" i="1"/>
  <c r="L934" i="1"/>
  <c r="M934" i="1"/>
  <c r="L935" i="1"/>
  <c r="M935" i="1"/>
  <c r="L936" i="1"/>
  <c r="M936" i="1"/>
  <c r="L945" i="1"/>
  <c r="M945" i="1"/>
  <c r="L946" i="1"/>
  <c r="M946" i="1"/>
  <c r="L947" i="1"/>
  <c r="M947" i="1"/>
  <c r="L955" i="1"/>
  <c r="M955" i="1"/>
  <c r="L964" i="1"/>
  <c r="M964" i="1"/>
  <c r="L965" i="1"/>
  <c r="M965" i="1"/>
  <c r="L977" i="1"/>
  <c r="M977" i="1"/>
  <c r="L984" i="1"/>
  <c r="M984" i="1"/>
  <c r="L985" i="1"/>
  <c r="M985" i="1"/>
  <c r="L986" i="1"/>
  <c r="M986" i="1"/>
  <c r="L987" i="1"/>
  <c r="M987" i="1"/>
  <c r="L988" i="1"/>
  <c r="M988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13" i="1"/>
  <c r="M1013" i="1"/>
  <c r="L1014" i="1"/>
  <c r="M1014" i="1"/>
  <c r="L1015" i="1"/>
  <c r="M1015" i="1"/>
  <c r="L1023" i="1"/>
  <c r="M1023" i="1"/>
  <c r="L1024" i="1"/>
  <c r="M1024" i="1"/>
  <c r="L1026" i="1"/>
  <c r="M1026" i="1"/>
  <c r="L1027" i="1"/>
  <c r="M1027" i="1"/>
  <c r="L1028" i="1"/>
  <c r="M1028" i="1"/>
  <c r="L1034" i="1"/>
  <c r="M1034" i="1"/>
  <c r="L1035" i="1"/>
  <c r="M1035" i="1"/>
  <c r="L1036" i="1"/>
  <c r="M1036" i="1"/>
  <c r="L1037" i="1"/>
  <c r="M1037" i="1"/>
  <c r="L1041" i="1"/>
  <c r="M1041" i="1"/>
  <c r="L1042" i="1"/>
  <c r="M1042" i="1"/>
  <c r="L1048" i="1"/>
  <c r="M1048" i="1"/>
  <c r="L1053" i="1"/>
  <c r="M1053" i="1"/>
  <c r="L1054" i="1"/>
  <c r="M1054" i="1"/>
  <c r="L1055" i="1"/>
  <c r="M1055" i="1"/>
  <c r="L1061" i="1"/>
  <c r="M1061" i="1"/>
  <c r="L1062" i="1"/>
  <c r="M1062" i="1"/>
  <c r="L1066" i="1"/>
  <c r="M1066" i="1"/>
  <c r="L1084" i="1"/>
  <c r="M1084" i="1"/>
  <c r="L1093" i="1"/>
  <c r="M1093" i="1"/>
  <c r="L1104" i="1"/>
  <c r="M1104" i="1"/>
  <c r="L1121" i="1"/>
  <c r="M1121" i="1"/>
  <c r="L1125" i="1"/>
  <c r="M1125" i="1"/>
  <c r="L1126" i="1"/>
  <c r="M1126" i="1"/>
  <c r="L1127" i="1"/>
  <c r="M1127" i="1"/>
  <c r="L1132" i="1"/>
  <c r="M1132" i="1"/>
  <c r="L1137" i="1"/>
  <c r="M1137" i="1"/>
  <c r="L1139" i="1"/>
  <c r="M1139" i="1"/>
  <c r="L1144" i="1"/>
  <c r="M1144" i="1"/>
  <c r="L1150" i="1"/>
  <c r="M1150" i="1"/>
  <c r="L1151" i="1"/>
  <c r="M1151" i="1"/>
  <c r="L1152" i="1"/>
  <c r="M1152" i="1"/>
  <c r="L1153" i="1"/>
  <c r="M1153" i="1"/>
  <c r="L1156" i="1"/>
  <c r="M1156" i="1"/>
  <c r="L1157" i="1"/>
  <c r="M1157" i="1"/>
  <c r="L1170" i="1"/>
  <c r="M1170" i="1"/>
  <c r="L1171" i="1"/>
  <c r="M1171" i="1"/>
  <c r="L1172" i="1"/>
  <c r="M1172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94" i="1"/>
  <c r="G895" i="1"/>
  <c r="G889" i="1"/>
  <c r="G890" i="1"/>
  <c r="G896" i="1"/>
  <c r="G897" i="1"/>
  <c r="G898" i="1"/>
  <c r="G899" i="1"/>
  <c r="G900" i="1"/>
  <c r="G902" i="1"/>
  <c r="G903" i="1"/>
  <c r="G904" i="1"/>
  <c r="G905" i="1"/>
  <c r="G906" i="1"/>
  <c r="G907" i="1"/>
  <c r="G908" i="1"/>
  <c r="G909" i="1"/>
  <c r="G910" i="1"/>
  <c r="G912" i="1"/>
  <c r="G913" i="1"/>
  <c r="G914" i="1"/>
  <c r="G915" i="1"/>
  <c r="G916" i="1"/>
  <c r="G917" i="1"/>
  <c r="G918" i="1"/>
  <c r="G919" i="1"/>
  <c r="G920" i="1"/>
  <c r="G921" i="1"/>
  <c r="G924" i="1"/>
  <c r="G925" i="1"/>
  <c r="G926" i="1"/>
  <c r="G927" i="1"/>
  <c r="G928" i="1"/>
  <c r="G929" i="1"/>
  <c r="G930" i="1"/>
  <c r="G937" i="1"/>
  <c r="G938" i="1"/>
  <c r="G931" i="1"/>
  <c r="G932" i="1"/>
  <c r="G939" i="1"/>
  <c r="G940" i="1"/>
  <c r="G941" i="1"/>
  <c r="G942" i="1"/>
  <c r="G948" i="1"/>
  <c r="G949" i="1"/>
  <c r="G943" i="1"/>
  <c r="G944" i="1"/>
  <c r="G950" i="1"/>
  <c r="G951" i="1"/>
  <c r="G952" i="1"/>
  <c r="G953" i="1"/>
  <c r="G954" i="1"/>
  <c r="G956" i="1"/>
  <c r="G957" i="1"/>
  <c r="G958" i="1"/>
  <c r="G959" i="1"/>
  <c r="G960" i="1"/>
  <c r="G961" i="1"/>
  <c r="G962" i="1"/>
  <c r="G966" i="1"/>
  <c r="G967" i="1"/>
  <c r="G963" i="1"/>
  <c r="G968" i="1"/>
  <c r="G969" i="1"/>
  <c r="G970" i="1"/>
  <c r="G971" i="1"/>
  <c r="G972" i="1"/>
  <c r="G973" i="1"/>
  <c r="G974" i="1"/>
  <c r="G978" i="1"/>
  <c r="G975" i="1"/>
  <c r="G976" i="1"/>
  <c r="G979" i="1"/>
  <c r="G980" i="1"/>
  <c r="G981" i="1"/>
  <c r="G982" i="1"/>
  <c r="G983" i="1"/>
  <c r="G989" i="1"/>
  <c r="G990" i="1"/>
  <c r="G991" i="1"/>
  <c r="G992" i="1"/>
  <c r="G993" i="1"/>
  <c r="G994" i="1"/>
  <c r="G995" i="1"/>
  <c r="G1003" i="1"/>
  <c r="G1004" i="1"/>
  <c r="G1005" i="1"/>
  <c r="G1006" i="1"/>
  <c r="G1007" i="1"/>
  <c r="G1008" i="1"/>
  <c r="G1009" i="1"/>
  <c r="G1010" i="1"/>
  <c r="G1011" i="1"/>
  <c r="G1016" i="1"/>
  <c r="G1017" i="1"/>
  <c r="G1018" i="1"/>
  <c r="G1019" i="1"/>
  <c r="G1020" i="1"/>
  <c r="G1021" i="1"/>
  <c r="G1022" i="1"/>
  <c r="G1025" i="1"/>
  <c r="G1029" i="1"/>
  <c r="G1030" i="1"/>
  <c r="G1031" i="1"/>
  <c r="G1032" i="1"/>
  <c r="G1033" i="1"/>
  <c r="G1038" i="1"/>
  <c r="G1039" i="1"/>
  <c r="G1040" i="1"/>
  <c r="G1043" i="1"/>
  <c r="G1044" i="1"/>
  <c r="G1045" i="1"/>
  <c r="G1046" i="1"/>
  <c r="G1047" i="1"/>
  <c r="G1049" i="1"/>
  <c r="G1050" i="1"/>
  <c r="G1051" i="1"/>
  <c r="G1052" i="1"/>
  <c r="G1056" i="1"/>
  <c r="G1057" i="1"/>
  <c r="G1058" i="1"/>
  <c r="G1059" i="1"/>
  <c r="G1060" i="1"/>
  <c r="G1063" i="1"/>
  <c r="G1064" i="1"/>
  <c r="G1065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12" i="1"/>
  <c r="G1085" i="1"/>
  <c r="G1086" i="1"/>
  <c r="G1087" i="1"/>
  <c r="G1088" i="1"/>
  <c r="G1089" i="1"/>
  <c r="G1090" i="1"/>
  <c r="G1091" i="1"/>
  <c r="G1094" i="1"/>
  <c r="G1095" i="1"/>
  <c r="G1096" i="1"/>
  <c r="G1097" i="1"/>
  <c r="G1092" i="1"/>
  <c r="G1098" i="1"/>
  <c r="G1099" i="1"/>
  <c r="G1100" i="1"/>
  <c r="G1101" i="1"/>
  <c r="G1102" i="1"/>
  <c r="G1105" i="1"/>
  <c r="G1103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2" i="1"/>
  <c r="G1123" i="1"/>
  <c r="G1124" i="1"/>
  <c r="G1128" i="1"/>
  <c r="G1129" i="1"/>
  <c r="G1130" i="1"/>
  <c r="G1131" i="1"/>
  <c r="G1133" i="1"/>
  <c r="G1134" i="1"/>
  <c r="G1135" i="1"/>
  <c r="G1136" i="1"/>
  <c r="G1138" i="1"/>
  <c r="G1140" i="1"/>
  <c r="G1141" i="1"/>
  <c r="G1142" i="1"/>
  <c r="G1145" i="1"/>
  <c r="G1146" i="1"/>
  <c r="G1147" i="1"/>
  <c r="G1148" i="1"/>
  <c r="G1154" i="1"/>
  <c r="G1155" i="1"/>
  <c r="G1149" i="1"/>
  <c r="G1158" i="1"/>
  <c r="G1159" i="1"/>
  <c r="G1143" i="1"/>
  <c r="G1160" i="1"/>
  <c r="G1161" i="1"/>
  <c r="G1162" i="1"/>
  <c r="G1163" i="1"/>
  <c r="G1164" i="1"/>
  <c r="G1165" i="1"/>
  <c r="G1166" i="1"/>
  <c r="G1167" i="1"/>
  <c r="G1168" i="1"/>
  <c r="G1169" i="1"/>
  <c r="G891" i="1"/>
  <c r="G892" i="1"/>
  <c r="G893" i="1"/>
  <c r="G901" i="1"/>
  <c r="G911" i="1"/>
  <c r="G922" i="1"/>
  <c r="G923" i="1"/>
  <c r="G933" i="1"/>
  <c r="G934" i="1"/>
  <c r="G935" i="1"/>
  <c r="G936" i="1"/>
  <c r="G945" i="1"/>
  <c r="G946" i="1"/>
  <c r="G947" i="1"/>
  <c r="G955" i="1"/>
  <c r="G964" i="1"/>
  <c r="G965" i="1"/>
  <c r="G977" i="1"/>
  <c r="G984" i="1"/>
  <c r="G985" i="1"/>
  <c r="G986" i="1"/>
  <c r="G987" i="1"/>
  <c r="G988" i="1"/>
  <c r="G996" i="1"/>
  <c r="G997" i="1"/>
  <c r="G998" i="1"/>
  <c r="G999" i="1"/>
  <c r="G1000" i="1"/>
  <c r="G1001" i="1"/>
  <c r="G1002" i="1"/>
  <c r="G1013" i="1"/>
  <c r="G1014" i="1"/>
  <c r="G1015" i="1"/>
  <c r="G1023" i="1"/>
  <c r="G1024" i="1"/>
  <c r="G1026" i="1"/>
  <c r="G1027" i="1"/>
  <c r="G1028" i="1"/>
  <c r="G1034" i="1"/>
  <c r="G1035" i="1"/>
  <c r="G1036" i="1"/>
  <c r="G1037" i="1"/>
  <c r="G1041" i="1"/>
  <c r="G1042" i="1"/>
  <c r="G1048" i="1"/>
  <c r="G1053" i="1"/>
  <c r="G1054" i="1"/>
  <c r="G1055" i="1"/>
  <c r="G1061" i="1"/>
  <c r="G1062" i="1"/>
  <c r="G1066" i="1"/>
  <c r="G1084" i="1"/>
  <c r="G1093" i="1"/>
  <c r="G1104" i="1"/>
  <c r="G1121" i="1"/>
  <c r="G1125" i="1"/>
  <c r="G1126" i="1"/>
  <c r="G1127" i="1"/>
  <c r="G1132" i="1"/>
  <c r="G1137" i="1"/>
  <c r="G1139" i="1"/>
  <c r="G1144" i="1"/>
  <c r="G1150" i="1"/>
  <c r="G1151" i="1"/>
  <c r="G1152" i="1"/>
  <c r="G1153" i="1"/>
  <c r="G1156" i="1"/>
  <c r="G1157" i="1"/>
  <c r="G1170" i="1"/>
  <c r="G1171" i="1"/>
  <c r="E891" i="1"/>
  <c r="E892" i="1"/>
  <c r="E893" i="1"/>
  <c r="E901" i="1"/>
  <c r="E911" i="1"/>
  <c r="E922" i="1"/>
  <c r="E923" i="1"/>
  <c r="E933" i="1"/>
  <c r="E934" i="1"/>
  <c r="E935" i="1"/>
  <c r="E936" i="1"/>
  <c r="E945" i="1"/>
  <c r="E946" i="1"/>
  <c r="E947" i="1"/>
  <c r="E955" i="1"/>
  <c r="E964" i="1"/>
  <c r="E965" i="1"/>
  <c r="E977" i="1"/>
  <c r="E984" i="1"/>
  <c r="E985" i="1"/>
  <c r="E986" i="1"/>
  <c r="E987" i="1"/>
  <c r="E988" i="1"/>
  <c r="E996" i="1"/>
  <c r="E997" i="1"/>
  <c r="E998" i="1"/>
  <c r="E999" i="1"/>
  <c r="E1000" i="1"/>
  <c r="E1001" i="1"/>
  <c r="E1002" i="1"/>
  <c r="E1013" i="1"/>
  <c r="E1014" i="1"/>
  <c r="E1015" i="1"/>
  <c r="E1023" i="1"/>
  <c r="E1024" i="1"/>
  <c r="E1026" i="1"/>
  <c r="E1027" i="1"/>
  <c r="E1028" i="1"/>
  <c r="E1034" i="1"/>
  <c r="E1035" i="1"/>
  <c r="E1036" i="1"/>
  <c r="E1037" i="1"/>
  <c r="E1041" i="1"/>
  <c r="E1042" i="1"/>
  <c r="E1048" i="1"/>
  <c r="E1053" i="1"/>
  <c r="E1054" i="1"/>
  <c r="E1055" i="1"/>
  <c r="E1061" i="1"/>
  <c r="E1062" i="1"/>
  <c r="E1066" i="1"/>
  <c r="E1084" i="1"/>
  <c r="E1093" i="1"/>
  <c r="E1104" i="1"/>
  <c r="E1121" i="1"/>
  <c r="E1125" i="1"/>
  <c r="E1126" i="1"/>
  <c r="E1127" i="1"/>
  <c r="E1132" i="1"/>
  <c r="E1137" i="1"/>
  <c r="E1139" i="1"/>
  <c r="E1144" i="1"/>
  <c r="E1150" i="1"/>
  <c r="E1151" i="1"/>
  <c r="E1152" i="1"/>
  <c r="E1153" i="1"/>
  <c r="E1156" i="1"/>
  <c r="E1157" i="1"/>
  <c r="E1170" i="1"/>
  <c r="E1171" i="1"/>
  <c r="E1172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94" i="1"/>
  <c r="E895" i="1"/>
  <c r="E889" i="1"/>
  <c r="E890" i="1"/>
  <c r="E896" i="1"/>
  <c r="E897" i="1"/>
  <c r="E898" i="1"/>
  <c r="E899" i="1"/>
  <c r="E900" i="1"/>
  <c r="E902" i="1"/>
  <c r="E903" i="1"/>
  <c r="E904" i="1"/>
  <c r="E905" i="1"/>
  <c r="E906" i="1"/>
  <c r="E907" i="1"/>
  <c r="E908" i="1"/>
  <c r="E909" i="1"/>
  <c r="E910" i="1"/>
  <c r="E912" i="1"/>
  <c r="E913" i="1"/>
  <c r="E914" i="1"/>
  <c r="E915" i="1"/>
  <c r="E916" i="1"/>
  <c r="E917" i="1"/>
  <c r="E918" i="1"/>
  <c r="E919" i="1"/>
  <c r="E920" i="1"/>
  <c r="E921" i="1"/>
  <c r="E924" i="1"/>
  <c r="E925" i="1"/>
  <c r="E926" i="1"/>
  <c r="E927" i="1"/>
  <c r="E928" i="1"/>
  <c r="E929" i="1"/>
  <c r="E930" i="1"/>
  <c r="E937" i="1"/>
  <c r="E938" i="1"/>
  <c r="E931" i="1"/>
  <c r="E932" i="1"/>
  <c r="E939" i="1"/>
  <c r="E940" i="1"/>
  <c r="E941" i="1"/>
  <c r="E942" i="1"/>
  <c r="E948" i="1"/>
  <c r="E949" i="1"/>
  <c r="E943" i="1"/>
  <c r="E944" i="1"/>
  <c r="E950" i="1"/>
  <c r="E951" i="1"/>
  <c r="E952" i="1"/>
  <c r="E953" i="1"/>
  <c r="E954" i="1"/>
  <c r="E956" i="1"/>
  <c r="E957" i="1"/>
  <c r="E958" i="1"/>
  <c r="E959" i="1"/>
  <c r="E960" i="1"/>
  <c r="E961" i="1"/>
  <c r="E962" i="1"/>
  <c r="E966" i="1"/>
  <c r="E967" i="1"/>
  <c r="E963" i="1"/>
  <c r="E968" i="1"/>
  <c r="E969" i="1"/>
  <c r="E970" i="1"/>
  <c r="E971" i="1"/>
  <c r="E972" i="1"/>
  <c r="E973" i="1"/>
  <c r="E974" i="1"/>
  <c r="E978" i="1"/>
  <c r="E975" i="1"/>
  <c r="E976" i="1"/>
  <c r="E979" i="1"/>
  <c r="E980" i="1"/>
  <c r="E981" i="1"/>
  <c r="E982" i="1"/>
  <c r="E983" i="1"/>
  <c r="E989" i="1"/>
  <c r="E990" i="1"/>
  <c r="E991" i="1"/>
  <c r="E992" i="1"/>
  <c r="E993" i="1"/>
  <c r="E994" i="1"/>
  <c r="E995" i="1"/>
  <c r="E1003" i="1"/>
  <c r="E1004" i="1"/>
  <c r="E1005" i="1"/>
  <c r="E1006" i="1"/>
  <c r="E1007" i="1"/>
  <c r="E1008" i="1"/>
  <c r="E1009" i="1"/>
  <c r="E1010" i="1"/>
  <c r="E1011" i="1"/>
  <c r="E1016" i="1"/>
  <c r="E1017" i="1"/>
  <c r="E1018" i="1"/>
  <c r="E1019" i="1"/>
  <c r="E1020" i="1"/>
  <c r="E1021" i="1"/>
  <c r="E1022" i="1"/>
  <c r="E1025" i="1"/>
  <c r="E1029" i="1"/>
  <c r="E1030" i="1"/>
  <c r="E1031" i="1"/>
  <c r="E1032" i="1"/>
  <c r="E1033" i="1"/>
  <c r="E1038" i="1"/>
  <c r="E1039" i="1"/>
  <c r="E1040" i="1"/>
  <c r="E1043" i="1"/>
  <c r="E1044" i="1"/>
  <c r="E1045" i="1"/>
  <c r="E1046" i="1"/>
  <c r="E1047" i="1"/>
  <c r="E1049" i="1"/>
  <c r="E1050" i="1"/>
  <c r="E1051" i="1"/>
  <c r="E1052" i="1"/>
  <c r="E1056" i="1"/>
  <c r="E1057" i="1"/>
  <c r="E1058" i="1"/>
  <c r="E1059" i="1"/>
  <c r="E1060" i="1"/>
  <c r="E1063" i="1"/>
  <c r="E1064" i="1"/>
  <c r="E1065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12" i="1"/>
  <c r="E1085" i="1"/>
  <c r="E1086" i="1"/>
  <c r="E1087" i="1"/>
  <c r="E1088" i="1"/>
  <c r="E1089" i="1"/>
  <c r="E1090" i="1"/>
  <c r="E1091" i="1"/>
  <c r="E1094" i="1"/>
  <c r="E1095" i="1"/>
  <c r="E1096" i="1"/>
  <c r="E1097" i="1"/>
  <c r="E1092" i="1"/>
  <c r="E1098" i="1"/>
  <c r="E1099" i="1"/>
  <c r="E1100" i="1"/>
  <c r="E1101" i="1"/>
  <c r="E1102" i="1"/>
  <c r="E1105" i="1"/>
  <c r="E1103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2" i="1"/>
  <c r="E1123" i="1"/>
  <c r="E1124" i="1"/>
  <c r="E1128" i="1"/>
  <c r="E1129" i="1"/>
  <c r="E1130" i="1"/>
  <c r="E1131" i="1"/>
  <c r="E1133" i="1"/>
  <c r="E1134" i="1"/>
  <c r="E1135" i="1"/>
  <c r="E1136" i="1"/>
  <c r="E1138" i="1"/>
  <c r="E1140" i="1"/>
  <c r="E1141" i="1"/>
  <c r="E1142" i="1"/>
  <c r="E1145" i="1"/>
  <c r="E1146" i="1"/>
  <c r="E1147" i="1"/>
  <c r="E1148" i="1"/>
  <c r="E1154" i="1"/>
  <c r="E1155" i="1"/>
  <c r="E1149" i="1"/>
  <c r="E1158" i="1"/>
  <c r="E1159" i="1"/>
  <c r="E1143" i="1"/>
  <c r="E1160" i="1"/>
  <c r="E1161" i="1"/>
  <c r="E1162" i="1"/>
  <c r="E1163" i="1"/>
  <c r="E1164" i="1"/>
  <c r="E1165" i="1"/>
  <c r="E1166" i="1"/>
  <c r="E1167" i="1"/>
  <c r="E1168" i="1"/>
  <c r="E1169" i="1"/>
  <c r="C1" i="8"/>
  <c r="D1" i="8"/>
  <c r="E1" i="8"/>
  <c r="F1" i="8"/>
  <c r="G1" i="8"/>
  <c r="AP1142" i="1" l="1"/>
  <c r="AP1086" i="1"/>
  <c r="AP1123" i="1"/>
  <c r="AP1134" i="1"/>
  <c r="AP1164" i="1"/>
  <c r="AP1145" i="1"/>
  <c r="AP967" i="1"/>
  <c r="AP1085" i="1"/>
  <c r="AP877" i="1"/>
  <c r="AP1130" i="1"/>
  <c r="AP1143" i="1"/>
  <c r="AP1051" i="1"/>
  <c r="AP1165" i="1"/>
  <c r="AP1149" i="1"/>
  <c r="AP966" i="1"/>
  <c r="AP918" i="1"/>
  <c r="AP894" i="1"/>
  <c r="AP1037" i="1"/>
  <c r="AP1108" i="1"/>
  <c r="AP915" i="1"/>
  <c r="AP1089" i="1"/>
  <c r="AP1033" i="1"/>
  <c r="AP977" i="1"/>
  <c r="AP879" i="1"/>
  <c r="AP1031" i="1"/>
  <c r="AP880" i="1"/>
  <c r="AP1087" i="1"/>
  <c r="AP949" i="1"/>
  <c r="AP1124" i="1"/>
  <c r="AP1163" i="1"/>
  <c r="AP1107" i="1"/>
  <c r="AP1088" i="1"/>
  <c r="AP1032" i="1"/>
  <c r="AP911" i="1"/>
  <c r="AP1048" i="1"/>
  <c r="AP951" i="1"/>
  <c r="AP1064" i="1"/>
  <c r="AP1096" i="1"/>
  <c r="AP1060" i="1"/>
  <c r="AP982" i="1"/>
  <c r="AP878" i="1"/>
  <c r="AP1024" i="1"/>
  <c r="AP1047" i="1"/>
  <c r="AP1141" i="1"/>
  <c r="AP916" i="1"/>
  <c r="AP1100" i="1"/>
  <c r="AP948" i="1"/>
  <c r="AP1161" i="1"/>
  <c r="AP912" i="1"/>
  <c r="AP960" i="1"/>
  <c r="AP1008" i="1"/>
  <c r="AP1119" i="1"/>
  <c r="AP1160" i="1"/>
  <c r="AP1095" i="1"/>
  <c r="AP942" i="1"/>
  <c r="AP990" i="1"/>
  <c r="AP1118" i="1"/>
  <c r="AP1110" i="1"/>
  <c r="AP1094" i="1"/>
  <c r="AP1046" i="1"/>
  <c r="AP903" i="1"/>
  <c r="AP989" i="1"/>
  <c r="AP1038" i="1"/>
  <c r="AP1063" i="1"/>
  <c r="AP1151" i="1"/>
  <c r="AP1122" i="1"/>
  <c r="AP1097" i="1"/>
  <c r="AP961" i="1"/>
  <c r="AP953" i="1"/>
  <c r="AP1139" i="1"/>
  <c r="AP1115" i="1"/>
  <c r="AP1043" i="1"/>
  <c r="AP955" i="1"/>
  <c r="AP923" i="1"/>
  <c r="AP1154" i="1"/>
  <c r="AP1138" i="1"/>
  <c r="AP954" i="1"/>
  <c r="AP946" i="1"/>
  <c r="AP913" i="1"/>
  <c r="B1" i="8"/>
  <c r="B69" i="7"/>
  <c r="B68" i="7"/>
  <c r="B66" i="7"/>
  <c r="B58" i="7"/>
  <c r="B53" i="7"/>
  <c r="B52" i="7"/>
  <c r="B51" i="7"/>
  <c r="B50" i="7"/>
  <c r="B44" i="7"/>
  <c r="B42" i="7"/>
  <c r="B35" i="7"/>
  <c r="B34" i="7"/>
  <c r="B29" i="7"/>
  <c r="B28" i="7"/>
  <c r="B27" i="7"/>
  <c r="B20" i="7"/>
  <c r="B19" i="7"/>
  <c r="B18" i="7"/>
  <c r="B12" i="7"/>
  <c r="B11" i="7"/>
  <c r="B5" i="7"/>
  <c r="B6" i="7"/>
  <c r="B10" i="7"/>
  <c r="B16" i="7"/>
  <c r="B17" i="7"/>
  <c r="B24" i="7"/>
  <c r="B25" i="7"/>
  <c r="B26" i="7"/>
  <c r="B30" i="7"/>
  <c r="B33" i="7"/>
  <c r="B40" i="7"/>
  <c r="B41" i="7"/>
  <c r="B43" i="7"/>
  <c r="B49" i="7"/>
  <c r="B64" i="7"/>
  <c r="B65" i="7"/>
  <c r="B67" i="7"/>
  <c r="B70" i="7"/>
  <c r="B8" i="7"/>
  <c r="B9" i="7"/>
  <c r="B32" i="7"/>
  <c r="B36" i="7"/>
  <c r="B48" i="7"/>
  <c r="B56" i="7"/>
  <c r="B57" i="7"/>
  <c r="B59" i="7"/>
  <c r="B60" i="7"/>
  <c r="B72" i="7"/>
  <c r="B73" i="7"/>
  <c r="AP27" i="1"/>
  <c r="R27" i="1"/>
  <c r="M27" i="1"/>
  <c r="L27" i="1"/>
  <c r="G27" i="1"/>
  <c r="E27" i="1"/>
  <c r="B7" i="7"/>
  <c r="B13" i="7"/>
  <c r="B14" i="7"/>
  <c r="B15" i="7"/>
  <c r="B21" i="7"/>
  <c r="B22" i="7"/>
  <c r="B23" i="7"/>
  <c r="B31" i="7"/>
  <c r="B37" i="7"/>
  <c r="B38" i="7"/>
  <c r="B39" i="7"/>
  <c r="B45" i="7"/>
  <c r="B46" i="7"/>
  <c r="B47" i="7"/>
  <c r="B54" i="7"/>
  <c r="B55" i="7"/>
  <c r="B61" i="7"/>
  <c r="B62" i="7"/>
  <c r="B63" i="7"/>
  <c r="B71" i="7"/>
  <c r="B4" i="7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1" i="1"/>
  <c r="E740" i="1"/>
  <c r="E742" i="1"/>
  <c r="E743" i="1"/>
  <c r="E744" i="1"/>
  <c r="E745" i="1"/>
  <c r="E746" i="1"/>
  <c r="E747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3" i="1"/>
  <c r="B66" i="6" l="1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17" i="2"/>
  <c r="A13" i="2"/>
  <c r="A18" i="2"/>
  <c r="A16" i="2"/>
  <c r="A19" i="2"/>
  <c r="A20" i="2"/>
  <c r="A21" i="2"/>
  <c r="A22" i="2"/>
  <c r="A23" i="2"/>
  <c r="A8" i="2"/>
  <c r="A9" i="2"/>
  <c r="A24" i="2"/>
  <c r="A25" i="2"/>
  <c r="A26" i="2"/>
  <c r="A27" i="2"/>
  <c r="A15" i="2"/>
  <c r="A10" i="2"/>
  <c r="A28" i="2"/>
  <c r="A29" i="2"/>
  <c r="A30" i="2"/>
  <c r="A31" i="2"/>
  <c r="A32" i="2"/>
  <c r="A33" i="2"/>
  <c r="A34" i="2"/>
  <c r="A35" i="2"/>
  <c r="A12" i="2"/>
  <c r="A36" i="2"/>
  <c r="A37" i="2"/>
  <c r="A38" i="2"/>
  <c r="A39" i="2"/>
  <c r="A11" i="2"/>
  <c r="A40" i="2"/>
  <c r="A41" i="2"/>
  <c r="A14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7" i="2"/>
  <c r="J1" i="1" l="1"/>
  <c r="AP560" i="1" l="1"/>
  <c r="AP4" i="1" l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1" i="1"/>
  <c r="AP740" i="1"/>
  <c r="AP742" i="1"/>
  <c r="AP743" i="1"/>
  <c r="AP744" i="1"/>
  <c r="AP745" i="1"/>
  <c r="AP746" i="1"/>
  <c r="AP747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1" i="1"/>
  <c r="R740" i="1"/>
  <c r="R742" i="1"/>
  <c r="R743" i="1"/>
  <c r="R744" i="1"/>
  <c r="R745" i="1"/>
  <c r="R746" i="1"/>
  <c r="R747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1" i="1"/>
  <c r="M740" i="1"/>
  <c r="M742" i="1"/>
  <c r="M743" i="1"/>
  <c r="M744" i="1"/>
  <c r="M745" i="1"/>
  <c r="M746" i="1"/>
  <c r="M747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3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7" i="1"/>
  <c r="L746" i="1"/>
  <c r="L745" i="1"/>
  <c r="L744" i="1"/>
  <c r="L743" i="1"/>
  <c r="L742" i="1"/>
  <c r="L740" i="1"/>
  <c r="L741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1" i="1"/>
  <c r="G740" i="1"/>
  <c r="G742" i="1"/>
  <c r="G743" i="1"/>
  <c r="G744" i="1"/>
  <c r="G745" i="1"/>
  <c r="G746" i="1"/>
  <c r="G747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H11" i="6" l="1"/>
  <c r="H42" i="6"/>
  <c r="H9" i="6"/>
  <c r="H40" i="6"/>
  <c r="H34" i="6"/>
  <c r="H65" i="6"/>
  <c r="H32" i="6"/>
  <c r="H46" i="6"/>
  <c r="H59" i="6"/>
  <c r="H26" i="6"/>
  <c r="H57" i="6"/>
  <c r="H51" i="6"/>
  <c r="H43" i="6"/>
  <c r="H7" i="6"/>
  <c r="H10" i="6"/>
  <c r="H41" i="6"/>
  <c r="H8" i="6"/>
  <c r="H47" i="6"/>
  <c r="H22" i="6"/>
  <c r="H61" i="6"/>
  <c r="H36" i="6"/>
  <c r="H33" i="6"/>
  <c r="H64" i="6"/>
  <c r="H35" i="6"/>
  <c r="H66" i="6"/>
  <c r="H18" i="6"/>
  <c r="H16" i="6"/>
  <c r="H23" i="6"/>
  <c r="H53" i="6"/>
  <c r="H19" i="6"/>
  <c r="H38" i="6"/>
  <c r="H28" i="6"/>
  <c r="H63" i="6"/>
  <c r="H31" i="6"/>
  <c r="H54" i="6"/>
  <c r="H50" i="6"/>
  <c r="H30" i="6"/>
  <c r="H12" i="6"/>
  <c r="H27" i="6"/>
  <c r="H58" i="6"/>
  <c r="H17" i="6"/>
  <c r="H56" i="6"/>
  <c r="H39" i="6"/>
  <c r="H62" i="6"/>
  <c r="H14" i="6"/>
  <c r="H37" i="6"/>
  <c r="H29" i="6"/>
  <c r="H21" i="6"/>
  <c r="H13" i="6"/>
  <c r="H49" i="6"/>
  <c r="H20" i="6"/>
  <c r="H24" i="6"/>
  <c r="H45" i="6"/>
  <c r="H25" i="6"/>
  <c r="H48" i="6"/>
  <c r="H55" i="6"/>
  <c r="H15" i="6"/>
  <c r="H60" i="6"/>
  <c r="H52" i="6"/>
  <c r="H44" i="6"/>
  <c r="K32" i="6"/>
  <c r="K63" i="6"/>
  <c r="K30" i="6"/>
  <c r="K61" i="6"/>
  <c r="K24" i="6"/>
  <c r="K55" i="6"/>
  <c r="K22" i="6"/>
  <c r="K53" i="6"/>
  <c r="K28" i="6"/>
  <c r="K42" i="6"/>
  <c r="K16" i="6"/>
  <c r="K47" i="6"/>
  <c r="K14" i="6"/>
  <c r="K8" i="6"/>
  <c r="K39" i="6"/>
  <c r="K64" i="6"/>
  <c r="K31" i="6"/>
  <c r="K62" i="6"/>
  <c r="K29" i="6"/>
  <c r="K43" i="6"/>
  <c r="K18" i="6"/>
  <c r="K57" i="6"/>
  <c r="K23" i="6"/>
  <c r="K54" i="6"/>
  <c r="K21" i="6"/>
  <c r="K56" i="6"/>
  <c r="K35" i="6"/>
  <c r="K7" i="6"/>
  <c r="K58" i="6"/>
  <c r="K33" i="6"/>
  <c r="K17" i="6"/>
  <c r="K46" i="6"/>
  <c r="K26" i="6"/>
  <c r="K15" i="6"/>
  <c r="K38" i="6"/>
  <c r="K52" i="6"/>
  <c r="K12" i="6"/>
  <c r="K66" i="6"/>
  <c r="K49" i="6"/>
  <c r="K41" i="6"/>
  <c r="K25" i="6"/>
  <c r="K9" i="6"/>
  <c r="K59" i="6"/>
  <c r="K11" i="6"/>
  <c r="K19" i="6"/>
  <c r="K13" i="6"/>
  <c r="K20" i="6"/>
  <c r="K65" i="6"/>
  <c r="K37" i="6"/>
  <c r="K60" i="6"/>
  <c r="K51" i="6"/>
  <c r="K48" i="6"/>
  <c r="K10" i="6"/>
  <c r="K36" i="6"/>
  <c r="K34" i="6"/>
  <c r="K40" i="6"/>
  <c r="K45" i="6"/>
  <c r="K44" i="6"/>
  <c r="K27" i="6"/>
  <c r="K50" i="6"/>
  <c r="J25" i="6"/>
  <c r="J56" i="6"/>
  <c r="J23" i="6"/>
  <c r="J54" i="6"/>
  <c r="J17" i="6"/>
  <c r="J48" i="6"/>
  <c r="J15" i="6"/>
  <c r="J46" i="6"/>
  <c r="J21" i="6"/>
  <c r="J60" i="6"/>
  <c r="J9" i="6"/>
  <c r="J40" i="6"/>
  <c r="J65" i="6"/>
  <c r="J57" i="6"/>
  <c r="J24" i="6"/>
  <c r="J55" i="6"/>
  <c r="J22" i="6"/>
  <c r="J61" i="6"/>
  <c r="J36" i="6"/>
  <c r="J11" i="6"/>
  <c r="J50" i="6"/>
  <c r="J16" i="6"/>
  <c r="J47" i="6"/>
  <c r="J49" i="6"/>
  <c r="J39" i="6"/>
  <c r="J62" i="6"/>
  <c r="J30" i="6"/>
  <c r="J53" i="6"/>
  <c r="J13" i="6"/>
  <c r="J7" i="6"/>
  <c r="J42" i="6"/>
  <c r="J34" i="6"/>
  <c r="J26" i="6"/>
  <c r="J18" i="6"/>
  <c r="J10" i="6"/>
  <c r="J35" i="6"/>
  <c r="J43" i="6"/>
  <c r="J33" i="6"/>
  <c r="J64" i="6"/>
  <c r="J14" i="6"/>
  <c r="J44" i="6"/>
  <c r="J66" i="6"/>
  <c r="J58" i="6"/>
  <c r="J31" i="6"/>
  <c r="J19" i="6"/>
  <c r="J32" i="6"/>
  <c r="J52" i="6"/>
  <c r="J27" i="6"/>
  <c r="J20" i="6"/>
  <c r="J28" i="6"/>
  <c r="J51" i="6"/>
  <c r="J38" i="6"/>
  <c r="J29" i="6"/>
  <c r="J8" i="6"/>
  <c r="J37" i="6"/>
  <c r="J12" i="6"/>
  <c r="J41" i="6"/>
  <c r="J63" i="6"/>
  <c r="J45" i="6"/>
  <c r="J59" i="6"/>
  <c r="D8" i="6"/>
  <c r="D47" i="6"/>
  <c r="D14" i="6"/>
  <c r="D45" i="6"/>
  <c r="D12" i="6"/>
  <c r="D51" i="6"/>
  <c r="D39" i="6"/>
  <c r="D37" i="6"/>
  <c r="D43" i="6"/>
  <c r="D18" i="6"/>
  <c r="D57" i="6"/>
  <c r="D31" i="6"/>
  <c r="D62" i="6"/>
  <c r="D29" i="6"/>
  <c r="D60" i="6"/>
  <c r="D23" i="6"/>
  <c r="D54" i="6"/>
  <c r="D15" i="6"/>
  <c r="D46" i="6"/>
  <c r="D13" i="6"/>
  <c r="D44" i="6"/>
  <c r="D19" i="6"/>
  <c r="D58" i="6"/>
  <c r="D33" i="6"/>
  <c r="D36" i="6"/>
  <c r="D38" i="6"/>
  <c r="D63" i="6"/>
  <c r="D21" i="6"/>
  <c r="D49" i="6"/>
  <c r="D35" i="6"/>
  <c r="D10" i="6"/>
  <c r="D28" i="6"/>
  <c r="D26" i="6"/>
  <c r="D9" i="6"/>
  <c r="D11" i="6"/>
  <c r="D34" i="6"/>
  <c r="D52" i="6"/>
  <c r="D59" i="6"/>
  <c r="D27" i="6"/>
  <c r="D25" i="6"/>
  <c r="D17" i="6"/>
  <c r="D55" i="6"/>
  <c r="D30" i="6"/>
  <c r="D53" i="6"/>
  <c r="D42" i="6"/>
  <c r="D65" i="6"/>
  <c r="D64" i="6"/>
  <c r="D56" i="6"/>
  <c r="D48" i="6"/>
  <c r="D40" i="6"/>
  <c r="D32" i="6"/>
  <c r="D24" i="6"/>
  <c r="D16" i="6"/>
  <c r="D50" i="6"/>
  <c r="D20" i="6"/>
  <c r="D7" i="6"/>
  <c r="D22" i="6"/>
  <c r="D61" i="6"/>
  <c r="D66" i="6"/>
  <c r="D41" i="6"/>
  <c r="F61" i="6"/>
  <c r="F28" i="6"/>
  <c r="F59" i="6"/>
  <c r="F26" i="6"/>
  <c r="F65" i="6"/>
  <c r="F53" i="6"/>
  <c r="F20" i="6"/>
  <c r="F51" i="6"/>
  <c r="F18" i="6"/>
  <c r="F57" i="6"/>
  <c r="F32" i="6"/>
  <c r="F45" i="6"/>
  <c r="F12" i="6"/>
  <c r="F43" i="6"/>
  <c r="F7" i="6"/>
  <c r="F37" i="6"/>
  <c r="F29" i="6"/>
  <c r="F60" i="6"/>
  <c r="F27" i="6"/>
  <c r="F58" i="6"/>
  <c r="F33" i="6"/>
  <c r="F8" i="6"/>
  <c r="F47" i="6"/>
  <c r="F22" i="6"/>
  <c r="F19" i="6"/>
  <c r="F50" i="6"/>
  <c r="F21" i="6"/>
  <c r="F52" i="6"/>
  <c r="F64" i="6"/>
  <c r="F39" i="6"/>
  <c r="F31" i="6"/>
  <c r="F23" i="6"/>
  <c r="F15" i="6"/>
  <c r="F9" i="6"/>
  <c r="F62" i="6"/>
  <c r="F46" i="6"/>
  <c r="F36" i="6"/>
  <c r="F42" i="6"/>
  <c r="F41" i="6"/>
  <c r="F16" i="6"/>
  <c r="F14" i="6"/>
  <c r="F35" i="6"/>
  <c r="F24" i="6"/>
  <c r="F11" i="6"/>
  <c r="F63" i="6"/>
  <c r="F17" i="6"/>
  <c r="F40" i="6"/>
  <c r="F38" i="6"/>
  <c r="F25" i="6"/>
  <c r="F48" i="6"/>
  <c r="F49" i="6"/>
  <c r="F55" i="6"/>
  <c r="F10" i="6"/>
  <c r="F54" i="6"/>
  <c r="F30" i="6"/>
  <c r="F13" i="6"/>
  <c r="F44" i="6"/>
  <c r="F66" i="6"/>
  <c r="F34" i="6"/>
  <c r="F56" i="6"/>
  <c r="I18" i="6"/>
  <c r="I49" i="6"/>
  <c r="I16" i="6"/>
  <c r="I47" i="6"/>
  <c r="I7" i="6"/>
  <c r="I10" i="6"/>
  <c r="I41" i="6"/>
  <c r="I8" i="6"/>
  <c r="I39" i="6"/>
  <c r="I14" i="6"/>
  <c r="I53" i="6"/>
  <c r="I66" i="6"/>
  <c r="I33" i="6"/>
  <c r="I64" i="6"/>
  <c r="I58" i="6"/>
  <c r="I50" i="6"/>
  <c r="I17" i="6"/>
  <c r="I48" i="6"/>
  <c r="I15" i="6"/>
  <c r="I54" i="6"/>
  <c r="I29" i="6"/>
  <c r="I43" i="6"/>
  <c r="I9" i="6"/>
  <c r="I40" i="6"/>
  <c r="I42" i="6"/>
  <c r="I34" i="6"/>
  <c r="I65" i="6"/>
  <c r="I45" i="6"/>
  <c r="I59" i="6"/>
  <c r="I51" i="6"/>
  <c r="I23" i="6"/>
  <c r="I21" i="6"/>
  <c r="I25" i="6"/>
  <c r="I60" i="6"/>
  <c r="I56" i="6"/>
  <c r="I22" i="6"/>
  <c r="I62" i="6"/>
  <c r="I30" i="6"/>
  <c r="I44" i="6"/>
  <c r="I46" i="6"/>
  <c r="I52" i="6"/>
  <c r="I26" i="6"/>
  <c r="I57" i="6"/>
  <c r="I32" i="6"/>
  <c r="I55" i="6"/>
  <c r="I38" i="6"/>
  <c r="I61" i="6"/>
  <c r="I13" i="6"/>
  <c r="I36" i="6"/>
  <c r="I28" i="6"/>
  <c r="I20" i="6"/>
  <c r="I12" i="6"/>
  <c r="I24" i="6"/>
  <c r="I63" i="6"/>
  <c r="I31" i="6"/>
  <c r="I37" i="6"/>
  <c r="I35" i="6"/>
  <c r="I27" i="6"/>
  <c r="I19" i="6"/>
  <c r="I11" i="6"/>
  <c r="L39" i="6"/>
  <c r="L37" i="6"/>
  <c r="L43" i="6"/>
  <c r="L31" i="6"/>
  <c r="L62" i="6"/>
  <c r="L29" i="6"/>
  <c r="L60" i="6"/>
  <c r="L35" i="6"/>
  <c r="L7" i="6"/>
  <c r="L10" i="6"/>
  <c r="L49" i="6"/>
  <c r="L23" i="6"/>
  <c r="L54" i="6"/>
  <c r="L21" i="6"/>
  <c r="L52" i="6"/>
  <c r="L15" i="6"/>
  <c r="L46" i="6"/>
  <c r="L38" i="6"/>
  <c r="L36" i="6"/>
  <c r="L11" i="6"/>
  <c r="L50" i="6"/>
  <c r="L25" i="6"/>
  <c r="L64" i="6"/>
  <c r="L61" i="6"/>
  <c r="L28" i="6"/>
  <c r="L63" i="6"/>
  <c r="L30" i="6"/>
  <c r="L44" i="6"/>
  <c r="L26" i="6"/>
  <c r="L48" i="6"/>
  <c r="L32" i="6"/>
  <c r="L8" i="6"/>
  <c r="L27" i="6"/>
  <c r="L58" i="6"/>
  <c r="L41" i="6"/>
  <c r="L34" i="6"/>
  <c r="L57" i="6"/>
  <c r="L16" i="6"/>
  <c r="L59" i="6"/>
  <c r="L20" i="6"/>
  <c r="L17" i="6"/>
  <c r="L55" i="6"/>
  <c r="L14" i="6"/>
  <c r="L53" i="6"/>
  <c r="L51" i="6"/>
  <c r="L42" i="6"/>
  <c r="L65" i="6"/>
  <c r="L56" i="6"/>
  <c r="L40" i="6"/>
  <c r="L24" i="6"/>
  <c r="L47" i="6"/>
  <c r="L9" i="6"/>
  <c r="L13" i="6"/>
  <c r="L12" i="6"/>
  <c r="L19" i="6"/>
  <c r="L66" i="6"/>
  <c r="L33" i="6"/>
  <c r="L22" i="6"/>
  <c r="L45" i="6"/>
  <c r="L18" i="6"/>
  <c r="F8" i="4"/>
  <c r="N8" i="4"/>
  <c r="J9" i="4"/>
  <c r="F10" i="4"/>
  <c r="N10" i="4"/>
  <c r="J11" i="4"/>
  <c r="F12" i="4"/>
  <c r="N12" i="4"/>
  <c r="J13" i="4"/>
  <c r="F14" i="4"/>
  <c r="N14" i="4"/>
  <c r="J15" i="4"/>
  <c r="F16" i="4"/>
  <c r="N16" i="4"/>
  <c r="J17" i="4"/>
  <c r="F18" i="4"/>
  <c r="N18" i="4"/>
  <c r="G8" i="4"/>
  <c r="C9" i="4"/>
  <c r="K9" i="4"/>
  <c r="G10" i="4"/>
  <c r="C11" i="4"/>
  <c r="K11" i="4"/>
  <c r="G12" i="4"/>
  <c r="C13" i="4"/>
  <c r="K13" i="4"/>
  <c r="G14" i="4"/>
  <c r="C15" i="4"/>
  <c r="K15" i="4"/>
  <c r="G16" i="4"/>
  <c r="C17" i="4"/>
  <c r="K17" i="4"/>
  <c r="G18" i="4"/>
  <c r="C19" i="4"/>
  <c r="K19" i="4"/>
  <c r="H8" i="4"/>
  <c r="I8" i="4"/>
  <c r="E9" i="4"/>
  <c r="M9" i="4"/>
  <c r="I10" i="4"/>
  <c r="E11" i="4"/>
  <c r="M11" i="4"/>
  <c r="I12" i="4"/>
  <c r="E13" i="4"/>
  <c r="M13" i="4"/>
  <c r="I14" i="4"/>
  <c r="E15" i="4"/>
  <c r="M15" i="4"/>
  <c r="I16" i="4"/>
  <c r="E17" i="4"/>
  <c r="M17" i="4"/>
  <c r="I18" i="4"/>
  <c r="E19" i="4"/>
  <c r="M19" i="4"/>
  <c r="J8" i="4"/>
  <c r="F9" i="4"/>
  <c r="N9" i="4"/>
  <c r="J10" i="4"/>
  <c r="F11" i="4"/>
  <c r="N11" i="4"/>
  <c r="J12" i="4"/>
  <c r="F13" i="4"/>
  <c r="N13" i="4"/>
  <c r="J14" i="4"/>
  <c r="F15" i="4"/>
  <c r="N15" i="4"/>
  <c r="J16" i="4"/>
  <c r="F17" i="4"/>
  <c r="N17" i="4"/>
  <c r="J18" i="4"/>
  <c r="F19" i="4"/>
  <c r="N19" i="4"/>
  <c r="C8" i="4"/>
  <c r="K8" i="4"/>
  <c r="G9" i="4"/>
  <c r="C10" i="4"/>
  <c r="K10" i="4"/>
  <c r="G11" i="4"/>
  <c r="C12" i="4"/>
  <c r="K12" i="4"/>
  <c r="G13" i="4"/>
  <c r="C14" i="4"/>
  <c r="K14" i="4"/>
  <c r="G15" i="4"/>
  <c r="C16" i="4"/>
  <c r="K16" i="4"/>
  <c r="G17" i="4"/>
  <c r="C18" i="4"/>
  <c r="K18" i="4"/>
  <c r="E8" i="4"/>
  <c r="M8" i="4"/>
  <c r="I9" i="4"/>
  <c r="E10" i="4"/>
  <c r="M10" i="4"/>
  <c r="I11" i="4"/>
  <c r="E12" i="4"/>
  <c r="M12" i="4"/>
  <c r="I13" i="4"/>
  <c r="E14" i="4"/>
  <c r="M14" i="4"/>
  <c r="I15" i="4"/>
  <c r="E16" i="4"/>
  <c r="M16" i="4"/>
  <c r="I17" i="4"/>
  <c r="E18" i="4"/>
  <c r="M18" i="4"/>
  <c r="L9" i="4"/>
  <c r="H12" i="4"/>
  <c r="D15" i="4"/>
  <c r="L17" i="4"/>
  <c r="J19" i="4"/>
  <c r="I20" i="4"/>
  <c r="E21" i="4"/>
  <c r="M21" i="4"/>
  <c r="I22" i="4"/>
  <c r="E23" i="4"/>
  <c r="M23" i="4"/>
  <c r="I24" i="4"/>
  <c r="E25" i="4"/>
  <c r="M25" i="4"/>
  <c r="I26" i="4"/>
  <c r="E27" i="4"/>
  <c r="M27" i="4"/>
  <c r="I28" i="4"/>
  <c r="E29" i="4"/>
  <c r="M29" i="4"/>
  <c r="I30" i="4"/>
  <c r="E31" i="4"/>
  <c r="M31" i="4"/>
  <c r="I32" i="4"/>
  <c r="E33" i="4"/>
  <c r="M33" i="4"/>
  <c r="I34" i="4"/>
  <c r="E35" i="4"/>
  <c r="M35" i="4"/>
  <c r="I36" i="4"/>
  <c r="E37" i="4"/>
  <c r="M37" i="4"/>
  <c r="I38" i="4"/>
  <c r="E39" i="4"/>
  <c r="M39" i="4"/>
  <c r="I40" i="4"/>
  <c r="E41" i="4"/>
  <c r="M41" i="4"/>
  <c r="I42" i="4"/>
  <c r="E43" i="4"/>
  <c r="M43" i="4"/>
  <c r="I44" i="4"/>
  <c r="E45" i="4"/>
  <c r="M45" i="4"/>
  <c r="I46" i="4"/>
  <c r="E47" i="4"/>
  <c r="M47" i="4"/>
  <c r="I48" i="4"/>
  <c r="E49" i="4"/>
  <c r="M49" i="4"/>
  <c r="I50" i="4"/>
  <c r="E51" i="4"/>
  <c r="M51" i="4"/>
  <c r="I52" i="4"/>
  <c r="E53" i="4"/>
  <c r="M53" i="4"/>
  <c r="I54" i="4"/>
  <c r="E55" i="4"/>
  <c r="M55" i="4"/>
  <c r="I56" i="4"/>
  <c r="E57" i="4"/>
  <c r="M57" i="4"/>
  <c r="I58" i="4"/>
  <c r="E59" i="4"/>
  <c r="M59" i="4"/>
  <c r="I60" i="4"/>
  <c r="E61" i="4"/>
  <c r="M61" i="4"/>
  <c r="I62" i="4"/>
  <c r="E63" i="4"/>
  <c r="M63" i="4"/>
  <c r="I64" i="4"/>
  <c r="E65" i="4"/>
  <c r="M65" i="4"/>
  <c r="I66" i="4"/>
  <c r="J7" i="4"/>
  <c r="D7" i="4"/>
  <c r="H10" i="4"/>
  <c r="L15" i="4"/>
  <c r="C20" i="4"/>
  <c r="G21" i="4"/>
  <c r="K22" i="4"/>
  <c r="C24" i="4"/>
  <c r="G25" i="4"/>
  <c r="K26" i="4"/>
  <c r="C28" i="4"/>
  <c r="G29" i="4"/>
  <c r="K30" i="4"/>
  <c r="C32" i="4"/>
  <c r="G33" i="4"/>
  <c r="K34" i="4"/>
  <c r="C36" i="4"/>
  <c r="K36" i="4"/>
  <c r="C38" i="4"/>
  <c r="G39" i="4"/>
  <c r="K40" i="4"/>
  <c r="C42" i="4"/>
  <c r="G43" i="4"/>
  <c r="K44" i="4"/>
  <c r="C46" i="4"/>
  <c r="G47" i="4"/>
  <c r="K48" i="4"/>
  <c r="C50" i="4"/>
  <c r="G51" i="4"/>
  <c r="K52" i="4"/>
  <c r="C54" i="4"/>
  <c r="G55" i="4"/>
  <c r="K56" i="4"/>
  <c r="G57" i="4"/>
  <c r="K58" i="4"/>
  <c r="K60" i="4"/>
  <c r="C62" i="4"/>
  <c r="G63" i="4"/>
  <c r="C64" i="4"/>
  <c r="G65" i="4"/>
  <c r="K66" i="4"/>
  <c r="L10" i="4"/>
  <c r="H13" i="4"/>
  <c r="D16" i="4"/>
  <c r="L18" i="4"/>
  <c r="D20" i="4"/>
  <c r="L20" i="4"/>
  <c r="H21" i="4"/>
  <c r="D22" i="4"/>
  <c r="L22" i="4"/>
  <c r="H23" i="4"/>
  <c r="L24" i="4"/>
  <c r="H25" i="4"/>
  <c r="L26" i="4"/>
  <c r="D28" i="4"/>
  <c r="H29" i="4"/>
  <c r="L30" i="4"/>
  <c r="D32" i="4"/>
  <c r="H33" i="4"/>
  <c r="L34" i="4"/>
  <c r="L36" i="4"/>
  <c r="D38" i="4"/>
  <c r="H39" i="4"/>
  <c r="L40" i="4"/>
  <c r="D42" i="4"/>
  <c r="H43" i="4"/>
  <c r="H45" i="4"/>
  <c r="L46" i="4"/>
  <c r="L50" i="4"/>
  <c r="L52" i="4"/>
  <c r="L54" i="4"/>
  <c r="H57" i="4"/>
  <c r="H59" i="4"/>
  <c r="L60" i="4"/>
  <c r="L62" i="4"/>
  <c r="L64" i="4"/>
  <c r="D66" i="4"/>
  <c r="D10" i="4"/>
  <c r="L12" i="4"/>
  <c r="H15" i="4"/>
  <c r="D18" i="4"/>
  <c r="L19" i="4"/>
  <c r="J20" i="4"/>
  <c r="F21" i="4"/>
  <c r="N21" i="4"/>
  <c r="J22" i="4"/>
  <c r="F23" i="4"/>
  <c r="N23" i="4"/>
  <c r="J24" i="4"/>
  <c r="F25" i="4"/>
  <c r="N25" i="4"/>
  <c r="J26" i="4"/>
  <c r="F27" i="4"/>
  <c r="N27" i="4"/>
  <c r="J28" i="4"/>
  <c r="F29" i="4"/>
  <c r="N29" i="4"/>
  <c r="J30" i="4"/>
  <c r="F31" i="4"/>
  <c r="N31" i="4"/>
  <c r="J32" i="4"/>
  <c r="F33" i="4"/>
  <c r="N33" i="4"/>
  <c r="J34" i="4"/>
  <c r="F35" i="4"/>
  <c r="N35" i="4"/>
  <c r="J36" i="4"/>
  <c r="F37" i="4"/>
  <c r="N37" i="4"/>
  <c r="J38" i="4"/>
  <c r="F39" i="4"/>
  <c r="N39" i="4"/>
  <c r="J40" i="4"/>
  <c r="F41" i="4"/>
  <c r="N41" i="4"/>
  <c r="J42" i="4"/>
  <c r="F43" i="4"/>
  <c r="N43" i="4"/>
  <c r="J44" i="4"/>
  <c r="F45" i="4"/>
  <c r="N45" i="4"/>
  <c r="J46" i="4"/>
  <c r="F47" i="4"/>
  <c r="N47" i="4"/>
  <c r="J48" i="4"/>
  <c r="F49" i="4"/>
  <c r="N49" i="4"/>
  <c r="J50" i="4"/>
  <c r="F51" i="4"/>
  <c r="N51" i="4"/>
  <c r="J52" i="4"/>
  <c r="F53" i="4"/>
  <c r="N53" i="4"/>
  <c r="J54" i="4"/>
  <c r="F55" i="4"/>
  <c r="N55" i="4"/>
  <c r="J56" i="4"/>
  <c r="F57" i="4"/>
  <c r="N57" i="4"/>
  <c r="J58" i="4"/>
  <c r="F59" i="4"/>
  <c r="N59" i="4"/>
  <c r="J60" i="4"/>
  <c r="F61" i="4"/>
  <c r="N61" i="4"/>
  <c r="J62" i="4"/>
  <c r="F63" i="4"/>
  <c r="N63" i="4"/>
  <c r="J64" i="4"/>
  <c r="F65" i="4"/>
  <c r="N65" i="4"/>
  <c r="J66" i="4"/>
  <c r="K7" i="4"/>
  <c r="C7" i="4"/>
  <c r="D13" i="4"/>
  <c r="H18" i="4"/>
  <c r="K20" i="4"/>
  <c r="C22" i="4"/>
  <c r="G23" i="4"/>
  <c r="K24" i="4"/>
  <c r="C26" i="4"/>
  <c r="G27" i="4"/>
  <c r="K28" i="4"/>
  <c r="C30" i="4"/>
  <c r="G31" i="4"/>
  <c r="K32" i="4"/>
  <c r="C34" i="4"/>
  <c r="G35" i="4"/>
  <c r="G37" i="4"/>
  <c r="K38" i="4"/>
  <c r="C40" i="4"/>
  <c r="G41" i="4"/>
  <c r="K42" i="4"/>
  <c r="C44" i="4"/>
  <c r="G45" i="4"/>
  <c r="K46" i="4"/>
  <c r="C48" i="4"/>
  <c r="G49" i="4"/>
  <c r="K50" i="4"/>
  <c r="C52" i="4"/>
  <c r="G53" i="4"/>
  <c r="K54" i="4"/>
  <c r="C56" i="4"/>
  <c r="C58" i="4"/>
  <c r="G59" i="4"/>
  <c r="C60" i="4"/>
  <c r="G61" i="4"/>
  <c r="K62" i="4"/>
  <c r="K64" i="4"/>
  <c r="C66" i="4"/>
  <c r="L7" i="4"/>
  <c r="D24" i="4"/>
  <c r="D26" i="4"/>
  <c r="H27" i="4"/>
  <c r="L28" i="4"/>
  <c r="D30" i="4"/>
  <c r="H31" i="4"/>
  <c r="L32" i="4"/>
  <c r="D34" i="4"/>
  <c r="H35" i="4"/>
  <c r="H37" i="4"/>
  <c r="L38" i="4"/>
  <c r="D40" i="4"/>
  <c r="H41" i="4"/>
  <c r="L42" i="4"/>
  <c r="D44" i="4"/>
  <c r="D46" i="4"/>
  <c r="D48" i="4"/>
  <c r="L48" i="4"/>
  <c r="D50" i="4"/>
  <c r="D52" i="4"/>
  <c r="H53" i="4"/>
  <c r="H55" i="4"/>
  <c r="L56" i="4"/>
  <c r="L58" i="4"/>
  <c r="D60" i="4"/>
  <c r="D62" i="4"/>
  <c r="D64" i="4"/>
  <c r="H65" i="4"/>
  <c r="M7" i="4"/>
  <c r="D36" i="4"/>
  <c r="L44" i="4"/>
  <c r="H47" i="4"/>
  <c r="H49" i="4"/>
  <c r="H51" i="4"/>
  <c r="D54" i="4"/>
  <c r="D56" i="4"/>
  <c r="D58" i="4"/>
  <c r="H61" i="4"/>
  <c r="H63" i="4"/>
  <c r="L66" i="4"/>
  <c r="L8" i="4"/>
  <c r="H11" i="4"/>
  <c r="D14" i="4"/>
  <c r="L16" i="4"/>
  <c r="G19" i="4"/>
  <c r="F20" i="4"/>
  <c r="N20" i="4"/>
  <c r="J21" i="4"/>
  <c r="F22" i="4"/>
  <c r="N22" i="4"/>
  <c r="J23" i="4"/>
  <c r="F24" i="4"/>
  <c r="N24" i="4"/>
  <c r="J25" i="4"/>
  <c r="F26" i="4"/>
  <c r="N26" i="4"/>
  <c r="J27" i="4"/>
  <c r="F28" i="4"/>
  <c r="N28" i="4"/>
  <c r="J29" i="4"/>
  <c r="F30" i="4"/>
  <c r="N30" i="4"/>
  <c r="J31" i="4"/>
  <c r="F32" i="4"/>
  <c r="N32" i="4"/>
  <c r="J33" i="4"/>
  <c r="F34" i="4"/>
  <c r="N34" i="4"/>
  <c r="J35" i="4"/>
  <c r="F36" i="4"/>
  <c r="N36" i="4"/>
  <c r="J37" i="4"/>
  <c r="F38" i="4"/>
  <c r="N38" i="4"/>
  <c r="J39" i="4"/>
  <c r="F40" i="4"/>
  <c r="N40" i="4"/>
  <c r="J41" i="4"/>
  <c r="F42" i="4"/>
  <c r="N42" i="4"/>
  <c r="J43" i="4"/>
  <c r="F44" i="4"/>
  <c r="N44" i="4"/>
  <c r="J45" i="4"/>
  <c r="F46" i="4"/>
  <c r="N46" i="4"/>
  <c r="J47" i="4"/>
  <c r="F48" i="4"/>
  <c r="N48" i="4"/>
  <c r="J49" i="4"/>
  <c r="F50" i="4"/>
  <c r="N50" i="4"/>
  <c r="J51" i="4"/>
  <c r="F52" i="4"/>
  <c r="N52" i="4"/>
  <c r="J53" i="4"/>
  <c r="F54" i="4"/>
  <c r="N54" i="4"/>
  <c r="J55" i="4"/>
  <c r="F56" i="4"/>
  <c r="N56" i="4"/>
  <c r="J57" i="4"/>
  <c r="F58" i="4"/>
  <c r="N58" i="4"/>
  <c r="J59" i="4"/>
  <c r="F60" i="4"/>
  <c r="N60" i="4"/>
  <c r="J61" i="4"/>
  <c r="F62" i="4"/>
  <c r="N62" i="4"/>
  <c r="J63" i="4"/>
  <c r="F64" i="4"/>
  <c r="N64" i="4"/>
  <c r="J65" i="4"/>
  <c r="F66" i="4"/>
  <c r="N66" i="4"/>
  <c r="G7" i="4"/>
  <c r="D9" i="4"/>
  <c r="L11" i="4"/>
  <c r="H14" i="4"/>
  <c r="D17" i="4"/>
  <c r="H19" i="4"/>
  <c r="G20" i="4"/>
  <c r="C21" i="4"/>
  <c r="K21" i="4"/>
  <c r="G22" i="4"/>
  <c r="C23" i="4"/>
  <c r="K23" i="4"/>
  <c r="G24" i="4"/>
  <c r="C25" i="4"/>
  <c r="K25" i="4"/>
  <c r="G26" i="4"/>
  <c r="C27" i="4"/>
  <c r="K27" i="4"/>
  <c r="G28" i="4"/>
  <c r="H16" i="4"/>
  <c r="I21" i="4"/>
  <c r="E24" i="4"/>
  <c r="M26" i="4"/>
  <c r="D29" i="4"/>
  <c r="C31" i="4"/>
  <c r="M32" i="4"/>
  <c r="H34" i="4"/>
  <c r="G36" i="4"/>
  <c r="E38" i="4"/>
  <c r="L39" i="4"/>
  <c r="K41" i="4"/>
  <c r="I43" i="4"/>
  <c r="D45" i="4"/>
  <c r="C47" i="4"/>
  <c r="M48" i="4"/>
  <c r="H50" i="4"/>
  <c r="G52" i="4"/>
  <c r="E54" i="4"/>
  <c r="L55" i="4"/>
  <c r="K57" i="4"/>
  <c r="I59" i="4"/>
  <c r="D61" i="4"/>
  <c r="C63" i="4"/>
  <c r="M64" i="4"/>
  <c r="H66" i="4"/>
  <c r="M66" i="4"/>
  <c r="E20" i="4"/>
  <c r="E28" i="4"/>
  <c r="C39" i="4"/>
  <c r="K49" i="4"/>
  <c r="G60" i="4"/>
  <c r="H20" i="4"/>
  <c r="H28" i="4"/>
  <c r="L33" i="4"/>
  <c r="C41" i="4"/>
  <c r="L49" i="4"/>
  <c r="M58" i="4"/>
  <c r="F7" i="4"/>
  <c r="I55" i="4"/>
  <c r="D21" i="4"/>
  <c r="C29" i="4"/>
  <c r="L37" i="4"/>
  <c r="M46" i="4"/>
  <c r="I57" i="4"/>
  <c r="H17" i="4"/>
  <c r="L21" i="4"/>
  <c r="H24" i="4"/>
  <c r="D27" i="4"/>
  <c r="I29" i="4"/>
  <c r="D31" i="4"/>
  <c r="C33" i="4"/>
  <c r="M34" i="4"/>
  <c r="H36" i="4"/>
  <c r="G38" i="4"/>
  <c r="E40" i="4"/>
  <c r="L41" i="4"/>
  <c r="K43" i="4"/>
  <c r="I45" i="4"/>
  <c r="D47" i="4"/>
  <c r="C49" i="4"/>
  <c r="M50" i="4"/>
  <c r="H52" i="4"/>
  <c r="G54" i="4"/>
  <c r="E56" i="4"/>
  <c r="L57" i="4"/>
  <c r="K59" i="4"/>
  <c r="I61" i="4"/>
  <c r="D63" i="4"/>
  <c r="C65" i="4"/>
  <c r="D11" i="4"/>
  <c r="M22" i="4"/>
  <c r="L31" i="4"/>
  <c r="I35" i="4"/>
  <c r="H42" i="4"/>
  <c r="E46" i="4"/>
  <c r="D53" i="4"/>
  <c r="M56" i="4"/>
  <c r="L63" i="4"/>
  <c r="N7" i="4"/>
  <c r="E32" i="4"/>
  <c r="I37" i="4"/>
  <c r="H44" i="4"/>
  <c r="E48" i="4"/>
  <c r="D55" i="4"/>
  <c r="H60" i="4"/>
  <c r="L65" i="4"/>
  <c r="G48" i="4"/>
  <c r="D57" i="4"/>
  <c r="M60" i="4"/>
  <c r="E7" i="4"/>
  <c r="L14" i="4"/>
  <c r="L23" i="4"/>
  <c r="M30" i="4"/>
  <c r="G34" i="4"/>
  <c r="I41" i="4"/>
  <c r="C45" i="4"/>
  <c r="E52" i="4"/>
  <c r="K55" i="4"/>
  <c r="M62" i="4"/>
  <c r="G66" i="4"/>
  <c r="D8" i="4"/>
  <c r="D19" i="4"/>
  <c r="E22" i="4"/>
  <c r="M24" i="4"/>
  <c r="I27" i="4"/>
  <c r="K29" i="4"/>
  <c r="I31" i="4"/>
  <c r="D33" i="4"/>
  <c r="C35" i="4"/>
  <c r="M36" i="4"/>
  <c r="H38" i="4"/>
  <c r="G40" i="4"/>
  <c r="E42" i="4"/>
  <c r="L43" i="4"/>
  <c r="K45" i="4"/>
  <c r="I47" i="4"/>
  <c r="D49" i="4"/>
  <c r="C51" i="4"/>
  <c r="M52" i="4"/>
  <c r="H54" i="4"/>
  <c r="G56" i="4"/>
  <c r="E58" i="4"/>
  <c r="L59" i="4"/>
  <c r="K61" i="4"/>
  <c r="I63" i="4"/>
  <c r="D65" i="4"/>
  <c r="H7" i="4"/>
  <c r="H9" i="4"/>
  <c r="I19" i="4"/>
  <c r="H22" i="4"/>
  <c r="D25" i="4"/>
  <c r="L27" i="4"/>
  <c r="K31" i="4"/>
  <c r="I33" i="4"/>
  <c r="D35" i="4"/>
  <c r="C37" i="4"/>
  <c r="M38" i="4"/>
  <c r="G42" i="4"/>
  <c r="E44" i="4"/>
  <c r="K47" i="4"/>
  <c r="I49" i="4"/>
  <c r="C53" i="4"/>
  <c r="M54" i="4"/>
  <c r="G58" i="4"/>
  <c r="L61" i="4"/>
  <c r="K63" i="4"/>
  <c r="I7" i="4"/>
  <c r="I25" i="4"/>
  <c r="K33" i="4"/>
  <c r="D37" i="4"/>
  <c r="G44" i="4"/>
  <c r="L47" i="4"/>
  <c r="C55" i="4"/>
  <c r="H58" i="4"/>
  <c r="K65" i="4"/>
  <c r="D12" i="4"/>
  <c r="D23" i="4"/>
  <c r="L25" i="4"/>
  <c r="G30" i="4"/>
  <c r="K35" i="4"/>
  <c r="D39" i="4"/>
  <c r="M42" i="4"/>
  <c r="G46" i="4"/>
  <c r="I53" i="4"/>
  <c r="C57" i="4"/>
  <c r="E64" i="4"/>
  <c r="E50" i="4"/>
  <c r="C59" i="4"/>
  <c r="G64" i="4"/>
  <c r="E36" i="4"/>
  <c r="D43" i="4"/>
  <c r="G50" i="4"/>
  <c r="L53" i="4"/>
  <c r="C61" i="4"/>
  <c r="L29" i="4"/>
  <c r="H40" i="4"/>
  <c r="L45" i="4"/>
  <c r="D51" i="4"/>
  <c r="H56" i="4"/>
  <c r="E60" i="4"/>
  <c r="I65" i="4"/>
  <c r="E30" i="4"/>
  <c r="M40" i="4"/>
  <c r="I51" i="4"/>
  <c r="E62" i="4"/>
  <c r="K51" i="4"/>
  <c r="G62" i="4"/>
  <c r="L51" i="4"/>
  <c r="H62" i="4"/>
  <c r="H26" i="4"/>
  <c r="K39" i="4"/>
  <c r="H48" i="4"/>
  <c r="D59" i="4"/>
  <c r="L13" i="4"/>
  <c r="M20" i="4"/>
  <c r="I23" i="4"/>
  <c r="E26" i="4"/>
  <c r="M28" i="4"/>
  <c r="H30" i="4"/>
  <c r="G32" i="4"/>
  <c r="E34" i="4"/>
  <c r="L35" i="4"/>
  <c r="K37" i="4"/>
  <c r="I39" i="4"/>
  <c r="D41" i="4"/>
  <c r="C43" i="4"/>
  <c r="M44" i="4"/>
  <c r="H46" i="4"/>
  <c r="K53" i="4"/>
  <c r="E66" i="4"/>
  <c r="H32" i="4"/>
  <c r="H64" i="4"/>
  <c r="C18" i="2"/>
  <c r="D18" i="2"/>
  <c r="C20" i="2"/>
  <c r="E22" i="2"/>
  <c r="D9" i="2"/>
  <c r="C26" i="2"/>
  <c r="E15" i="2"/>
  <c r="D29" i="2"/>
  <c r="C32" i="2"/>
  <c r="E34" i="2"/>
  <c r="D36" i="2"/>
  <c r="C39" i="2"/>
  <c r="D40" i="2"/>
  <c r="C42" i="2"/>
  <c r="E44" i="2"/>
  <c r="D47" i="2"/>
  <c r="C50" i="2"/>
  <c r="E52" i="2"/>
  <c r="D55" i="2"/>
  <c r="C58" i="2"/>
  <c r="E60" i="2"/>
  <c r="D63" i="2"/>
  <c r="C66" i="2"/>
  <c r="D66" i="2"/>
  <c r="C31" i="2"/>
  <c r="E43" i="2"/>
  <c r="C57" i="2"/>
  <c r="C22" i="2"/>
  <c r="D31" i="2"/>
  <c r="D14" i="2"/>
  <c r="D49" i="2"/>
  <c r="E62" i="2"/>
  <c r="E25" i="2"/>
  <c r="C36" i="2"/>
  <c r="C47" i="2"/>
  <c r="D60" i="2"/>
  <c r="E18" i="2"/>
  <c r="D20" i="2"/>
  <c r="C23" i="2"/>
  <c r="E9" i="2"/>
  <c r="D26" i="2"/>
  <c r="C10" i="2"/>
  <c r="E29" i="2"/>
  <c r="D32" i="2"/>
  <c r="C35" i="2"/>
  <c r="E36" i="2"/>
  <c r="D39" i="2"/>
  <c r="E40" i="2"/>
  <c r="D42" i="2"/>
  <c r="C45" i="2"/>
  <c r="E47" i="2"/>
  <c r="D50" i="2"/>
  <c r="C53" i="2"/>
  <c r="E55" i="2"/>
  <c r="D58" i="2"/>
  <c r="C61" i="2"/>
  <c r="E63" i="2"/>
  <c r="E27" i="2"/>
  <c r="C38" i="2"/>
  <c r="E51" i="2"/>
  <c r="C65" i="2"/>
  <c r="D25" i="2"/>
  <c r="D38" i="2"/>
  <c r="E54" i="2"/>
  <c r="E19" i="2"/>
  <c r="C29" i="2"/>
  <c r="E14" i="2"/>
  <c r="E57" i="2"/>
  <c r="C16" i="2"/>
  <c r="E20" i="2"/>
  <c r="D23" i="2"/>
  <c r="C24" i="2"/>
  <c r="E26" i="2"/>
  <c r="D10" i="2"/>
  <c r="C30" i="2"/>
  <c r="E32" i="2"/>
  <c r="D35" i="2"/>
  <c r="C37" i="2"/>
  <c r="E39" i="2"/>
  <c r="C41" i="2"/>
  <c r="E42" i="2"/>
  <c r="D45" i="2"/>
  <c r="C48" i="2"/>
  <c r="E50" i="2"/>
  <c r="D53" i="2"/>
  <c r="C56" i="2"/>
  <c r="E58" i="2"/>
  <c r="D61" i="2"/>
  <c r="C64" i="2"/>
  <c r="E66" i="2"/>
  <c r="D12" i="2"/>
  <c r="D46" i="2"/>
  <c r="D62" i="2"/>
  <c r="E8" i="2"/>
  <c r="E11" i="2"/>
  <c r="C52" i="2"/>
  <c r="D65" i="2"/>
  <c r="D15" i="2"/>
  <c r="E38" i="2"/>
  <c r="C55" i="2"/>
  <c r="D16" i="2"/>
  <c r="C21" i="2"/>
  <c r="E23" i="2"/>
  <c r="D24" i="2"/>
  <c r="C27" i="2"/>
  <c r="E10" i="2"/>
  <c r="D30" i="2"/>
  <c r="C33" i="2"/>
  <c r="E35" i="2"/>
  <c r="D37" i="2"/>
  <c r="D41" i="2"/>
  <c r="C43" i="2"/>
  <c r="E45" i="2"/>
  <c r="D48" i="2"/>
  <c r="C51" i="2"/>
  <c r="E53" i="2"/>
  <c r="D56" i="2"/>
  <c r="C59" i="2"/>
  <c r="E61" i="2"/>
  <c r="D64" i="2"/>
  <c r="E21" i="2"/>
  <c r="D8" i="2"/>
  <c r="D28" i="2"/>
  <c r="D11" i="2"/>
  <c r="C49" i="2"/>
  <c r="E59" i="2"/>
  <c r="C15" i="2"/>
  <c r="E12" i="2"/>
  <c r="E46" i="2"/>
  <c r="D57" i="2"/>
  <c r="D22" i="2"/>
  <c r="D34" i="2"/>
  <c r="D44" i="2"/>
  <c r="D52" i="2"/>
  <c r="E65" i="2"/>
  <c r="E16" i="2"/>
  <c r="D21" i="2"/>
  <c r="C8" i="2"/>
  <c r="E24" i="2"/>
  <c r="D27" i="2"/>
  <c r="C28" i="2"/>
  <c r="E30" i="2"/>
  <c r="D33" i="2"/>
  <c r="C12" i="2"/>
  <c r="E37" i="2"/>
  <c r="C11" i="2"/>
  <c r="E41" i="2"/>
  <c r="D43" i="2"/>
  <c r="C46" i="2"/>
  <c r="E48" i="2"/>
  <c r="D51" i="2"/>
  <c r="C54" i="2"/>
  <c r="E56" i="2"/>
  <c r="D59" i="2"/>
  <c r="C62" i="2"/>
  <c r="E64" i="2"/>
  <c r="C19" i="2"/>
  <c r="C25" i="2"/>
  <c r="E33" i="2"/>
  <c r="C14" i="2"/>
  <c r="D54" i="2"/>
  <c r="D19" i="2"/>
  <c r="E28" i="2"/>
  <c r="C34" i="2"/>
  <c r="C44" i="2"/>
  <c r="C60" i="2"/>
  <c r="C9" i="2"/>
  <c r="E31" i="2"/>
  <c r="C40" i="2"/>
  <c r="E49" i="2"/>
  <c r="C63" i="2"/>
  <c r="C13" i="2"/>
  <c r="D7" i="2"/>
  <c r="D13" i="2"/>
  <c r="E17" i="2"/>
  <c r="E7" i="2"/>
  <c r="D17" i="2"/>
  <c r="C7" i="2"/>
  <c r="C17" i="2"/>
  <c r="AP3" i="1"/>
  <c r="F34" i="2" l="1"/>
  <c r="O57" i="4"/>
  <c r="Q57" i="4" s="1"/>
  <c r="O55" i="4"/>
  <c r="Q55" i="4" s="1"/>
  <c r="O35" i="4"/>
  <c r="Q35" i="4" s="1"/>
  <c r="O65" i="4"/>
  <c r="Q65" i="4" s="1"/>
  <c r="F5" i="4"/>
  <c r="F4" i="4"/>
  <c r="O47" i="4"/>
  <c r="Q47" i="4" s="1"/>
  <c r="L4" i="4"/>
  <c r="L5" i="4"/>
  <c r="O56" i="4"/>
  <c r="Q56" i="4" s="1"/>
  <c r="O34" i="4"/>
  <c r="Q34" i="4" s="1"/>
  <c r="D4" i="4"/>
  <c r="D5" i="4"/>
  <c r="O18" i="4"/>
  <c r="Q18" i="4" s="1"/>
  <c r="K4" i="6"/>
  <c r="H4" i="6"/>
  <c r="H5" i="6"/>
  <c r="O49" i="4"/>
  <c r="Q49" i="4" s="1"/>
  <c r="O39" i="4"/>
  <c r="Q39" i="4" s="1"/>
  <c r="O31" i="4"/>
  <c r="Q31" i="4" s="1"/>
  <c r="O27" i="4"/>
  <c r="Q27" i="4" s="1"/>
  <c r="O66" i="4"/>
  <c r="Q66" i="4" s="1"/>
  <c r="O44" i="4"/>
  <c r="Q44" i="4" s="1"/>
  <c r="O22" i="4"/>
  <c r="Q22" i="4" s="1"/>
  <c r="O46" i="4"/>
  <c r="Q46" i="4" s="1"/>
  <c r="O36" i="4"/>
  <c r="Q36" i="4" s="1"/>
  <c r="J5" i="4"/>
  <c r="J4" i="4"/>
  <c r="O12" i="4"/>
  <c r="Q12" i="4" s="1"/>
  <c r="O15" i="4"/>
  <c r="Q15" i="4" s="1"/>
  <c r="F5" i="6"/>
  <c r="I4" i="4"/>
  <c r="I5" i="4"/>
  <c r="O33" i="4"/>
  <c r="Q33" i="4" s="1"/>
  <c r="O21" i="4"/>
  <c r="Q21" i="4" s="1"/>
  <c r="G5" i="4"/>
  <c r="G4" i="4"/>
  <c r="O24" i="4"/>
  <c r="Q24" i="4" s="1"/>
  <c r="O9" i="4"/>
  <c r="Q9" i="4" s="1"/>
  <c r="J4" i="6"/>
  <c r="J5" i="6"/>
  <c r="E5" i="4"/>
  <c r="E4" i="4"/>
  <c r="O41" i="4"/>
  <c r="Q41" i="4" s="1"/>
  <c r="M4" i="4"/>
  <c r="M5" i="4"/>
  <c r="O52" i="4"/>
  <c r="Q52" i="4" s="1"/>
  <c r="O30" i="4"/>
  <c r="Q30" i="4" s="1"/>
  <c r="O64" i="4"/>
  <c r="Q64" i="4" s="1"/>
  <c r="O54" i="4"/>
  <c r="Q54" i="4" s="1"/>
  <c r="O16" i="4"/>
  <c r="Q16" i="4" s="1"/>
  <c r="O19" i="4"/>
  <c r="Q19" i="4" s="1"/>
  <c r="O25" i="4"/>
  <c r="Q25" i="4" s="1"/>
  <c r="O40" i="4"/>
  <c r="Q40" i="4" s="1"/>
  <c r="O42" i="4"/>
  <c r="Q42" i="4" s="1"/>
  <c r="O32" i="4"/>
  <c r="Q32" i="4" s="1"/>
  <c r="O10" i="4"/>
  <c r="Q10" i="4" s="1"/>
  <c r="O13" i="4"/>
  <c r="Q13" i="4" s="1"/>
  <c r="D4" i="6"/>
  <c r="O59" i="4"/>
  <c r="Q59" i="4" s="1"/>
  <c r="O37" i="4"/>
  <c r="Q37" i="4" s="1"/>
  <c r="O45" i="4"/>
  <c r="Q45" i="4" s="1"/>
  <c r="O29" i="4"/>
  <c r="Q29" i="4" s="1"/>
  <c r="O60" i="4"/>
  <c r="Q60" i="4" s="1"/>
  <c r="O62" i="4"/>
  <c r="Q62" i="4" s="1"/>
  <c r="O20" i="4"/>
  <c r="Q20" i="4" s="1"/>
  <c r="L5" i="6"/>
  <c r="I4" i="6"/>
  <c r="I5" i="6"/>
  <c r="O43" i="4"/>
  <c r="Q43" i="4" s="1"/>
  <c r="H5" i="4"/>
  <c r="H4" i="4"/>
  <c r="N5" i="4"/>
  <c r="N4" i="4"/>
  <c r="O48" i="4"/>
  <c r="Q48" i="4" s="1"/>
  <c r="O26" i="4"/>
  <c r="Q26" i="4" s="1"/>
  <c r="C4" i="4"/>
  <c r="O7" i="4"/>
  <c r="Q7" i="4" s="1"/>
  <c r="C5" i="4"/>
  <c r="O50" i="4"/>
  <c r="Q50" i="4" s="1"/>
  <c r="O14" i="4"/>
  <c r="Q14" i="4" s="1"/>
  <c r="O17" i="4"/>
  <c r="Q17" i="4" s="1"/>
  <c r="L4" i="6"/>
  <c r="F4" i="6"/>
  <c r="O61" i="4"/>
  <c r="Q61" i="4" s="1"/>
  <c r="O53" i="4"/>
  <c r="Q53" i="4" s="1"/>
  <c r="O51" i="4"/>
  <c r="Q51" i="4" s="1"/>
  <c r="O63" i="4"/>
  <c r="Q63" i="4" s="1"/>
  <c r="O23" i="4"/>
  <c r="Q23" i="4" s="1"/>
  <c r="O58" i="4"/>
  <c r="Q58" i="4" s="1"/>
  <c r="K5" i="4"/>
  <c r="K4" i="4"/>
  <c r="O38" i="4"/>
  <c r="Q38" i="4" s="1"/>
  <c r="O28" i="4"/>
  <c r="Q28" i="4" s="1"/>
  <c r="O8" i="4"/>
  <c r="Q8" i="4" s="1"/>
  <c r="D5" i="6"/>
  <c r="O11" i="4"/>
  <c r="Q11" i="4" s="1"/>
  <c r="K5" i="6"/>
  <c r="D4" i="2"/>
  <c r="C4" i="2"/>
  <c r="F60" i="2"/>
  <c r="F65" i="2"/>
  <c r="F25" i="2"/>
  <c r="F46" i="2"/>
  <c r="D5" i="2"/>
  <c r="C5" i="2"/>
  <c r="F12" i="2"/>
  <c r="F44" i="2"/>
  <c r="F11" i="2"/>
  <c r="F15" i="2"/>
  <c r="F54" i="2"/>
  <c r="F43" i="2"/>
  <c r="F52" i="2"/>
  <c r="F41" i="2"/>
  <c r="F37" i="2"/>
  <c r="F21" i="2"/>
  <c r="F56" i="2"/>
  <c r="F42" i="2"/>
  <c r="F26" i="2"/>
  <c r="F61" i="2"/>
  <c r="F9" i="2"/>
  <c r="F23" i="2"/>
  <c r="F66" i="2"/>
  <c r="F24" i="2"/>
  <c r="F19" i="2"/>
  <c r="F49" i="2"/>
  <c r="F16" i="2"/>
  <c r="F53" i="2"/>
  <c r="F35" i="2"/>
  <c r="F33" i="2"/>
  <c r="F51" i="2"/>
  <c r="F22" i="2"/>
  <c r="F58" i="2"/>
  <c r="F39" i="2"/>
  <c r="F59" i="2"/>
  <c r="F14" i="2"/>
  <c r="F17" i="2"/>
  <c r="F63" i="2"/>
  <c r="F28" i="2"/>
  <c r="F62" i="2"/>
  <c r="F48" i="2"/>
  <c r="F30" i="2"/>
  <c r="F38" i="2"/>
  <c r="F47" i="2"/>
  <c r="F57" i="2"/>
  <c r="F55" i="2"/>
  <c r="F20" i="2"/>
  <c r="F8" i="2"/>
  <c r="F29" i="2"/>
  <c r="F45" i="2"/>
  <c r="F10" i="2"/>
  <c r="F36" i="2"/>
  <c r="F40" i="2"/>
  <c r="F27" i="2"/>
  <c r="F64" i="2"/>
  <c r="F31" i="2"/>
  <c r="F50" i="2"/>
  <c r="F32" i="2"/>
  <c r="F18" i="2"/>
  <c r="F7" i="2"/>
  <c r="R7" i="1"/>
  <c r="R6" i="1"/>
  <c r="R5" i="1"/>
  <c r="R4" i="1"/>
  <c r="R3" i="1"/>
  <c r="G4" i="1"/>
  <c r="G5" i="1"/>
  <c r="G6" i="1"/>
  <c r="G7" i="1"/>
  <c r="G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l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C8" i="7"/>
  <c r="D8" i="7" s="1"/>
  <c r="C16" i="7"/>
  <c r="D16" i="7" s="1"/>
  <c r="C24" i="7"/>
  <c r="D24" i="7" s="1"/>
  <c r="C32" i="7"/>
  <c r="D32" i="7" s="1"/>
  <c r="C40" i="7"/>
  <c r="D40" i="7" s="1"/>
  <c r="C48" i="7"/>
  <c r="D48" i="7" s="1"/>
  <c r="C56" i="7"/>
  <c r="D56" i="7" s="1"/>
  <c r="C64" i="7"/>
  <c r="D64" i="7" s="1"/>
  <c r="C72" i="7"/>
  <c r="D72" i="7" s="1"/>
  <c r="C9" i="7"/>
  <c r="D9" i="7" s="1"/>
  <c r="C17" i="7"/>
  <c r="D17" i="7" s="1"/>
  <c r="C25" i="7"/>
  <c r="D25" i="7" s="1"/>
  <c r="C33" i="7"/>
  <c r="D33" i="7" s="1"/>
  <c r="C41" i="7"/>
  <c r="D41" i="7" s="1"/>
  <c r="C49" i="7"/>
  <c r="D49" i="7" s="1"/>
  <c r="C57" i="7"/>
  <c r="D57" i="7" s="1"/>
  <c r="C65" i="7"/>
  <c r="D65" i="7" s="1"/>
  <c r="C73" i="7"/>
  <c r="D73" i="7" s="1"/>
  <c r="C10" i="7"/>
  <c r="D10" i="7" s="1"/>
  <c r="C18" i="7"/>
  <c r="D18" i="7" s="1"/>
  <c r="C26" i="7"/>
  <c r="D26" i="7" s="1"/>
  <c r="C34" i="7"/>
  <c r="D34" i="7" s="1"/>
  <c r="C42" i="7"/>
  <c r="D42" i="7" s="1"/>
  <c r="C50" i="7"/>
  <c r="D50" i="7" s="1"/>
  <c r="C58" i="7"/>
  <c r="D58" i="7" s="1"/>
  <c r="C66" i="7"/>
  <c r="D66" i="7" s="1"/>
  <c r="C5" i="7"/>
  <c r="D5" i="7" s="1"/>
  <c r="C29" i="7"/>
  <c r="D29" i="7" s="1"/>
  <c r="C53" i="7"/>
  <c r="D53" i="7" s="1"/>
  <c r="C23" i="7"/>
  <c r="D23" i="7" s="1"/>
  <c r="C47" i="7"/>
  <c r="D47" i="7" s="1"/>
  <c r="C71" i="7"/>
  <c r="D71" i="7" s="1"/>
  <c r="C11" i="7"/>
  <c r="D11" i="7" s="1"/>
  <c r="C19" i="7"/>
  <c r="D19" i="7" s="1"/>
  <c r="C27" i="7"/>
  <c r="D27" i="7" s="1"/>
  <c r="C35" i="7"/>
  <c r="D35" i="7" s="1"/>
  <c r="C43" i="7"/>
  <c r="D43" i="7" s="1"/>
  <c r="C51" i="7"/>
  <c r="D51" i="7" s="1"/>
  <c r="C59" i="7"/>
  <c r="D59" i="7" s="1"/>
  <c r="C67" i="7"/>
  <c r="D67" i="7" s="1"/>
  <c r="C4" i="7"/>
  <c r="D4" i="7" s="1"/>
  <c r="C21" i="7"/>
  <c r="D21" i="7" s="1"/>
  <c r="C37" i="7"/>
  <c r="D37" i="7" s="1"/>
  <c r="C61" i="7"/>
  <c r="D61" i="7" s="1"/>
  <c r="C15" i="7"/>
  <c r="D15" i="7" s="1"/>
  <c r="C39" i="7"/>
  <c r="D39" i="7" s="1"/>
  <c r="C63" i="7"/>
  <c r="D63" i="7" s="1"/>
  <c r="C12" i="7"/>
  <c r="D12" i="7" s="1"/>
  <c r="C20" i="7"/>
  <c r="D20" i="7" s="1"/>
  <c r="C28" i="7"/>
  <c r="D28" i="7" s="1"/>
  <c r="C36" i="7"/>
  <c r="D36" i="7" s="1"/>
  <c r="C44" i="7"/>
  <c r="D44" i="7" s="1"/>
  <c r="C52" i="7"/>
  <c r="D52" i="7" s="1"/>
  <c r="C60" i="7"/>
  <c r="D60" i="7" s="1"/>
  <c r="C68" i="7"/>
  <c r="D68" i="7" s="1"/>
  <c r="C13" i="7"/>
  <c r="D13" i="7" s="1"/>
  <c r="C45" i="7"/>
  <c r="D45" i="7" s="1"/>
  <c r="C69" i="7"/>
  <c r="D69" i="7" s="1"/>
  <c r="C7" i="7"/>
  <c r="D7" i="7" s="1"/>
  <c r="C31" i="7"/>
  <c r="D31" i="7" s="1"/>
  <c r="C55" i="7"/>
  <c r="D55" i="7" s="1"/>
  <c r="C6" i="7"/>
  <c r="D6" i="7" s="1"/>
  <c r="C14" i="7"/>
  <c r="D14" i="7" s="1"/>
  <c r="C22" i="7"/>
  <c r="D22" i="7" s="1"/>
  <c r="C30" i="7"/>
  <c r="D30" i="7" s="1"/>
  <c r="C38" i="7"/>
  <c r="D38" i="7" s="1"/>
  <c r="C46" i="7"/>
  <c r="D46" i="7" s="1"/>
  <c r="C54" i="7"/>
  <c r="D54" i="7" s="1"/>
  <c r="C62" i="7"/>
  <c r="D62" i="7" s="1"/>
  <c r="C70" i="7"/>
  <c r="D70" i="7" s="1"/>
  <c r="E54" i="6"/>
  <c r="E21" i="6"/>
  <c r="E52" i="6"/>
  <c r="E19" i="6"/>
  <c r="E58" i="6"/>
  <c r="E46" i="6"/>
  <c r="E13" i="6"/>
  <c r="E44" i="6"/>
  <c r="E11" i="6"/>
  <c r="E50" i="6"/>
  <c r="E25" i="6"/>
  <c r="E64" i="6"/>
  <c r="E38" i="6"/>
  <c r="E36" i="6"/>
  <c r="E30" i="6"/>
  <c r="E61" i="6"/>
  <c r="E22" i="6"/>
  <c r="E53" i="6"/>
  <c r="E20" i="6"/>
  <c r="E51" i="6"/>
  <c r="E26" i="6"/>
  <c r="E65" i="6"/>
  <c r="E40" i="6"/>
  <c r="E15" i="6"/>
  <c r="E12" i="6"/>
  <c r="E43" i="6"/>
  <c r="E14" i="6"/>
  <c r="E45" i="6"/>
  <c r="E37" i="6"/>
  <c r="E60" i="6"/>
  <c r="E66" i="6"/>
  <c r="E42" i="6"/>
  <c r="E17" i="6"/>
  <c r="E63" i="6"/>
  <c r="E39" i="6"/>
  <c r="E23" i="6"/>
  <c r="E57" i="6"/>
  <c r="E62" i="6"/>
  <c r="E59" i="6"/>
  <c r="E48" i="6"/>
  <c r="E18" i="6"/>
  <c r="E28" i="6"/>
  <c r="E49" i="6"/>
  <c r="E27" i="6"/>
  <c r="E56" i="6"/>
  <c r="E41" i="6"/>
  <c r="E55" i="6"/>
  <c r="E47" i="6"/>
  <c r="E31" i="6"/>
  <c r="E35" i="6"/>
  <c r="E10" i="6"/>
  <c r="E33" i="6"/>
  <c r="E29" i="6"/>
  <c r="E7" i="6"/>
  <c r="E34" i="6"/>
  <c r="E9" i="6"/>
  <c r="E32" i="6"/>
  <c r="E24" i="6"/>
  <c r="E16" i="6"/>
  <c r="E8" i="6"/>
  <c r="G35" i="6"/>
  <c r="G66" i="6"/>
  <c r="G33" i="6"/>
  <c r="G60" i="6"/>
  <c r="G27" i="6"/>
  <c r="G58" i="6"/>
  <c r="G25" i="6"/>
  <c r="G64" i="6"/>
  <c r="G39" i="6"/>
  <c r="G52" i="6"/>
  <c r="G19" i="6"/>
  <c r="G50" i="6"/>
  <c r="G44" i="6"/>
  <c r="G36" i="6"/>
  <c r="G34" i="6"/>
  <c r="G65" i="6"/>
  <c r="G40" i="6"/>
  <c r="G15" i="6"/>
  <c r="G54" i="6"/>
  <c r="G29" i="6"/>
  <c r="G26" i="6"/>
  <c r="G57" i="6"/>
  <c r="G28" i="6"/>
  <c r="G59" i="6"/>
  <c r="G32" i="6"/>
  <c r="G55" i="6"/>
  <c r="G48" i="6"/>
  <c r="G62" i="6"/>
  <c r="G21" i="6"/>
  <c r="G61" i="6"/>
  <c r="G18" i="6"/>
  <c r="G63" i="6"/>
  <c r="G38" i="6"/>
  <c r="G30" i="6"/>
  <c r="G22" i="6"/>
  <c r="G14" i="6"/>
  <c r="G7" i="6"/>
  <c r="G49" i="6"/>
  <c r="G16" i="6"/>
  <c r="G45" i="6"/>
  <c r="G41" i="6"/>
  <c r="G46" i="6"/>
  <c r="G31" i="6"/>
  <c r="G10" i="6"/>
  <c r="G8" i="6"/>
  <c r="G13" i="6"/>
  <c r="G53" i="6"/>
  <c r="G37" i="6"/>
  <c r="G11" i="6"/>
  <c r="G23" i="6"/>
  <c r="G20" i="6"/>
  <c r="G51" i="6"/>
  <c r="G9" i="6"/>
  <c r="G56" i="6"/>
  <c r="G12" i="6"/>
  <c r="G43" i="6"/>
  <c r="G42" i="6"/>
  <c r="G17" i="6"/>
  <c r="G24" i="6"/>
  <c r="G47" i="6"/>
  <c r="E13" i="2"/>
  <c r="F13" i="2" s="1"/>
  <c r="F4" i="2" s="1"/>
  <c r="F1" i="2" s="1"/>
  <c r="O4" i="4"/>
  <c r="O1" i="4" s="1"/>
  <c r="O5" i="4"/>
  <c r="E4" i="2" l="1"/>
  <c r="E5" i="2"/>
  <c r="F5" i="2" s="1"/>
  <c r="A24" i="6"/>
  <c r="A16" i="6"/>
  <c r="A56" i="6"/>
  <c r="A17" i="6"/>
  <c r="A23" i="6"/>
  <c r="A14" i="6"/>
  <c r="A60" i="6"/>
  <c r="A51" i="6"/>
  <c r="A58" i="6"/>
  <c r="G4" i="6"/>
  <c r="G5" i="6"/>
  <c r="A40" i="6"/>
  <c r="A9" i="6"/>
  <c r="A15" i="6"/>
  <c r="A61" i="6"/>
  <c r="A52" i="6"/>
  <c r="A43" i="6"/>
  <c r="A50" i="6"/>
  <c r="A65" i="6"/>
  <c r="E5" i="6"/>
  <c r="A8" i="6"/>
  <c r="A62" i="6"/>
  <c r="A53" i="6"/>
  <c r="A44" i="6"/>
  <c r="A35" i="6"/>
  <c r="A42" i="6"/>
  <c r="A32" i="6"/>
  <c r="A57" i="6"/>
  <c r="A63" i="6"/>
  <c r="A54" i="6"/>
  <c r="A45" i="6"/>
  <c r="A36" i="6"/>
  <c r="A27" i="6"/>
  <c r="A34" i="6"/>
  <c r="A49" i="6"/>
  <c r="A55" i="6"/>
  <c r="A46" i="6"/>
  <c r="A37" i="6"/>
  <c r="A28" i="6"/>
  <c r="A19" i="6"/>
  <c r="A26" i="6"/>
  <c r="A41" i="6"/>
  <c r="A47" i="6"/>
  <c r="A38" i="6"/>
  <c r="A29" i="6"/>
  <c r="A20" i="6"/>
  <c r="A11" i="6"/>
  <c r="A18" i="6"/>
  <c r="A48" i="6"/>
  <c r="A33" i="6"/>
  <c r="A39" i="6"/>
  <c r="A30" i="6"/>
  <c r="A21" i="6"/>
  <c r="A12" i="6"/>
  <c r="E4" i="6"/>
  <c r="A7" i="6"/>
  <c r="A10" i="6"/>
  <c r="A64" i="6"/>
  <c r="A25" i="6"/>
  <c r="A31" i="6"/>
  <c r="A22" i="6"/>
  <c r="A13" i="6"/>
  <c r="A59" i="6"/>
  <c r="A66" i="6"/>
</calcChain>
</file>

<file path=xl/sharedStrings.xml><?xml version="1.0" encoding="utf-8"?>
<sst xmlns="http://schemas.openxmlformats.org/spreadsheetml/2006/main" count="11832" uniqueCount="1685">
  <si>
    <t>QTY</t>
  </si>
  <si>
    <t>Grade</t>
  </si>
  <si>
    <t>Company</t>
  </si>
  <si>
    <t>Product Cat</t>
  </si>
  <si>
    <t>Type</t>
  </si>
  <si>
    <t>Bill No.</t>
  </si>
  <si>
    <t>Purchase Date</t>
  </si>
  <si>
    <t>Date for CN</t>
  </si>
  <si>
    <t>EBI</t>
  </si>
  <si>
    <t>PP</t>
  </si>
  <si>
    <t>CN Month</t>
  </si>
  <si>
    <t>Buy Rate</t>
  </si>
  <si>
    <t>Source</t>
  </si>
  <si>
    <t>Diff</t>
  </si>
  <si>
    <t>Loading</t>
  </si>
  <si>
    <t>MOU</t>
  </si>
  <si>
    <t>Insurance</t>
  </si>
  <si>
    <t>LLDPE SLIP F2001S OPAL</t>
  </si>
  <si>
    <t>OPAL</t>
  </si>
  <si>
    <t>LLDPE</t>
  </si>
  <si>
    <t>With Discounts</t>
  </si>
  <si>
    <t>Yes</t>
  </si>
  <si>
    <t>GAIL</t>
  </si>
  <si>
    <t>HDPE</t>
  </si>
  <si>
    <t>Outright</t>
  </si>
  <si>
    <t>PUCBE2526000102</t>
  </si>
  <si>
    <t>PUSLM2526000018</t>
  </si>
  <si>
    <t>Sr. No.</t>
  </si>
  <si>
    <t>Supplier</t>
  </si>
  <si>
    <t>Bill Month</t>
  </si>
  <si>
    <t>PSPL Branch</t>
  </si>
  <si>
    <t>Price Type</t>
  </si>
  <si>
    <t>Location</t>
  </si>
  <si>
    <t>Reconciliation</t>
  </si>
  <si>
    <t>QD</t>
  </si>
  <si>
    <t>Scheme</t>
  </si>
  <si>
    <t>Extra</t>
  </si>
  <si>
    <t>Total</t>
  </si>
  <si>
    <t>MRPL</t>
  </si>
  <si>
    <t>RIL</t>
  </si>
  <si>
    <t>BCPL</t>
  </si>
  <si>
    <t>TASNEE</t>
  </si>
  <si>
    <t>LOTRENE</t>
  </si>
  <si>
    <t>HMEL</t>
  </si>
  <si>
    <t>BOROUGE</t>
  </si>
  <si>
    <t>MARLEX</t>
  </si>
  <si>
    <t>HALDIA</t>
  </si>
  <si>
    <t>EXXON</t>
  </si>
  <si>
    <t>CHAKRAPANI VYAPAR PRIVATE LIMITED</t>
  </si>
  <si>
    <t>Discounts</t>
  </si>
  <si>
    <t>10</t>
  </si>
  <si>
    <t>HS/2526/00026</t>
  </si>
  <si>
    <t>HS/2526/00027</t>
  </si>
  <si>
    <t>1</t>
  </si>
  <si>
    <t>RO/CH/25-26/0004</t>
  </si>
  <si>
    <t>11</t>
  </si>
  <si>
    <t>CV2526BGP000053</t>
  </si>
  <si>
    <t>CV2526YPR000311</t>
  </si>
  <si>
    <t>HS/2526/00089</t>
  </si>
  <si>
    <t>HS/2526/00088</t>
  </si>
  <si>
    <t>22</t>
  </si>
  <si>
    <t>NI/005/25-26</t>
  </si>
  <si>
    <t>26</t>
  </si>
  <si>
    <t>B008/25-56</t>
  </si>
  <si>
    <t>T1250037</t>
  </si>
  <si>
    <t>APPLKAR/GST/20</t>
  </si>
  <si>
    <t>RO/CH/25-26/0007</t>
  </si>
  <si>
    <t>RO/CH/25-26/0008</t>
  </si>
  <si>
    <t>CV2526BGP000077</t>
  </si>
  <si>
    <t>B011/25-56</t>
  </si>
  <si>
    <t>RO/CH/25-26/0011</t>
  </si>
  <si>
    <t>RO/CH/25-26/0009</t>
  </si>
  <si>
    <t>SP/17/25-26</t>
  </si>
  <si>
    <t>CV2526YPR000556</t>
  </si>
  <si>
    <t>CN000017</t>
  </si>
  <si>
    <t>A-40/2025-26</t>
  </si>
  <si>
    <t>SYN25/00144</t>
  </si>
  <si>
    <t>SYN25/00139</t>
  </si>
  <si>
    <t>CV2526BGP000121</t>
  </si>
  <si>
    <t>48</t>
  </si>
  <si>
    <t>SYN25/00185</t>
  </si>
  <si>
    <t>SYN25/00186</t>
  </si>
  <si>
    <t>HYD/82</t>
  </si>
  <si>
    <t>MNG/030</t>
  </si>
  <si>
    <t>A-61/2025-26</t>
  </si>
  <si>
    <t>263</t>
  </si>
  <si>
    <t>252</t>
  </si>
  <si>
    <t>RM/084/25-26</t>
  </si>
  <si>
    <t>CV2526YPR000886</t>
  </si>
  <si>
    <t>267</t>
  </si>
  <si>
    <t>CV2526YPR000893</t>
  </si>
  <si>
    <t>CV2526YPR000910</t>
  </si>
  <si>
    <t>APPLKAR/GST/55</t>
  </si>
  <si>
    <t>TN/25-26/27</t>
  </si>
  <si>
    <t>HS/2526/00279</t>
  </si>
  <si>
    <t>B016/25-56</t>
  </si>
  <si>
    <t>283</t>
  </si>
  <si>
    <t>HS/2526/00291</t>
  </si>
  <si>
    <t>277</t>
  </si>
  <si>
    <t>SYN25/00244</t>
  </si>
  <si>
    <t>30/2025-26</t>
  </si>
  <si>
    <t>CV2526TVK000075</t>
  </si>
  <si>
    <t>91</t>
  </si>
  <si>
    <t>CM/2526/1042499</t>
  </si>
  <si>
    <t>HYD/108</t>
  </si>
  <si>
    <t>CV2526TVK000081</t>
  </si>
  <si>
    <t>302</t>
  </si>
  <si>
    <t>SYN25/00268</t>
  </si>
  <si>
    <t>SYN25/00270</t>
  </si>
  <si>
    <t>SYN25/00271</t>
  </si>
  <si>
    <t>SYN25/00272</t>
  </si>
  <si>
    <t>CN000027</t>
  </si>
  <si>
    <t>A-76/2025-26</t>
  </si>
  <si>
    <t>CV2526YPR001100</t>
  </si>
  <si>
    <t>IN25-26/BLR/0113</t>
  </si>
  <si>
    <t>320</t>
  </si>
  <si>
    <t>SPLMH/038/25-26</t>
  </si>
  <si>
    <t>TRA/0090/25-26</t>
  </si>
  <si>
    <t>98</t>
  </si>
  <si>
    <t>EKM/KVN/-288</t>
  </si>
  <si>
    <t>340</t>
  </si>
  <si>
    <t>341</t>
  </si>
  <si>
    <t>CKLR/044/25-26</t>
  </si>
  <si>
    <t>101</t>
  </si>
  <si>
    <t>344</t>
  </si>
  <si>
    <t>SYN25/00331</t>
  </si>
  <si>
    <t>CV2526BGP000168</t>
  </si>
  <si>
    <t>107</t>
  </si>
  <si>
    <t>HS/2526/00362</t>
  </si>
  <si>
    <t>SYN25/00358</t>
  </si>
  <si>
    <t>2025-26/012</t>
  </si>
  <si>
    <t>80</t>
  </si>
  <si>
    <t>CV2526TVK000096</t>
  </si>
  <si>
    <t>SP-OT-25-26-088</t>
  </si>
  <si>
    <t>TRA/0108/25-26</t>
  </si>
  <si>
    <t>3</t>
  </si>
  <si>
    <t>RM/124/25-26</t>
  </si>
  <si>
    <t>2025-26/015</t>
  </si>
  <si>
    <t>IN25-26/BLR/0155</t>
  </si>
  <si>
    <t>IN25-26/BLR/0159</t>
  </si>
  <si>
    <t>16/ISUN/25-26</t>
  </si>
  <si>
    <t>A-95/2025-26</t>
  </si>
  <si>
    <t>A-91/2025-26</t>
  </si>
  <si>
    <t>CV2526BGP000201</t>
  </si>
  <si>
    <t>5</t>
  </si>
  <si>
    <t>2025-26/019</t>
  </si>
  <si>
    <t>SP-OT-25-26-099</t>
  </si>
  <si>
    <t>501</t>
  </si>
  <si>
    <t>499</t>
  </si>
  <si>
    <t>CV2526YPR001665</t>
  </si>
  <si>
    <t>511</t>
  </si>
  <si>
    <t>53/2025-26</t>
  </si>
  <si>
    <t>A-102/2025-26</t>
  </si>
  <si>
    <t>2526-119</t>
  </si>
  <si>
    <t>B024/25-26</t>
  </si>
  <si>
    <t>API/25-26/054</t>
  </si>
  <si>
    <t>TN/EC/2526/00057</t>
  </si>
  <si>
    <t>TN/EC/2526/00058</t>
  </si>
  <si>
    <t>TN/EC/2526/00059</t>
  </si>
  <si>
    <t>TN/EC/2526/00060</t>
  </si>
  <si>
    <t>SP-OT-25-26-110</t>
  </si>
  <si>
    <t>559</t>
  </si>
  <si>
    <t>122</t>
  </si>
  <si>
    <t>8</t>
  </si>
  <si>
    <t>579</t>
  </si>
  <si>
    <t>581</t>
  </si>
  <si>
    <t>CV2526BGP000267</t>
  </si>
  <si>
    <t>CKLR/085/25-26</t>
  </si>
  <si>
    <t>85</t>
  </si>
  <si>
    <t>599</t>
  </si>
  <si>
    <t>G2025KL94GS00099</t>
  </si>
  <si>
    <t>623</t>
  </si>
  <si>
    <t>619</t>
  </si>
  <si>
    <t>RM/220/25-26</t>
  </si>
  <si>
    <t>A-109/2025-26</t>
  </si>
  <si>
    <t>G2025TN80GS00262</t>
  </si>
  <si>
    <t>RM/229/25-26</t>
  </si>
  <si>
    <t>IN25-26/BLR/0224</t>
  </si>
  <si>
    <t>651</t>
  </si>
  <si>
    <t>657</t>
  </si>
  <si>
    <t>CKLR/098/25-26</t>
  </si>
  <si>
    <t>662</t>
  </si>
  <si>
    <t>TN000051</t>
  </si>
  <si>
    <t>TN000052</t>
  </si>
  <si>
    <t>TN/EC/2526/00078</t>
  </si>
  <si>
    <t>684</t>
  </si>
  <si>
    <t>CV2526TVK000178</t>
  </si>
  <si>
    <t>A-145/2025-26</t>
  </si>
  <si>
    <t>697</t>
  </si>
  <si>
    <t>654/2025-26</t>
  </si>
  <si>
    <t>659/2025-26</t>
  </si>
  <si>
    <t>G2025TN87GS00142</t>
  </si>
  <si>
    <t>IN25-26/BLR/0249</t>
  </si>
  <si>
    <t>CKLR/108/25-26</t>
  </si>
  <si>
    <t>CV2526BGP000310</t>
  </si>
  <si>
    <t>PUSLM2526000014</t>
  </si>
  <si>
    <t>PUSLM2526000015</t>
  </si>
  <si>
    <t>710</t>
  </si>
  <si>
    <t>SYN25/00792</t>
  </si>
  <si>
    <t>CV2526YPR002649</t>
  </si>
  <si>
    <t>CV2526TVK000189</t>
  </si>
  <si>
    <t>CV2526TVK000190</t>
  </si>
  <si>
    <t>Trading136</t>
  </si>
  <si>
    <t>CV2526YPR002599</t>
  </si>
  <si>
    <t>Trading134</t>
  </si>
  <si>
    <t>TN/EC/2526/00090</t>
  </si>
  <si>
    <t>2025-26/031</t>
  </si>
  <si>
    <t>Trading146</t>
  </si>
  <si>
    <t>HYD/347</t>
  </si>
  <si>
    <t>PUSLM2526000020</t>
  </si>
  <si>
    <t>PUSLM2526000021</t>
  </si>
  <si>
    <t>CV2526YPR002702</t>
  </si>
  <si>
    <t>764</t>
  </si>
  <si>
    <t>785</t>
  </si>
  <si>
    <t>54/25-26</t>
  </si>
  <si>
    <t>Trading148</t>
  </si>
  <si>
    <t>55/25-26</t>
  </si>
  <si>
    <t>VP/0387/25-26</t>
  </si>
  <si>
    <t>CV2526TVK000198</t>
  </si>
  <si>
    <t>CV2526BGP000347</t>
  </si>
  <si>
    <t>CV2526YPR002857</t>
  </si>
  <si>
    <t>HYD/379</t>
  </si>
  <si>
    <t>CV2526YPR002886</t>
  </si>
  <si>
    <t>SDI/D/0089/25-26</t>
  </si>
  <si>
    <t>181</t>
  </si>
  <si>
    <t>SC-POLYMETALZ/03/1004</t>
  </si>
  <si>
    <t>189</t>
  </si>
  <si>
    <t>CV2526TVK000202</t>
  </si>
  <si>
    <t>CV2526TVK000203</t>
  </si>
  <si>
    <t>CV2526YPR002979</t>
  </si>
  <si>
    <t>CV2526YPR002972</t>
  </si>
  <si>
    <t>27</t>
  </si>
  <si>
    <t>HYD/399</t>
  </si>
  <si>
    <t>859</t>
  </si>
  <si>
    <t>CV2526TVK000212</t>
  </si>
  <si>
    <t>PUCHE2526000217</t>
  </si>
  <si>
    <t>864</t>
  </si>
  <si>
    <t>CV2526YPR003078</t>
  </si>
  <si>
    <t>SYN25/00960</t>
  </si>
  <si>
    <t>SYN25/00961</t>
  </si>
  <si>
    <t>SYN25/00959</t>
  </si>
  <si>
    <t>HYD/414</t>
  </si>
  <si>
    <t>HS/2526/00811</t>
  </si>
  <si>
    <t>PUSLM2526000029</t>
  </si>
  <si>
    <t>PUSLM2526000030</t>
  </si>
  <si>
    <t>896</t>
  </si>
  <si>
    <t>PUSLM2526000031</t>
  </si>
  <si>
    <t>CV2526BGP000382</t>
  </si>
  <si>
    <t>MNG/161</t>
  </si>
  <si>
    <t>SYN25/01016</t>
  </si>
  <si>
    <t>00132</t>
  </si>
  <si>
    <t>SP/0565/25-26</t>
  </si>
  <si>
    <t>SVP25-26/238</t>
  </si>
  <si>
    <t>CV2526YPR003210</t>
  </si>
  <si>
    <t>PUSLM2526000032</t>
  </si>
  <si>
    <t>PUSLM2526000033</t>
  </si>
  <si>
    <t>913</t>
  </si>
  <si>
    <t>CV2526BGP000396</t>
  </si>
  <si>
    <t>CV2526BGP000395</t>
  </si>
  <si>
    <t>URMPL/Y62377/2024-25</t>
  </si>
  <si>
    <t>SP/60/25-26</t>
  </si>
  <si>
    <t>2902-0291/25-26</t>
  </si>
  <si>
    <t>216</t>
  </si>
  <si>
    <t>HYD/454</t>
  </si>
  <si>
    <t>CV2526BGP000409</t>
  </si>
  <si>
    <t>2902-0292/25-26</t>
  </si>
  <si>
    <t>00135</t>
  </si>
  <si>
    <t>PUSLM2526000039</t>
  </si>
  <si>
    <t>PUSLM2526000040</t>
  </si>
  <si>
    <t>171/CHN/25-26</t>
  </si>
  <si>
    <t>SYN25/01034</t>
  </si>
  <si>
    <t>IN25-26/BLR/0337</t>
  </si>
  <si>
    <t>B042/25-26</t>
  </si>
  <si>
    <t>SYN25/01075</t>
  </si>
  <si>
    <t>SYN25/01065</t>
  </si>
  <si>
    <t>986</t>
  </si>
  <si>
    <t>GST/069/25-26</t>
  </si>
  <si>
    <t>GST/070/25-26</t>
  </si>
  <si>
    <t>SYN25/01094</t>
  </si>
  <si>
    <t>GST/071/25-26</t>
  </si>
  <si>
    <t>SYN25/01093</t>
  </si>
  <si>
    <t>PUCHE2526000257</t>
  </si>
  <si>
    <t>1003</t>
  </si>
  <si>
    <t>PUSLM2526000047</t>
  </si>
  <si>
    <t>PUSLM2526000048</t>
  </si>
  <si>
    <t>CV2526YPR003625</t>
  </si>
  <si>
    <t>CV2526BGP000448</t>
  </si>
  <si>
    <t>SP/68/25-26</t>
  </si>
  <si>
    <t>CV2526BGP000455</t>
  </si>
  <si>
    <t>CV2526TVK0002382</t>
  </si>
  <si>
    <t>PUSLM2526000058</t>
  </si>
  <si>
    <t>CV2526BGP000458</t>
  </si>
  <si>
    <t>CV2526YPR003620</t>
  </si>
  <si>
    <t>1016</t>
  </si>
  <si>
    <t>1020</t>
  </si>
  <si>
    <t>IN25-26/BLR/0377</t>
  </si>
  <si>
    <t>CV2526BGP000469</t>
  </si>
  <si>
    <t>A-201/2025-26</t>
  </si>
  <si>
    <t>1053</t>
  </si>
  <si>
    <t>SYN25/01220</t>
  </si>
  <si>
    <t>A-202/2025-26</t>
  </si>
  <si>
    <t>HYD/519</t>
  </si>
  <si>
    <t>1064</t>
  </si>
  <si>
    <t>251</t>
  </si>
  <si>
    <t>IN25-26/BLR/0395</t>
  </si>
  <si>
    <t>SYN25/01236</t>
  </si>
  <si>
    <t>1085</t>
  </si>
  <si>
    <t>CV2526BGP000498</t>
  </si>
  <si>
    <t>SYN25/01270</t>
  </si>
  <si>
    <t>258</t>
  </si>
  <si>
    <t>261</t>
  </si>
  <si>
    <t>262</t>
  </si>
  <si>
    <t>1124</t>
  </si>
  <si>
    <t>264</t>
  </si>
  <si>
    <t>PUSLM2526000068</t>
  </si>
  <si>
    <t>PUSLM2526000062</t>
  </si>
  <si>
    <t>SP-OT-25-26-209</t>
  </si>
  <si>
    <t>CV2526TVK000291</t>
  </si>
  <si>
    <t>IN25-26/BLR/0423</t>
  </si>
  <si>
    <t>PUSLM2526000072</t>
  </si>
  <si>
    <t>A-225/2025-26</t>
  </si>
  <si>
    <t>20</t>
  </si>
  <si>
    <t>CV2526YPR004078</t>
  </si>
  <si>
    <t>CV2526BGP000520</t>
  </si>
  <si>
    <t>PUSLM2526000074</t>
  </si>
  <si>
    <t>HS/2526/01035</t>
  </si>
  <si>
    <t>CHN/25-26/130</t>
  </si>
  <si>
    <t>284</t>
  </si>
  <si>
    <t>SYN25/01385</t>
  </si>
  <si>
    <t>CV2526YPR004218</t>
  </si>
  <si>
    <t>1178</t>
  </si>
  <si>
    <t>PUSLM2526000077</t>
  </si>
  <si>
    <t>PUSLM2526000078</t>
  </si>
  <si>
    <t>MNG/227</t>
  </si>
  <si>
    <t>A-250/2025-26</t>
  </si>
  <si>
    <t>1179</t>
  </si>
  <si>
    <t>IN25-26/BLR/0441</t>
  </si>
  <si>
    <t>PUSLM2526000075</t>
  </si>
  <si>
    <t>PUSLM2526000076</t>
  </si>
  <si>
    <t>SYN25/01413</t>
  </si>
  <si>
    <t>1191</t>
  </si>
  <si>
    <t>292</t>
  </si>
  <si>
    <t>259</t>
  </si>
  <si>
    <t>1197</t>
  </si>
  <si>
    <t>SYN25/01452</t>
  </si>
  <si>
    <t>CV2526TVK000314</t>
  </si>
  <si>
    <t>HS/2526/01066</t>
  </si>
  <si>
    <t>CV2526YPR004335</t>
  </si>
  <si>
    <t>GST/085/2025-26</t>
  </si>
  <si>
    <t>1207</t>
  </si>
  <si>
    <t>1219</t>
  </si>
  <si>
    <t>CV2526TVK000328</t>
  </si>
  <si>
    <t>CV2526TVK000329</t>
  </si>
  <si>
    <t>304</t>
  </si>
  <si>
    <t>SVP25-26/307</t>
  </si>
  <si>
    <t>MNG/237</t>
  </si>
  <si>
    <t>CV2526YPR004380</t>
  </si>
  <si>
    <t>ANG/KVN/-849</t>
  </si>
  <si>
    <t>198/2025-26</t>
  </si>
  <si>
    <t>CV2526BGP000541</t>
  </si>
  <si>
    <t>PUSLM2526000086</t>
  </si>
  <si>
    <t>APPLKAR/GST/256</t>
  </si>
  <si>
    <t>CV2526TVK000339</t>
  </si>
  <si>
    <t>313</t>
  </si>
  <si>
    <t>CV2526YPR004616</t>
  </si>
  <si>
    <t>CV2526YPR004659</t>
  </si>
  <si>
    <t>CV2526YPR004660</t>
  </si>
  <si>
    <t>CV2526YPR004684</t>
  </si>
  <si>
    <t>1308</t>
  </si>
  <si>
    <t>PUSLM2526000090</t>
  </si>
  <si>
    <t>PUSLM2526000089</t>
  </si>
  <si>
    <t>SYN25/01574</t>
  </si>
  <si>
    <t>PUSLM2526000091</t>
  </si>
  <si>
    <t>CV2526YPR004723</t>
  </si>
  <si>
    <t>CV2526YPR004722</t>
  </si>
  <si>
    <t>U1/0348/25-26</t>
  </si>
  <si>
    <t>325</t>
  </si>
  <si>
    <t>328</t>
  </si>
  <si>
    <t>329</t>
  </si>
  <si>
    <t>330</t>
  </si>
  <si>
    <t>332</t>
  </si>
  <si>
    <t>IN25-26/BLR/0516</t>
  </si>
  <si>
    <t>1339</t>
  </si>
  <si>
    <t>331</t>
  </si>
  <si>
    <t>324</t>
  </si>
  <si>
    <t>IN25-26/BLR/0521</t>
  </si>
  <si>
    <t>338</t>
  </si>
  <si>
    <t>CV2526YPR004959</t>
  </si>
  <si>
    <t>1383</t>
  </si>
  <si>
    <t>2907-0367/25-26</t>
  </si>
  <si>
    <t>2907-0369/25-26</t>
  </si>
  <si>
    <t>2901-0382/25-26</t>
  </si>
  <si>
    <t>343</t>
  </si>
  <si>
    <t>CV2526TVK000359</t>
  </si>
  <si>
    <t>CV2526TVK000360</t>
  </si>
  <si>
    <t>419</t>
  </si>
  <si>
    <t>00205</t>
  </si>
  <si>
    <t>1400</t>
  </si>
  <si>
    <t>351</t>
  </si>
  <si>
    <t>210/2025-26</t>
  </si>
  <si>
    <t>PUSLM2526000097</t>
  </si>
  <si>
    <t>PUSLM2526000098</t>
  </si>
  <si>
    <t>PUSLM2526000099</t>
  </si>
  <si>
    <t>PUSLM2526000100</t>
  </si>
  <si>
    <t>CV2526TVK000386</t>
  </si>
  <si>
    <t>PUSLM2526000102</t>
  </si>
  <si>
    <t>PUSLM2526000103</t>
  </si>
  <si>
    <t>PUSLM2526000104</t>
  </si>
  <si>
    <t>CV2526TVK000392</t>
  </si>
  <si>
    <t>2907-0386/25-26</t>
  </si>
  <si>
    <t>CV2526TVK000393</t>
  </si>
  <si>
    <t>1472</t>
  </si>
  <si>
    <t>G2025TN80GS00648</t>
  </si>
  <si>
    <t>1477</t>
  </si>
  <si>
    <t>33111252602944</t>
  </si>
  <si>
    <t>PUSLM2526000105</t>
  </si>
  <si>
    <t>PUSLM2526000106</t>
  </si>
  <si>
    <t>CV2526BGP000598</t>
  </si>
  <si>
    <t>CV2526TVK000406</t>
  </si>
  <si>
    <t>2907-0396/25-26</t>
  </si>
  <si>
    <t>CV2526TVK000417</t>
  </si>
  <si>
    <t>1497</t>
  </si>
  <si>
    <t>A-294/2025-26</t>
  </si>
  <si>
    <t>SVP25-26/377</t>
  </si>
  <si>
    <t>CV2526TVK000419</t>
  </si>
  <si>
    <t>307/25-26</t>
  </si>
  <si>
    <t>369</t>
  </si>
  <si>
    <t>VP/0789/25-26</t>
  </si>
  <si>
    <t>310/25-26</t>
  </si>
  <si>
    <t>PUSLM2526000109</t>
  </si>
  <si>
    <t>PUSLM2526000108</t>
  </si>
  <si>
    <t>PUCHE2526000426</t>
  </si>
  <si>
    <t>1557</t>
  </si>
  <si>
    <t>HYD/734</t>
  </si>
  <si>
    <t>HYD/739</t>
  </si>
  <si>
    <t>1545</t>
  </si>
  <si>
    <t>1541</t>
  </si>
  <si>
    <t>224/2025-26</t>
  </si>
  <si>
    <t>PUSLM2526000110</t>
  </si>
  <si>
    <t>PUSLM2526000112</t>
  </si>
  <si>
    <t>PUSLM2526000111</t>
  </si>
  <si>
    <t>A-303/2025-26</t>
  </si>
  <si>
    <t>PUSLM2526000114</t>
  </si>
  <si>
    <t>1567</t>
  </si>
  <si>
    <t>CV2526YPR005605</t>
  </si>
  <si>
    <t>A-315/2025-26</t>
  </si>
  <si>
    <t>EKM/KVNI-1423</t>
  </si>
  <si>
    <t>1601</t>
  </si>
  <si>
    <t>A-321/2025-26</t>
  </si>
  <si>
    <t>1602</t>
  </si>
  <si>
    <t>319/25-26</t>
  </si>
  <si>
    <t>CV2526YPR005753</t>
  </si>
  <si>
    <t>2901-0443/25-26</t>
  </si>
  <si>
    <t>PUCBE2526000263</t>
  </si>
  <si>
    <t>PUSLM2526000123</t>
  </si>
  <si>
    <t>PUCBE2526000264</t>
  </si>
  <si>
    <t>54</t>
  </si>
  <si>
    <t>IN25-26/BLR/0393</t>
  </si>
  <si>
    <t>1619</t>
  </si>
  <si>
    <t>33111252603178</t>
  </si>
  <si>
    <t>IN25-26/BLR/0606</t>
  </si>
  <si>
    <t>1636</t>
  </si>
  <si>
    <t>323/25-26</t>
  </si>
  <si>
    <t>SVP25-26/436</t>
  </si>
  <si>
    <t>SVP25-26/435</t>
  </si>
  <si>
    <t>PUSLM2526000131</t>
  </si>
  <si>
    <t>PUSLM2526000130</t>
  </si>
  <si>
    <t>PUSLM2526000129</t>
  </si>
  <si>
    <t>SP-OT-25-26-307</t>
  </si>
  <si>
    <t>2902-0647/25-26</t>
  </si>
  <si>
    <t>PUSLM2526000135</t>
  </si>
  <si>
    <t>1680</t>
  </si>
  <si>
    <t>CV2526BGP000671</t>
  </si>
  <si>
    <t>SP/1085/25-26</t>
  </si>
  <si>
    <t>PUSLM2526000140</t>
  </si>
  <si>
    <t>TPLKAR/GST/280</t>
  </si>
  <si>
    <t>CV2526BGP000685</t>
  </si>
  <si>
    <t>SPL/2220/25-26</t>
  </si>
  <si>
    <t>2025-26/404</t>
  </si>
  <si>
    <t>2025-26/405</t>
  </si>
  <si>
    <t>2907-0464/25-26</t>
  </si>
  <si>
    <t>SYN25/02122</t>
  </si>
  <si>
    <t>PUSLM2526000143</t>
  </si>
  <si>
    <t>PUSLM2526000144</t>
  </si>
  <si>
    <t>2907-0470/25-26</t>
  </si>
  <si>
    <t>2025-26/417</t>
  </si>
  <si>
    <t>CV2526TVK000573</t>
  </si>
  <si>
    <t>B080/25-26</t>
  </si>
  <si>
    <t>TI/GJ25-26/01539</t>
  </si>
  <si>
    <t>CV2526YPR006221</t>
  </si>
  <si>
    <t>TPLKAR/GST/312</t>
  </si>
  <si>
    <t>CV2526YPR006326</t>
  </si>
  <si>
    <t>Trading348</t>
  </si>
  <si>
    <t>PUSLM2526000151</t>
  </si>
  <si>
    <t>SYN25/02193</t>
  </si>
  <si>
    <t>B081/25-26</t>
  </si>
  <si>
    <t>SPL/2365/25-26</t>
  </si>
  <si>
    <t>SPL/2366/25-26</t>
  </si>
  <si>
    <t>SYN25/02209</t>
  </si>
  <si>
    <t>HS/2526/01575</t>
  </si>
  <si>
    <t>G2025TN80GS00806</t>
  </si>
  <si>
    <t>439</t>
  </si>
  <si>
    <t>2907-0493/25-26</t>
  </si>
  <si>
    <t>1853</t>
  </si>
  <si>
    <t>PUSLM2526000156</t>
  </si>
  <si>
    <t>CV2526TVK000605</t>
  </si>
  <si>
    <t>449</t>
  </si>
  <si>
    <t>CV2526YPR006604</t>
  </si>
  <si>
    <t>SYN25/02288</t>
  </si>
  <si>
    <t>2907-0508/25-26</t>
  </si>
  <si>
    <t>U1/0490/25-26</t>
  </si>
  <si>
    <t>444</t>
  </si>
  <si>
    <t>PUSLM2526000158</t>
  </si>
  <si>
    <t>MNG/336</t>
  </si>
  <si>
    <t>1887</t>
  </si>
  <si>
    <t>CV2526YPR006629</t>
  </si>
  <si>
    <t>PUSLM2526000159</t>
  </si>
  <si>
    <t>454</t>
  </si>
  <si>
    <t>Trading369</t>
  </si>
  <si>
    <t>PUCHE2526000591</t>
  </si>
  <si>
    <t>PUCHE2526000592</t>
  </si>
  <si>
    <t>PUSLM2526000165</t>
  </si>
  <si>
    <t>PUSLM2526000163</t>
  </si>
  <si>
    <t>VP/0981/25-26</t>
  </si>
  <si>
    <t>1934</t>
  </si>
  <si>
    <t>1987</t>
  </si>
  <si>
    <t>ANG/KVN/-1290</t>
  </si>
  <si>
    <t>MVM2526G1031</t>
  </si>
  <si>
    <t>Trading376</t>
  </si>
  <si>
    <t>G2025TN80GS00883</t>
  </si>
  <si>
    <t>2008</t>
  </si>
  <si>
    <t>CV2526YPR007074</t>
  </si>
  <si>
    <t>CV2526BGP000782</t>
  </si>
  <si>
    <t>CV2526YPR007078</t>
  </si>
  <si>
    <t>2033</t>
  </si>
  <si>
    <t>PUSLM2526000168</t>
  </si>
  <si>
    <t>CV2526YPR007149</t>
  </si>
  <si>
    <t>VP/1034/25-26</t>
  </si>
  <si>
    <t>CV2526YPR007180</t>
  </si>
  <si>
    <t>U1/0534/25-26</t>
  </si>
  <si>
    <t>PUSLM2526000171</t>
  </si>
  <si>
    <t>CV2526TVK000677</t>
  </si>
  <si>
    <t>CV2526YPR007264</t>
  </si>
  <si>
    <t>CV2526YPR007265</t>
  </si>
  <si>
    <t>PUSLM2526000172</t>
  </si>
  <si>
    <t>Trading394</t>
  </si>
  <si>
    <t>CV2526BGP000797</t>
  </si>
  <si>
    <t>CKLR/246/25-26</t>
  </si>
  <si>
    <t>CV2526TVK000682</t>
  </si>
  <si>
    <t>CV2526YPR007354</t>
  </si>
  <si>
    <t>PUSLM2526000177</t>
  </si>
  <si>
    <t>RM/1177/25-26</t>
  </si>
  <si>
    <t>CKLR/252/25-26</t>
  </si>
  <si>
    <t>CV2526YPR007449</t>
  </si>
  <si>
    <t>B095/25-26</t>
  </si>
  <si>
    <t>IN25-26/BLR/0525</t>
  </si>
  <si>
    <t>B096/25-26</t>
  </si>
  <si>
    <t>Trading397</t>
  </si>
  <si>
    <t>CV2526YPR007614</t>
  </si>
  <si>
    <t>252602997</t>
  </si>
  <si>
    <t>CV2526YPR007660</t>
  </si>
  <si>
    <t>00302</t>
  </si>
  <si>
    <t>2201</t>
  </si>
  <si>
    <t>HS/2526/01841</t>
  </si>
  <si>
    <t>HS/2526/01842</t>
  </si>
  <si>
    <t>CV2526YPR007779</t>
  </si>
  <si>
    <t>CV2526BGP000847</t>
  </si>
  <si>
    <t>PUSLM2526000189</t>
  </si>
  <si>
    <t>PUSLM2526000190</t>
  </si>
  <si>
    <t>PUSLM2526000191</t>
  </si>
  <si>
    <t>CV2526YPR007871</t>
  </si>
  <si>
    <t>PUSLM2526000193</t>
  </si>
  <si>
    <t>CV2526YPR007881</t>
  </si>
  <si>
    <t>CV2526YPR007880</t>
  </si>
  <si>
    <t>IN25-26/BLR/0814</t>
  </si>
  <si>
    <t>CV2526TVK000718</t>
  </si>
  <si>
    <t>2269</t>
  </si>
  <si>
    <t>PUSLM2526000196</t>
  </si>
  <si>
    <t>B105/25-26</t>
  </si>
  <si>
    <t>GST/2025-26/170</t>
  </si>
  <si>
    <t>SVP25-26/616</t>
  </si>
  <si>
    <t>461/25-26</t>
  </si>
  <si>
    <t>Trading414</t>
  </si>
  <si>
    <t>SYN25/02786</t>
  </si>
  <si>
    <t>PUSLM2526000197</t>
  </si>
  <si>
    <t>CV2526YPR008092</t>
  </si>
  <si>
    <t>KP/CKR/78/25-26</t>
  </si>
  <si>
    <t>CV2526YPR008114</t>
  </si>
  <si>
    <t>CV2526TVK000737</t>
  </si>
  <si>
    <t>CV2526TVK000743</t>
  </si>
  <si>
    <t>SYN25/02818</t>
  </si>
  <si>
    <t>B106/25-26</t>
  </si>
  <si>
    <t>B107/25-26</t>
  </si>
  <si>
    <t>Vidhi/25-26/99</t>
  </si>
  <si>
    <t>2361</t>
  </si>
  <si>
    <t>CKLR/287/25-26</t>
  </si>
  <si>
    <t>B110/25-26</t>
  </si>
  <si>
    <t>174/ITPL/25-26</t>
  </si>
  <si>
    <t>B111/25-26</t>
  </si>
  <si>
    <t>CV2526TVK000771</t>
  </si>
  <si>
    <t>CKLR/293/25-26</t>
  </si>
  <si>
    <t>2328/2025-26</t>
  </si>
  <si>
    <t>CV2526TVK000774</t>
  </si>
  <si>
    <t>PUSLM2526000204</t>
  </si>
  <si>
    <t>CV2526YPR008479</t>
  </si>
  <si>
    <t>CV2526YPR008537</t>
  </si>
  <si>
    <t>CKLR/300/25-26</t>
  </si>
  <si>
    <t>SVP25-26/648</t>
  </si>
  <si>
    <t>CV2526TVK000780</t>
  </si>
  <si>
    <t>CKLR/307/25-26</t>
  </si>
  <si>
    <t>RM/1300/25-26</t>
  </si>
  <si>
    <t>600</t>
  </si>
  <si>
    <t>CV2526BGP000926</t>
  </si>
  <si>
    <t>B113/25-26</t>
  </si>
  <si>
    <t>CV2526TVK000792</t>
  </si>
  <si>
    <t>IN25-26/BLR/0609</t>
  </si>
  <si>
    <t>CV2526TVK000797</t>
  </si>
  <si>
    <t>2488</t>
  </si>
  <si>
    <t>CV2526YPR008872</t>
  </si>
  <si>
    <t>PUSLM2526000212</t>
  </si>
  <si>
    <t>2482</t>
  </si>
  <si>
    <t>IN25-26/BLR/0617</t>
  </si>
  <si>
    <t>2474</t>
  </si>
  <si>
    <t>CV2526BGP000961</t>
  </si>
  <si>
    <t>CV2526YPR008888</t>
  </si>
  <si>
    <t>067</t>
  </si>
  <si>
    <t>CV2526BGP000976</t>
  </si>
  <si>
    <t>PUSLM2526000215</t>
  </si>
  <si>
    <t>A-492/2025-26</t>
  </si>
  <si>
    <t>2546</t>
  </si>
  <si>
    <t>CV2526YPR009011</t>
  </si>
  <si>
    <t>HS/2526/02053</t>
  </si>
  <si>
    <t>PUSLM2526000217</t>
  </si>
  <si>
    <t>CV2526BGP000977</t>
  </si>
  <si>
    <t>PUSLM2526000216</t>
  </si>
  <si>
    <t>G2025TN80GS01134</t>
  </si>
  <si>
    <t>RM/1371/25-26</t>
  </si>
  <si>
    <t>CKLR/329/25-26</t>
  </si>
  <si>
    <t>2553</t>
  </si>
  <si>
    <t>CKLR/328/25-26</t>
  </si>
  <si>
    <t>2562/2025-26</t>
  </si>
  <si>
    <t>SVP25-26/693</t>
  </si>
  <si>
    <t>CV2526YPR009217</t>
  </si>
  <si>
    <t>CV2526TVK000818</t>
  </si>
  <si>
    <t>PUSLM2526000223</t>
  </si>
  <si>
    <t>PUSLM2526000222</t>
  </si>
  <si>
    <t>CV2526TVK000821</t>
  </si>
  <si>
    <t>CV2526BGP001009</t>
  </si>
  <si>
    <t>CV2526BGP001010</t>
  </si>
  <si>
    <t>AP/585</t>
  </si>
  <si>
    <t>Trading475</t>
  </si>
  <si>
    <t>852</t>
  </si>
  <si>
    <t>CV2526TVK000844</t>
  </si>
  <si>
    <t>PF/25-26/0192</t>
  </si>
  <si>
    <t>SVP25-26/707</t>
  </si>
  <si>
    <t>CV2526YPR009618</t>
  </si>
  <si>
    <t>2713</t>
  </si>
  <si>
    <t>SYN25/03369</t>
  </si>
  <si>
    <t>CV2526TVK000851</t>
  </si>
  <si>
    <t>A-555/2025-26</t>
  </si>
  <si>
    <t>38</t>
  </si>
  <si>
    <t>CV2526YPR009809</t>
  </si>
  <si>
    <t>CV2526YPR009918</t>
  </si>
  <si>
    <t>2753</t>
  </si>
  <si>
    <t>CV2526YPR9968</t>
  </si>
  <si>
    <t>CV2526YPR010010</t>
  </si>
  <si>
    <t>PUSLM2526000236</t>
  </si>
  <si>
    <t>Vidhi/25-26/138</t>
  </si>
  <si>
    <t>2812</t>
  </si>
  <si>
    <t>CV2526YPR010085</t>
  </si>
  <si>
    <t>CV2526YPR010084</t>
  </si>
  <si>
    <t>PUSLM2526000239</t>
  </si>
  <si>
    <t>PUSLM2526000238</t>
  </si>
  <si>
    <t>CV2526YPR010154</t>
  </si>
  <si>
    <t>G2025TN80GS01286</t>
  </si>
  <si>
    <t>CV2526YPR010173</t>
  </si>
  <si>
    <t>CV2526YPR010175</t>
  </si>
  <si>
    <t>CV2526YPR010174</t>
  </si>
  <si>
    <t>CV2526YPR010199</t>
  </si>
  <si>
    <t>KAR/25-26/01052</t>
  </si>
  <si>
    <t>252604022</t>
  </si>
  <si>
    <t>SVP25-26/764</t>
  </si>
  <si>
    <t>CV2526YPR010241</t>
  </si>
  <si>
    <t>2870</t>
  </si>
  <si>
    <t>PUSLM2526000242</t>
  </si>
  <si>
    <t>PUSLM2526000243</t>
  </si>
  <si>
    <t>2877</t>
  </si>
  <si>
    <t>CV2526YPR010298</t>
  </si>
  <si>
    <t>A-567/2025-26</t>
  </si>
  <si>
    <t>PUCHE2526000891</t>
  </si>
  <si>
    <t>PUCHE2526000892</t>
  </si>
  <si>
    <t>VP/1435/25-26</t>
  </si>
  <si>
    <t>CV2526TVK000871</t>
  </si>
  <si>
    <t>CV2526YPR010609</t>
  </si>
  <si>
    <t>SVP25-26/792</t>
  </si>
  <si>
    <t>SVP25-26/791</t>
  </si>
  <si>
    <t>958</t>
  </si>
  <si>
    <t>CV2526YPR010620</t>
  </si>
  <si>
    <t>2965</t>
  </si>
  <si>
    <t>SVP25-26/798</t>
  </si>
  <si>
    <t>A-576/2025-26</t>
  </si>
  <si>
    <t>2025-26/089</t>
  </si>
  <si>
    <t>PUSLM2526000258</t>
  </si>
  <si>
    <t>PUSLM2526000252</t>
  </si>
  <si>
    <t>CV2526TVK000891</t>
  </si>
  <si>
    <t>SVP25-26/813</t>
  </si>
  <si>
    <t>CV2526YPR010781</t>
  </si>
  <si>
    <t>PUSLM2526000260</t>
  </si>
  <si>
    <t>PUSLM2526000261</t>
  </si>
  <si>
    <t>2992/2025-26</t>
  </si>
  <si>
    <t>SVP25-26/815</t>
  </si>
  <si>
    <t>A-579/2025-26</t>
  </si>
  <si>
    <t>Vidhi/25-26/141</t>
  </si>
  <si>
    <t>SVP25-26/821</t>
  </si>
  <si>
    <t>3022</t>
  </si>
  <si>
    <t>A-586/2025-26</t>
  </si>
  <si>
    <t>SSP-501/25-26</t>
  </si>
  <si>
    <t>CV2526YPR010863</t>
  </si>
  <si>
    <t>U1/0832/25-26</t>
  </si>
  <si>
    <t>SVP25-26/822</t>
  </si>
  <si>
    <t>CM/2526/1043516</t>
  </si>
  <si>
    <t>U1/0844/25-26</t>
  </si>
  <si>
    <t>3056</t>
  </si>
  <si>
    <t>CV2526YPR011072</t>
  </si>
  <si>
    <t>SVP25-26/833</t>
  </si>
  <si>
    <t>U2/0569/25-26</t>
  </si>
  <si>
    <t>PUSLM2526000271</t>
  </si>
  <si>
    <t>PUSLM2526000272</t>
  </si>
  <si>
    <t>PUSLM2526000273</t>
  </si>
  <si>
    <t>3065</t>
  </si>
  <si>
    <t>SVP25-26/840</t>
  </si>
  <si>
    <t>HS/2526/02491</t>
  </si>
  <si>
    <t>SVP25-26/839</t>
  </si>
  <si>
    <t>U1/0856/25-26</t>
  </si>
  <si>
    <t>56</t>
  </si>
  <si>
    <t>U1/0857/25-26</t>
  </si>
  <si>
    <t>SYN25/03818</t>
  </si>
  <si>
    <t>SVP25-26/851</t>
  </si>
  <si>
    <t>VP/1529/25-26</t>
  </si>
  <si>
    <t>2607</t>
  </si>
  <si>
    <t>3082</t>
  </si>
  <si>
    <t>CM/2526/1043549</t>
  </si>
  <si>
    <t>PUSLM2526000277</t>
  </si>
  <si>
    <t>PUSLM2526000278</t>
  </si>
  <si>
    <t>CV2526YPR011320</t>
  </si>
  <si>
    <t>60</t>
  </si>
  <si>
    <t>PUSLM2526000276</t>
  </si>
  <si>
    <t>3116</t>
  </si>
  <si>
    <t>3131</t>
  </si>
  <si>
    <t>CV2526YPR011388</t>
  </si>
  <si>
    <t>CV2526YPR011425</t>
  </si>
  <si>
    <t>CV2526YPR011440</t>
  </si>
  <si>
    <t>PUSLM2526000281</t>
  </si>
  <si>
    <t>PUSLM2526000282</t>
  </si>
  <si>
    <t>PUSLM2526000283</t>
  </si>
  <si>
    <t>CV2526YPR011442</t>
  </si>
  <si>
    <t>CV2526YPR011492</t>
  </si>
  <si>
    <t>SYN25/03921</t>
  </si>
  <si>
    <t>A-603/2025-26</t>
  </si>
  <si>
    <t>PUSLM2526000291</t>
  </si>
  <si>
    <t>CV2526YPR011529</t>
  </si>
  <si>
    <t>CV2526BGP001182</t>
  </si>
  <si>
    <t>CV2526TVK000938</t>
  </si>
  <si>
    <t>U-II/25-26/00726</t>
  </si>
  <si>
    <t>64</t>
  </si>
  <si>
    <t>CV2526YPR011606</t>
  </si>
  <si>
    <t>PUSLM2526000298</t>
  </si>
  <si>
    <t>SYN25/03945</t>
  </si>
  <si>
    <t>3201</t>
  </si>
  <si>
    <t>CV2526YPR011726</t>
  </si>
  <si>
    <t>PUSLM2526000304</t>
  </si>
  <si>
    <t>1063</t>
  </si>
  <si>
    <t>SP-OT-25-26-539</t>
  </si>
  <si>
    <t>SYN25/04038</t>
  </si>
  <si>
    <t>SYN25/04039</t>
  </si>
  <si>
    <t>NC2137</t>
  </si>
  <si>
    <t>HS/2526/02662</t>
  </si>
  <si>
    <t>SPL/4418/25-26</t>
  </si>
  <si>
    <t>3277</t>
  </si>
  <si>
    <t>A-653/2025-26</t>
  </si>
  <si>
    <t>VP/1662/25-26</t>
  </si>
  <si>
    <t>SPL/4436/25-26</t>
  </si>
  <si>
    <t>SYN25/04123</t>
  </si>
  <si>
    <t>SYN25/04141</t>
  </si>
  <si>
    <t>SYN25/04142</t>
  </si>
  <si>
    <t>3292/2025-26</t>
  </si>
  <si>
    <t>659/25-26</t>
  </si>
  <si>
    <t>3323/2025-26</t>
  </si>
  <si>
    <t>3318/2025-26</t>
  </si>
  <si>
    <t>SYN25/04169</t>
  </si>
  <si>
    <t>SYN25/04170</t>
  </si>
  <si>
    <t>245/TN/25-26</t>
  </si>
  <si>
    <t>SYN25/04164</t>
  </si>
  <si>
    <t>CV2526YPR012220</t>
  </si>
  <si>
    <t>A-668/2025-26</t>
  </si>
  <si>
    <t>PUSLM2526000311</t>
  </si>
  <si>
    <t>3381</t>
  </si>
  <si>
    <t>PUSLM2526000313</t>
  </si>
  <si>
    <t>PUSLM2526000314</t>
  </si>
  <si>
    <t>PUSLM2526000316</t>
  </si>
  <si>
    <t>3365</t>
  </si>
  <si>
    <t>676/25-26</t>
  </si>
  <si>
    <t>U2/0631/25-26</t>
  </si>
  <si>
    <t>SYN25/04235</t>
  </si>
  <si>
    <t>CV2526BGP001259</t>
  </si>
  <si>
    <t>MH/2526/0939</t>
  </si>
  <si>
    <t>SVP25-26/931</t>
  </si>
  <si>
    <t>CV2526BGP001270</t>
  </si>
  <si>
    <t>PUSLM2526000323</t>
  </si>
  <si>
    <t>PUSLM2526000324</t>
  </si>
  <si>
    <t>960</t>
  </si>
  <si>
    <t>696/25-26</t>
  </si>
  <si>
    <t>1129</t>
  </si>
  <si>
    <t>A-686/2025-26</t>
  </si>
  <si>
    <t>CV2526TVK000995</t>
  </si>
  <si>
    <t>1137</t>
  </si>
  <si>
    <t>75</t>
  </si>
  <si>
    <t>IN25-26/BLR/1260</t>
  </si>
  <si>
    <t>ANG/KVN/-2267</t>
  </si>
  <si>
    <t>CV2526YPR012750</t>
  </si>
  <si>
    <t>CV2526YPR012792</t>
  </si>
  <si>
    <t>CV2526YPR012913</t>
  </si>
  <si>
    <t>CV2526BGP001308</t>
  </si>
  <si>
    <t>CV2526TVK001009</t>
  </si>
  <si>
    <t>PARAGON RESIN LLP</t>
  </si>
  <si>
    <t>HARISHREE POLYMERS PRIVATE LIMITED</t>
  </si>
  <si>
    <t>KAMAKYA CHEMPLAST PRIVATE LIMITED</t>
  </si>
  <si>
    <t>RAGHUSHARAN OVERSEAS PRIVATE LIMITED</t>
  </si>
  <si>
    <t>SHUBHAM INTERNATIONAL PRIVATE LIMITED</t>
  </si>
  <si>
    <t>NAGASHREE INDUSTRIES</t>
  </si>
  <si>
    <t>BULK LIQUID SOLUTIONS PVT LTD</t>
  </si>
  <si>
    <t>TRIMURTI POLYCHEM PRIVATE LIMITED</t>
  </si>
  <si>
    <t>AMBIKA PETROCHEM PRIVATE LIMITED</t>
  </si>
  <si>
    <t>SQUAREFLEX PACKAGING PRIVATE LIMITED</t>
  </si>
  <si>
    <t>D R POLYMERS PRIVATE LIMITED</t>
  </si>
  <si>
    <t>IVORY POLYMERS</t>
  </si>
  <si>
    <t>INTIME VINCOM PRIVATE LIMITED</t>
  </si>
  <si>
    <t>SYNTHETIC PACKERS LIMITED</t>
  </si>
  <si>
    <t>TREENITY PLY DECOR</t>
  </si>
  <si>
    <t>PRESTINE VENTURES PRIVATE LIMITED</t>
  </si>
  <si>
    <t>LPB Plastic Private Limited</t>
  </si>
  <si>
    <t>SHRINATH ROTOPACK (MP) PRIVATE LIMITED</t>
  </si>
  <si>
    <t>VISHAL POLYCHEM</t>
  </si>
  <si>
    <t>SIGMA CHEMTRADE PRIVATE LIMITED</t>
  </si>
  <si>
    <t>APEX TECHNO POLYMER PRIVATE LIMITED</t>
  </si>
  <si>
    <t>SIM POLYMERS LLP</t>
  </si>
  <si>
    <t>SIDDHARTH POLYMERS PRIVATE LIMITED</t>
  </si>
  <si>
    <t>K V N IMPEX PVT LTD</t>
  </si>
  <si>
    <t>ASHOKA ENTERPRISE</t>
  </si>
  <si>
    <t>SERVO PACKAGING LIMITED</t>
  </si>
  <si>
    <t>SUN POLYTRADE LLP</t>
  </si>
  <si>
    <t>GUJARAT PETROSYNTHESE LIMITED</t>
  </si>
  <si>
    <t>ADITHYA PLASTIC INDUSTRIES</t>
  </si>
  <si>
    <t>ZETWERK MANUFACTURING BUSINESSES PRIVATE LIMITED</t>
  </si>
  <si>
    <t>GOTAWAT INDUSTRIES</t>
  </si>
  <si>
    <t>TEGRAL INDIA PRIVATE LIMITED</t>
  </si>
  <si>
    <t>SRI LAKOSHA POLYMER PRIVATE LTD</t>
  </si>
  <si>
    <t>PURAV POLYMERS PRIVATE LIMITED</t>
  </si>
  <si>
    <t>PRISHA POLYTECH LLP</t>
  </si>
  <si>
    <t>SPRING POLYMERS</t>
  </si>
  <si>
    <t>VINAY PLASTICS</t>
  </si>
  <si>
    <t>SADGURU INDUSTRIES</t>
  </si>
  <si>
    <t>STAVIAN CHEMICAL JOINT STOCK COMPANY</t>
  </si>
  <si>
    <t>SAMYUKTA POLYMERS</t>
  </si>
  <si>
    <t>SRI VENKATESHWARA POLYMERS</t>
  </si>
  <si>
    <t>UNITED RAW MATERIAL PTE LTD</t>
  </si>
  <si>
    <t>KLENE PAKS LIMITED</t>
  </si>
  <si>
    <t>RISHABH TRIEXIM LLP</t>
  </si>
  <si>
    <t>TUBE PRODUCTS</t>
  </si>
  <si>
    <t>MARVEL POLYEXIM LLP</t>
  </si>
  <si>
    <t>LAXMI POLYCHEM INDIA LTD</t>
  </si>
  <si>
    <t>JD POLYMERS PACKAGING SOLUTIONS PRIVATE LIMITED</t>
  </si>
  <si>
    <t>VALUE PACKAGING INDUSTRIES PRIVATE LIMITED</t>
  </si>
  <si>
    <t>POLY PIPES INDIA PRIVATE LIMITED</t>
  </si>
  <si>
    <t>RAJATH CONSUMABLES</t>
  </si>
  <si>
    <t>RAVAGO SHAH POLYMERS PRIVATE LIMITED</t>
  </si>
  <si>
    <t>TARAJYOT POLYMERS LIMITED</t>
  </si>
  <si>
    <t>DVK POLYMERS</t>
  </si>
  <si>
    <t>OFB TECH PRIVATE LIMITED</t>
  </si>
  <si>
    <t>RAM-NATH AND COMPANY PRIVATE LIMITED</t>
  </si>
  <si>
    <t>ORGANIC INDUSTRIES  PRIVATE LIMITED</t>
  </si>
  <si>
    <t>APSARA POLYMERS PVT LTD</t>
  </si>
  <si>
    <t>KARNATAKA PETROTECH</t>
  </si>
  <si>
    <t>VIDHI PETRO PRODUCTS PRIVATE LIMITED</t>
  </si>
  <si>
    <t>M.M.POLYMERS,</t>
  </si>
  <si>
    <t>ALLIED PLASTICS</t>
  </si>
  <si>
    <t>PARASHAVANATH FILAMENTS</t>
  </si>
  <si>
    <t>J  P  POLYMERS PRIVATE LIMITED</t>
  </si>
  <si>
    <t>SHREE SHYAM POLYMERS</t>
  </si>
  <si>
    <t>MAYUR PLASTIC</t>
  </si>
  <si>
    <t>MADHU PLASTICS (P)LTD</t>
  </si>
  <si>
    <t>NAVKAR CHEMICALS</t>
  </si>
  <si>
    <t>KULODAY TECHNOPACK PVT.LTD</t>
  </si>
  <si>
    <t>Bangalore WH</t>
  </si>
  <si>
    <t>Chennai Office</t>
  </si>
  <si>
    <t>LD SLIP J24FS040 RIL</t>
  </si>
  <si>
    <t>HDPE HM F52H04 OPAL</t>
  </si>
  <si>
    <t>LLDPE NONSLIP F2003A OPAL</t>
  </si>
  <si>
    <t>LLDPE NON-SLIP F2002A OPAL</t>
  </si>
  <si>
    <t>PP RAFFIA HR003 MRPL</t>
  </si>
  <si>
    <t>PVC SUSPENSION RESIN HS1000R</t>
  </si>
  <si>
    <t>PP TQ FILM HF010 MRPL</t>
  </si>
  <si>
    <t>LLDPE SLIP F20S009 GAIL</t>
  </si>
  <si>
    <t>LLDPE F18S010UA GAIL</t>
  </si>
  <si>
    <t>PP RANDOM RE420MO BOROUGE</t>
  </si>
  <si>
    <t>PP RAFFIA PPH-T03 SINOPEC</t>
  </si>
  <si>
    <t>HD HM EGDA 6888 EQUATE</t>
  </si>
  <si>
    <t>HDPE HM FILM TR144 MARLEX</t>
  </si>
  <si>
    <t>LDPE HEAVYDUTY 22FA002 RIL</t>
  </si>
  <si>
    <t>HD HM 6097 LUBAN</t>
  </si>
  <si>
    <t>PP RAFFIA H030SG RIL</t>
  </si>
  <si>
    <t>LLDPE SLIP F20S010IA BCPL</t>
  </si>
  <si>
    <t>PP TQ H100EY RIL</t>
  </si>
  <si>
    <t>HDPE RAFFIA HD55EF010 RIL</t>
  </si>
  <si>
    <t>LLDPE NON-SLIP F0218L HMEL</t>
  </si>
  <si>
    <t>LLDPE SLIP JF19010 RIL</t>
  </si>
  <si>
    <t>PP LAMINATION H350EC RIL</t>
  </si>
  <si>
    <t>LDPE NON-SLIP J1020FF20 RIL</t>
  </si>
  <si>
    <t>LDPE MOULD 16MA400 RIL</t>
  </si>
  <si>
    <t>PVC RESIN SG5 - ERDOS</t>
  </si>
  <si>
    <t>LDPE J1005FY20 RIL</t>
  </si>
  <si>
    <t>HDPE RAFFIA Y5710 OPAL</t>
  </si>
  <si>
    <t>LLDPE NON-SLIP JF18020 RIL</t>
  </si>
  <si>
    <t>PE METALLOCENE 1018MK EXXON</t>
  </si>
  <si>
    <t>PVC SUSPENSION RESIN LS100H</t>
  </si>
  <si>
    <t>PP IMPACT COPOLYMER C080MA RIL</t>
  </si>
  <si>
    <t>HDPE GPBM B63A003 GAIL</t>
  </si>
  <si>
    <t>HDPE GPBM B56003 RIL</t>
  </si>
  <si>
    <t>LLDPE METALLOCENE SLIP 1018RK EXXON</t>
  </si>
  <si>
    <t>HDPE HM F0050D HMEL</t>
  </si>
  <si>
    <t>ABS MOULD HI121H LG</t>
  </si>
  <si>
    <t>LDPE SLIP 2427K BASELL</t>
  </si>
  <si>
    <t>PP CP B120MA RIL</t>
  </si>
  <si>
    <t>PP THERMO HC205TF BOROUGE</t>
  </si>
  <si>
    <t>PP RCP SRM100NC RIL</t>
  </si>
  <si>
    <t>HDPE GPBM B5004 OPAL</t>
  </si>
  <si>
    <t>PVC SUSPENSION RESIN S65D FORMOSA</t>
  </si>
  <si>
    <t>PP IM HM012T MRPL</t>
  </si>
  <si>
    <t>PP LAMINATION 3155 E5 EXXON</t>
  </si>
  <si>
    <t>NYLON 1022B10 UBE</t>
  </si>
  <si>
    <t>PP RAFFIA 5002P SABIC</t>
  </si>
  <si>
    <t>LLDPE DRIP JD22010 RIL</t>
  </si>
  <si>
    <t>HDPE PE63 E52A003A GAIL</t>
  </si>
  <si>
    <t>LDPE LUPOLEN 2427F LYONDELLBASELL</t>
  </si>
  <si>
    <t>PP CP MI3530 RIL</t>
  </si>
  <si>
    <t>PP RAFFIA HGX 030SP MARLEX</t>
  </si>
  <si>
    <t>NYLON 1030B4 OG</t>
  </si>
  <si>
    <t>LLDPE SLIP F19010 RIL</t>
  </si>
  <si>
    <t>PP RANDOM BLOW SR20NC RIL</t>
  </si>
  <si>
    <t>LLDPE NON SLIP F22A025IA BCPL</t>
  </si>
  <si>
    <t>PP IM H110MA RIL</t>
  </si>
  <si>
    <t>LLDPE DRIP D0120L HMEL</t>
  </si>
  <si>
    <t>HDPE HM FILM F55HM0003 GAIL</t>
  </si>
  <si>
    <t>LDPE FD0474 LOTRENE</t>
  </si>
  <si>
    <t>LDPE HEAVYDUTY J22FA002E RIL</t>
  </si>
  <si>
    <t>HDPE MBM 50100P MARLEX</t>
  </si>
  <si>
    <t>HDPE MOULD I56A200UA GAIL</t>
  </si>
  <si>
    <t>HDPE FILM F0146D HMEL</t>
  </si>
  <si>
    <t>PP TQ FILM F10SR HMEL</t>
  </si>
  <si>
    <t>PP RAFFIA PPH T03 ORIENTAL</t>
  </si>
  <si>
    <t>LDPE SLIP 4025AS TASNEE</t>
  </si>
  <si>
    <t>PP THERMO H019TG RIL</t>
  </si>
  <si>
    <t>HDPE RAFFIA R5410 OPAL</t>
  </si>
  <si>
    <t>PBT DT 20100</t>
  </si>
  <si>
    <t>LDPE HEAVY DUTY 165BW EXXON</t>
  </si>
  <si>
    <t>PVC K67 67GER0I RIL</t>
  </si>
  <si>
    <t>PP LAMINATION HY035R MRPL</t>
  </si>
  <si>
    <t>LD LAMINATION 1070LA17 RIL</t>
  </si>
  <si>
    <t>PP MOULD AM120N RIL</t>
  </si>
  <si>
    <t>PB 030 GF (BLACK)</t>
  </si>
  <si>
    <t>LLDPE MOULD 6201XR EXXON</t>
  </si>
  <si>
    <t>HDPE IM M60075 RIL</t>
  </si>
  <si>
    <t>RMI N2 230 GF (BLACK)</t>
  </si>
  <si>
    <t>LLDPE MOULD M26500 RIL</t>
  </si>
  <si>
    <t>LLDPE D22S010 GAIL</t>
  </si>
  <si>
    <t>LLDPE SLIP F0120L HMEL</t>
  </si>
  <si>
    <t>PP MOULD HM065AT MRPL</t>
  </si>
  <si>
    <t>HDPE FILM F46003 RIL</t>
  </si>
  <si>
    <t>ABS MOULD TAITA 5000W</t>
  </si>
  <si>
    <t>PP RAFFIA 1030RG IOCL</t>
  </si>
  <si>
    <t>PC/ABS THERMOPLASTIC ALLOYS C1200HF-701 CYCOLOY</t>
  </si>
  <si>
    <t>HD PIPE PE-100 002DP48 IOCL</t>
  </si>
  <si>
    <t>HDPE FJ00952 SABIC</t>
  </si>
  <si>
    <t>N1 030 GF M NATURAL</t>
  </si>
  <si>
    <t>LLDPE 118WJ SABIC</t>
  </si>
  <si>
    <t>PPCP 7033 E3 EXXON</t>
  </si>
  <si>
    <t>LDPE EC 7000 DOW</t>
  </si>
  <si>
    <t>HDPE HM EX5 MPC</t>
  </si>
  <si>
    <t>LLDPE FB2230 BOROUGE</t>
  </si>
  <si>
    <t>PP INJECTION MOLDING P1110MG IOCL</t>
  </si>
  <si>
    <t>HDPE RAFFIA W50A009A GAIL</t>
  </si>
  <si>
    <t>HDPE PE63 P5002 OPAL</t>
  </si>
  <si>
    <t>PP MOULD H200MG RIL</t>
  </si>
  <si>
    <t>LLDPE METALLOCENE NS F0118LM HMEL</t>
  </si>
  <si>
    <t>SAN NX3200 TAIRISAN</t>
  </si>
  <si>
    <t>CLOSURE GREEN PCO 1881 28 MM CSD(1 BOX = 2000 PCS)</t>
  </si>
  <si>
    <t>CLOSURE WHITE PCO 1881 28 MM CSD(1 BOX = 2000 PCS)</t>
  </si>
  <si>
    <t>HDPE GPBM 5502BN MARLEX</t>
  </si>
  <si>
    <t>PP RAFFIA HP550J JINNENG</t>
  </si>
  <si>
    <t>PVC RESIN P1000SB HANWHA</t>
  </si>
  <si>
    <t>PP RANDOM RM12CR HMEL</t>
  </si>
  <si>
    <t>LLDPE METALLOCENE 3518CB EXXON</t>
  </si>
  <si>
    <t>PP RAFFIA 1102K</t>
  </si>
  <si>
    <t>HDPE FILM F0153S HMEL</t>
  </si>
  <si>
    <t>HDPE GPBM B6401 HALDIA</t>
  </si>
  <si>
    <t>PP TQ H110QS NAYARA</t>
  </si>
  <si>
    <t>ABS STAREX PT0180 BLACK</t>
  </si>
  <si>
    <t>PP RAFFIA HP456J BASELL</t>
  </si>
  <si>
    <t>PP LAMINATION H350FG RIL</t>
  </si>
  <si>
    <t>LLDPE MOULD M2550 OPAL</t>
  </si>
  <si>
    <t>POM NATURAL M90 CF2001 CELCON</t>
  </si>
  <si>
    <t>CLOSURE RED PCO 1881 28 MM CSD(1 BOX = 2000 PCS)</t>
  </si>
  <si>
    <t>LLDPE NON-SLIP F0320L HMEL</t>
  </si>
  <si>
    <t>HDPE RAFFIA Y50A010UA GAIL</t>
  </si>
  <si>
    <t>PP IM HG385MO BOROUGE</t>
  </si>
  <si>
    <t>HDPE GPBM B52A003A GAIL</t>
  </si>
  <si>
    <t>PET CP WK801 WANKAI</t>
  </si>
  <si>
    <t>PVC RESIN</t>
  </si>
  <si>
    <t>PP CP EXTRUSION C015EG RIL</t>
  </si>
  <si>
    <t>LDPE HEAVY DUTY 2420D INNOPLUS</t>
  </si>
  <si>
    <t>PVC RESIN SG5 XINFA</t>
  </si>
  <si>
    <t>Item Name</t>
  </si>
  <si>
    <t>HSN Code</t>
  </si>
  <si>
    <t>HD M BLOW 003DB52 IOCL</t>
  </si>
  <si>
    <t>Domestic</t>
  </si>
  <si>
    <t>39012000</t>
  </si>
  <si>
    <t>IOCL</t>
  </si>
  <si>
    <t>Import</t>
  </si>
  <si>
    <t>39023000</t>
  </si>
  <si>
    <t>PP ICP</t>
  </si>
  <si>
    <t>39011020</t>
  </si>
  <si>
    <t>LDPE</t>
  </si>
  <si>
    <t>LL FILM SLIP 010F18S IOCL</t>
  </si>
  <si>
    <t>HD PIPE PE-80 004DP44 IOCL</t>
  </si>
  <si>
    <t>HD PIPE PE-63 010DP45 IOCL</t>
  </si>
  <si>
    <t>LD FILM NON SLIP 450E DOW</t>
  </si>
  <si>
    <t>39019090</t>
  </si>
  <si>
    <t>DOW</t>
  </si>
  <si>
    <t>LD HEAVY DUTY FB3003 LOTRENE</t>
  </si>
  <si>
    <t>39011090</t>
  </si>
  <si>
    <t>HDPE 1007</t>
  </si>
  <si>
    <t>NA</t>
  </si>
  <si>
    <t>HDPE 3007</t>
  </si>
  <si>
    <t>HDPE 7007</t>
  </si>
  <si>
    <t>HD BLOW 012DB54 IOCL</t>
  </si>
  <si>
    <t>HDPE GPBM 010DB50 IOCL</t>
  </si>
  <si>
    <t>39021000</t>
  </si>
  <si>
    <t>BASELL</t>
  </si>
  <si>
    <t>POLYOLEFIN PLASTOMER AFFINITY PT 1450G1P DOW</t>
  </si>
  <si>
    <t>Plastomer</t>
  </si>
  <si>
    <t>PP RAFFIA 5061P SABIC</t>
  </si>
  <si>
    <t>SABIC</t>
  </si>
  <si>
    <t>TQPP FILM 1100FS IOCL</t>
  </si>
  <si>
    <t>PP RAFFIA 5032E3 EXXON</t>
  </si>
  <si>
    <t>HD PIPE PE-80 HE 1440 BOROUGE</t>
  </si>
  <si>
    <t>PPCP 7032 E3 EXXON</t>
  </si>
  <si>
    <t>LL FILM SLIP EFDC 7087 EQUATE</t>
  </si>
  <si>
    <t>39011010</t>
  </si>
  <si>
    <t>EQUATE</t>
  </si>
  <si>
    <t>Chlorinated Paraffin (A1/68)</t>
  </si>
  <si>
    <t>38122090</t>
  </si>
  <si>
    <t>CPW</t>
  </si>
  <si>
    <t>Chlorinated Paraffin (A1/62)C</t>
  </si>
  <si>
    <t>Chlorinated Paraffin A258C</t>
  </si>
  <si>
    <t>Chlorinated Paraffin A2/52</t>
  </si>
  <si>
    <t>HDPE 010DP45U</t>
  </si>
  <si>
    <t>PP LAMINATION 1350EG IOCL</t>
  </si>
  <si>
    <t>PP HE125MO Borouge</t>
  </si>
  <si>
    <t>HDPE HTA 001HD5 EXXON</t>
  </si>
  <si>
    <t>PP IM 6331 TITAN</t>
  </si>
  <si>
    <t>TITAN</t>
  </si>
  <si>
    <t>HDPE BM HB5502 TITAN</t>
  </si>
  <si>
    <t>HDPE FILM HF1881 TITAN</t>
  </si>
  <si>
    <t>PP RAFFIA OQ HP1106K LUBAN</t>
  </si>
  <si>
    <t>LUBAN</t>
  </si>
  <si>
    <t>PP LAMINATION 1105SC POLIMAXX</t>
  </si>
  <si>
    <t>POLIMAXX</t>
  </si>
  <si>
    <t>PVC KANEVINYL S1001 RESIN</t>
  </si>
  <si>
    <t>39041020</t>
  </si>
  <si>
    <t>PVC</t>
  </si>
  <si>
    <t>KANEKA</t>
  </si>
  <si>
    <t>HDPE FI0851P SABIC</t>
  </si>
  <si>
    <t>LLDPE AT6202 DOW</t>
  </si>
  <si>
    <t>HDPE 7000F</t>
  </si>
  <si>
    <t>PP HOMO IM P1600MN IOCL</t>
  </si>
  <si>
    <t>39014010</t>
  </si>
  <si>
    <t>SINOPEC</t>
  </si>
  <si>
    <t>LG</t>
  </si>
  <si>
    <t>POLYCARBONATE MAKROLON 2856 COVESTRO</t>
  </si>
  <si>
    <t>39074000</t>
  </si>
  <si>
    <t>PC</t>
  </si>
  <si>
    <t>COVESTRO</t>
  </si>
  <si>
    <t>FORMOSA</t>
  </si>
  <si>
    <t>LDPE 150E DOW</t>
  </si>
  <si>
    <t>POLYESTER CHIPS PET RESIN</t>
  </si>
  <si>
    <t>39076990</t>
  </si>
  <si>
    <t>PET</t>
  </si>
  <si>
    <t>WANKAI</t>
  </si>
  <si>
    <t>HDPE IM 080M60 IOCL</t>
  </si>
  <si>
    <t>PP PPH T03 SINOPEC</t>
  </si>
  <si>
    <t>HDPE F00952 SABIC</t>
  </si>
  <si>
    <t>LLDPE F0120L POLYSURE</t>
  </si>
  <si>
    <t>LMDPE MDP06939 TRICOLENE</t>
  </si>
  <si>
    <t>LMDPE</t>
  </si>
  <si>
    <t>TRICON</t>
  </si>
  <si>
    <t>LDPE EXTRUSION FD0474 LOTRENE</t>
  </si>
  <si>
    <t>PP RANDOM COPOLYMER RB707CF BOREALIS</t>
  </si>
  <si>
    <t>PP RCP</t>
  </si>
  <si>
    <t>PE COPOLYMER EVA 2518 SIPCHEM</t>
  </si>
  <si>
    <t>39013000</t>
  </si>
  <si>
    <t>SIPCHEM</t>
  </si>
  <si>
    <t>HDPE PE-100 7700M</t>
  </si>
  <si>
    <t>ILPC</t>
  </si>
  <si>
    <t>POLYSTER CHIPS WK881</t>
  </si>
  <si>
    <t>39076190</t>
  </si>
  <si>
    <t>PLASTIC GRANULES HDPE</t>
  </si>
  <si>
    <t>Chlorinated Paraffin - B2/52</t>
  </si>
  <si>
    <t>HDPE PIPE PE-100 P4808N SABIC</t>
  </si>
  <si>
    <t>HDPE PIPE PE-100 P6006N SABIC</t>
  </si>
  <si>
    <t>HDPE PIPE PE-100 P50H03 OPAL</t>
  </si>
  <si>
    <t>PE PLASTIC GRANULES</t>
  </si>
  <si>
    <t>PE BLOWN FILM 5401G DOW</t>
  </si>
  <si>
    <t>Metallocene</t>
  </si>
  <si>
    <t>39019000</t>
  </si>
  <si>
    <t>TITANIAM</t>
  </si>
  <si>
    <t>282300</t>
  </si>
  <si>
    <t>Titanium</t>
  </si>
  <si>
    <t>PP LAMINATION WHITE</t>
  </si>
  <si>
    <t>PE METALLOCENE 1018MK EXXONMOBIL</t>
  </si>
  <si>
    <t>39014090</t>
  </si>
  <si>
    <t>POLYESTER CHIPS PET RESIN WK881</t>
  </si>
  <si>
    <t>PP LAMINATION BLUE</t>
  </si>
  <si>
    <t>HDPE HM FILM Q TR144 LOTRENE</t>
  </si>
  <si>
    <t>LDPE MP FB5026 LOTRENE</t>
  </si>
  <si>
    <t>POLYOLEFIN PLASTOMER AFFINITY 1881G DOW</t>
  </si>
  <si>
    <t>HANWHA</t>
  </si>
  <si>
    <t>PET BOTTLE GRADE WK-821 WANKAI</t>
  </si>
  <si>
    <t>PVC RESIN P1000 HANWHA</t>
  </si>
  <si>
    <t>PE METALLOCENE 1018MA EXXONMOBIL</t>
  </si>
  <si>
    <t>LDPE HEAVYDUTY FE3000 LOTRENE</t>
  </si>
  <si>
    <t>LDPE MILK POUCH 1005FY20 RIL</t>
  </si>
  <si>
    <t>390110</t>
  </si>
  <si>
    <t>FILLER MASTER BATCH</t>
  </si>
  <si>
    <t>38249900</t>
  </si>
  <si>
    <t>Filler</t>
  </si>
  <si>
    <t>PE RESIN 2645.11G DOW</t>
  </si>
  <si>
    <t>LDPE LUPOLEN 2221D LYONDELLBASELL</t>
  </si>
  <si>
    <t>LDPE SLIP HP4023WN SABIC</t>
  </si>
  <si>
    <t>HDPE HM 6095 LUBAN</t>
  </si>
  <si>
    <t>LDPE LUPOLEN 2221D BASELL</t>
  </si>
  <si>
    <t>PP IM M12RR HMEL</t>
  </si>
  <si>
    <t>PE METALLOCENE SLIP 8784MK EXXON</t>
  </si>
  <si>
    <t>HDPE PIPE PE-100 M7100 LOTTE</t>
  </si>
  <si>
    <t>LOTTE</t>
  </si>
  <si>
    <t>HDPE MBM B55HM0003 GAIL</t>
  </si>
  <si>
    <t>HDPE IM HD50MA180 RIL</t>
  </si>
  <si>
    <t>HDPE HM HF0961 TITAN</t>
  </si>
  <si>
    <t>PE METALLOCENE NON-SLIP EXXON 8784ML</t>
  </si>
  <si>
    <t>PVC RESIN B57 FORMOSA</t>
  </si>
  <si>
    <t>XINFA</t>
  </si>
  <si>
    <t>LDPE LAMINATION NA204000 BASELL</t>
  </si>
  <si>
    <t>LDPE GP SLIP HP4025ZN SABIC</t>
  </si>
  <si>
    <t>PET BOTTLE GRADE WK-881 WANKAI</t>
  </si>
  <si>
    <t>LLDPE LE2270 BOROUGE</t>
  </si>
  <si>
    <t>LDPE HEAVY DUTY LFI2130 SASOL</t>
  </si>
  <si>
    <t>SASOL</t>
  </si>
  <si>
    <t>LLDPE D22S010A GAIL</t>
  </si>
  <si>
    <t>PP IM HJ333MO BOROUGE</t>
  </si>
  <si>
    <t>LLDPE METALLOCENE 5400G DOW</t>
  </si>
  <si>
    <t>HDPE PIPE PE-63 46GP009 RIL</t>
  </si>
  <si>
    <t>PE METALLOCENE 7021ML EXXON</t>
  </si>
  <si>
    <t>LLDPE NON-SLIP F18A020UA GAIL</t>
  </si>
  <si>
    <t>LLDPE SLIP F2002S OPAL</t>
  </si>
  <si>
    <t>LLDPE SLIP F20S010 BCPL</t>
  </si>
  <si>
    <t>HDPE MBM B0148D HMEL</t>
  </si>
  <si>
    <t>HDPE MDPE FB1350 BOROUGE</t>
  </si>
  <si>
    <t>ABS MOULD FORMOSA AG15E1</t>
  </si>
  <si>
    <t>39033000</t>
  </si>
  <si>
    <t>ABS</t>
  </si>
  <si>
    <t>PVC RESIN S-1000 HUAYI</t>
  </si>
  <si>
    <t>39041090</t>
  </si>
  <si>
    <t>HUAYI</t>
  </si>
  <si>
    <t>LDPE SLIP J1020FS20 RIL</t>
  </si>
  <si>
    <t>PVC K67 TH1000 TAIYO</t>
  </si>
  <si>
    <t>TAIYO</t>
  </si>
  <si>
    <t>PC MOULD 1220UR LOTTE</t>
  </si>
  <si>
    <t>ABS MOULD MP-0160R LOTTE</t>
  </si>
  <si>
    <t>LLDPE HEXENE 2645G DOW</t>
  </si>
  <si>
    <t>HDPE HM F5400 HALDIA</t>
  </si>
  <si>
    <t>MODIFIED ABS AB20RW</t>
  </si>
  <si>
    <t>PP MOULD AM650N RIL</t>
  </si>
  <si>
    <t>LLDPE SLIP 118WM SABIC</t>
  </si>
  <si>
    <t>PP RANDOM BLOW SR20NS RIL</t>
  </si>
  <si>
    <t>LLDPE MOULD I26A500UA GAIL</t>
  </si>
  <si>
    <t>39014000</t>
  </si>
  <si>
    <t>POM MOULD YUNNIAN M90 YTH</t>
  </si>
  <si>
    <t>39071000</t>
  </si>
  <si>
    <t>POM</t>
  </si>
  <si>
    <t>YUNNIAN</t>
  </si>
  <si>
    <t>LLDPE NON-SLIP 218NJ SABIC</t>
  </si>
  <si>
    <t>LDPE LAMINATION 7019EC SABIC</t>
  </si>
  <si>
    <t>HDPE HM HTA001HP EXXON</t>
  </si>
  <si>
    <t>TAITA</t>
  </si>
  <si>
    <t>PMMA MOULD VH-001 MITSUBISHI</t>
  </si>
  <si>
    <t>39061090</t>
  </si>
  <si>
    <t>PMMA</t>
  </si>
  <si>
    <t>MITSUBISHI</t>
  </si>
  <si>
    <t>39081010</t>
  </si>
  <si>
    <t>Glass Filled</t>
  </si>
  <si>
    <t>SONYL B 6 GF30 NATURAL</t>
  </si>
  <si>
    <t>39081090</t>
  </si>
  <si>
    <t>LLDPE NON-SLIP JF18010 RIL</t>
  </si>
  <si>
    <t>PVC K67 WH1000F WANHUA</t>
  </si>
  <si>
    <t>WANHUA</t>
  </si>
  <si>
    <t>PP CP NM03RR HMEL</t>
  </si>
  <si>
    <t>HDPE PE80 P51H10 OPAL</t>
  </si>
  <si>
    <t>PP CP 4080MA IOCL</t>
  </si>
  <si>
    <t>POM MOULD BASF N2320</t>
  </si>
  <si>
    <t>BASF</t>
  </si>
  <si>
    <t>PP RAFFIA H036RG NAYARA</t>
  </si>
  <si>
    <t>NAYARA</t>
  </si>
  <si>
    <t>PVC RESIN TK1000 SHINETSU</t>
  </si>
  <si>
    <t>SHINETSU</t>
  </si>
  <si>
    <t>PBT FRV0 GF15 NC0204 02072 LOXISTER</t>
  </si>
  <si>
    <t>PBT</t>
  </si>
  <si>
    <t>LOXISTER</t>
  </si>
  <si>
    <t>HDPE MBM B55H02 OPAL</t>
  </si>
  <si>
    <t>PC MOULD MAKROLON 2407 COVESTRO</t>
  </si>
  <si>
    <t>39202020</t>
  </si>
  <si>
    <t>PP CP NM08NR HMEL</t>
  </si>
  <si>
    <t>PP RAFFIA NSY114G VIETNAM</t>
  </si>
  <si>
    <t>VIETNAM</t>
  </si>
  <si>
    <t>PET PREFORM 10GM 26/22 30.37 PCO HF CLEAR</t>
  </si>
  <si>
    <t>39233090</t>
  </si>
  <si>
    <t>PET Preform</t>
  </si>
  <si>
    <t>MD</t>
  </si>
  <si>
    <t>PET PREFORM PCO 10.1 GMS 26/22 MM CLEAR (1 BOX = 2100 PCS)</t>
  </si>
  <si>
    <t>CLOSURE GREEN 1.75 GMS 26/22 MM (1 BOX = 6500 PCS)</t>
  </si>
  <si>
    <t>39235010</t>
  </si>
  <si>
    <t>PET Closure</t>
  </si>
  <si>
    <t>CLOSURE RED 1.75 GMS 26/22 MM (1 BOX = 6500 PCS)</t>
  </si>
  <si>
    <t>PET PREFORM PCO 10.1 GMS 26/22 MM GREEN (1 BOX = 2100 PCS)</t>
  </si>
  <si>
    <t>PET PREFORM PCO 1881 10.2 GMS 28 MM GREEN (1 BOX = 2000 PCS)</t>
  </si>
  <si>
    <t>PET PREFORM PCO 1881 10.2 GMS 28 MM CLEAR (1 BOX = 2000 PCS)</t>
  </si>
  <si>
    <t>HDPE OG IM HDMS HMEL</t>
  </si>
  <si>
    <t>LLDPE SLIP 20FS010 RIL</t>
  </si>
  <si>
    <t>LLDPE SLIP 71501S HALDIA</t>
  </si>
  <si>
    <t>LLDPE METALLOCENE NONSLIP HP3518CN LG</t>
  </si>
  <si>
    <t>PP MOULD H120IG NAYARA</t>
  </si>
  <si>
    <t>PP RAFIA H036RG NAYARA</t>
  </si>
  <si>
    <t>CLOSURE ORANGE 1.75 GMS 26/22 MM (1 BOX = 6500 PCS)</t>
  </si>
  <si>
    <t>CLOSURE DARK GREEN 1.75 GMS 26/22 MM (1 BOX = 6500 PCS)</t>
  </si>
  <si>
    <t>CLOSURE - WARMFILL GREEN 1.75GMS 26/22MM (1 BOX = 6500 PCS)</t>
  </si>
  <si>
    <t>CLOSURE - WARMFILL BLACK 1.75GMS 26/22MM (1 BOX = 6500 PCS)</t>
  </si>
  <si>
    <t>CLOSURE WHITE 1.75 GMS 26/22 MM (1 BOX = 6500 PCS)</t>
  </si>
  <si>
    <t>CLOSURE WHITE PCO 1881 28 MM (1 BOX = 2000 PCS)</t>
  </si>
  <si>
    <t>LDPE LAMINATION 801YY TITAN</t>
  </si>
  <si>
    <t>LOXIAMID-S PA66 LU HS1 IM2 BK0401 04701</t>
  </si>
  <si>
    <t>39089090</t>
  </si>
  <si>
    <t>Nylon</t>
  </si>
  <si>
    <t>LOXIM</t>
  </si>
  <si>
    <t>POM HLMC90 HENGLI</t>
  </si>
  <si>
    <t>HENGLI</t>
  </si>
  <si>
    <t>PET PREFORM PCO 1881 13.5 GMS 28 MM CLEAR (1 BOX = 2000 PCS)</t>
  </si>
  <si>
    <t>PET PREFORM PCO 1881 12.2 GMS 28 MM CLEAR (1 BOX = 2000 PCS)</t>
  </si>
  <si>
    <t>PET PREFORM PCO 1881 14.5 GMS 28 MM CLEAR (1 BOX = 2000 PCS)</t>
  </si>
  <si>
    <t>PVC K67 DG1000S TIANJIN</t>
  </si>
  <si>
    <t>TIANJIN</t>
  </si>
  <si>
    <t>PP CP BJ368MO BOROUGE</t>
  </si>
  <si>
    <t>PP ICP 2300NCA IRPC</t>
  </si>
  <si>
    <t>IRPC</t>
  </si>
  <si>
    <t>PVC K67 S1001 KANEKA</t>
  </si>
  <si>
    <t>39042110</t>
  </si>
  <si>
    <t>PP IMPACT COPOLYMER C080MT RIL</t>
  </si>
  <si>
    <t>ORIENTAL</t>
  </si>
  <si>
    <t>LLDPE METALLOCENE 5401GT DOW</t>
  </si>
  <si>
    <t>LDPE NONSLIP FT6230 BOROUGE</t>
  </si>
  <si>
    <t>39081019</t>
  </si>
  <si>
    <t>UBE</t>
  </si>
  <si>
    <t>HDPE FILM E45A003A GAIL</t>
  </si>
  <si>
    <t>INNOPLUS</t>
  </si>
  <si>
    <t>ERDOS</t>
  </si>
  <si>
    <t>39079900</t>
  </si>
  <si>
    <t>RAVAGO</t>
  </si>
  <si>
    <t>39089020</t>
  </si>
  <si>
    <t>CYCOLOY</t>
  </si>
  <si>
    <t>MPC</t>
  </si>
  <si>
    <t>STAREX</t>
  </si>
  <si>
    <t>JINNENG</t>
  </si>
  <si>
    <t>39032000</t>
  </si>
  <si>
    <t>SAN</t>
  </si>
  <si>
    <t>TAIRISAN</t>
  </si>
  <si>
    <t>CLOSURE</t>
  </si>
  <si>
    <t xml:space="preserve">With Discount </t>
  </si>
  <si>
    <t xml:space="preserve">with Discount </t>
  </si>
  <si>
    <t xml:space="preserve">With discount </t>
  </si>
  <si>
    <t>With Discount</t>
  </si>
  <si>
    <t>Outright + Scheme</t>
  </si>
  <si>
    <t>With discount</t>
  </si>
  <si>
    <t>Outright + Scheme + Early Bird</t>
  </si>
  <si>
    <t>with discount</t>
  </si>
  <si>
    <t>With discount - GAIL</t>
  </si>
  <si>
    <t>With discount - early bird also available on this bill</t>
  </si>
  <si>
    <t>Ex-DCA-Depo</t>
  </si>
  <si>
    <t>Ex-Works</t>
  </si>
  <si>
    <t>Bangalore</t>
  </si>
  <si>
    <t>Salem</t>
  </si>
  <si>
    <t>Mangalore</t>
  </si>
  <si>
    <t>Anantpur</t>
  </si>
  <si>
    <t>Round Off</t>
  </si>
  <si>
    <t>Ex-Company-Depo</t>
  </si>
  <si>
    <t>Rate, As per Confirmation</t>
  </si>
  <si>
    <t>Rate, As per Price List</t>
  </si>
  <si>
    <t>If Type = Discounts (always consider after CD)</t>
  </si>
  <si>
    <t>Commission</t>
  </si>
  <si>
    <t>Status</t>
  </si>
  <si>
    <t>Verified &amp; Closed</t>
  </si>
  <si>
    <t>Early bird 2.5 + scheme</t>
  </si>
  <si>
    <t>GSI</t>
  </si>
  <si>
    <t>TPT</t>
  </si>
  <si>
    <t>Plant</t>
  </si>
  <si>
    <t>Remarks, if any diff</t>
  </si>
  <si>
    <t>Diff adjusted in Credit Notes</t>
  </si>
  <si>
    <t>Disc of ₹ 4/- recd</t>
  </si>
  <si>
    <t>Open</t>
  </si>
  <si>
    <t>Outright with Discounts</t>
  </si>
  <si>
    <t>Scheme (3 rs)</t>
  </si>
  <si>
    <t>Price Protection + Scheme</t>
  </si>
  <si>
    <t>Depo Lifting</t>
  </si>
  <si>
    <t>Period</t>
  </si>
  <si>
    <t>Others</t>
  </si>
  <si>
    <t>Check</t>
  </si>
  <si>
    <t>1751</t>
  </si>
  <si>
    <t>Sub-Total</t>
  </si>
  <si>
    <t>Supplier Name</t>
  </si>
  <si>
    <t>Qty</t>
  </si>
  <si>
    <t>Month</t>
  </si>
  <si>
    <t>If Type = Outright &amp; Outright W/D</t>
  </si>
  <si>
    <t>Alias</t>
  </si>
  <si>
    <t>CVPL</t>
  </si>
  <si>
    <t>Paragon</t>
  </si>
  <si>
    <t>Kamakya</t>
  </si>
  <si>
    <t>Intime</t>
  </si>
  <si>
    <t>Treenity</t>
  </si>
  <si>
    <t>Purav</t>
  </si>
  <si>
    <t>Prestine</t>
  </si>
  <si>
    <t>Value</t>
  </si>
  <si>
    <t>SVP</t>
  </si>
  <si>
    <t>Vendor Name</t>
  </si>
  <si>
    <t>As per Books</t>
  </si>
  <si>
    <t>As per Working</t>
  </si>
  <si>
    <t>CN/CH/24-25/1</t>
  </si>
  <si>
    <t>PTT GLOBAL CHEMICAL PUBLIC COMPANY LIMITED</t>
  </si>
  <si>
    <t>RUKMA PLASTICS</t>
  </si>
  <si>
    <t>JOTHI POLYMERS PRIVATE LIMITED</t>
  </si>
  <si>
    <t>VIJAYNEHA POLYMERS PVT LTD</t>
  </si>
  <si>
    <t>AXIA PLASTICS PRIVATE LIMITED</t>
  </si>
  <si>
    <t>YASHIKA PETROCHEM PRIVATE LIMITED</t>
  </si>
  <si>
    <t>AKJ INDIA</t>
  </si>
  <si>
    <t>Bangalore Warehouse</t>
  </si>
  <si>
    <t>SYN25/04399</t>
  </si>
  <si>
    <t>SYN25/04400</t>
  </si>
  <si>
    <t>CV2526YPR012958</t>
  </si>
  <si>
    <t>SVP25-26/984</t>
  </si>
  <si>
    <t>SVP25-26/985</t>
  </si>
  <si>
    <t>PUSLM2526000338</t>
  </si>
  <si>
    <t>SVP25-26/1000</t>
  </si>
  <si>
    <t>CV2526TVK001015</t>
  </si>
  <si>
    <t>3590</t>
  </si>
  <si>
    <t>SYN25/004464</t>
  </si>
  <si>
    <t>PUSLM2526000340</t>
  </si>
  <si>
    <t>3598</t>
  </si>
  <si>
    <t>SVP25-26/1008</t>
  </si>
  <si>
    <t>SVP25-26/1006</t>
  </si>
  <si>
    <t>CV2526BGP001337</t>
  </si>
  <si>
    <t>PUSLM2526000346</t>
  </si>
  <si>
    <t>U-II/25-26/00805</t>
  </si>
  <si>
    <t>SVP25-26/1014</t>
  </si>
  <si>
    <t>3635</t>
  </si>
  <si>
    <t>3638</t>
  </si>
  <si>
    <t>2902-1367/25-26</t>
  </si>
  <si>
    <t>CV2526YPR013231</t>
  </si>
  <si>
    <t>CHN/25-26/373</t>
  </si>
  <si>
    <t>PUSLM2526000348</t>
  </si>
  <si>
    <t>U-II/25-26/00813</t>
  </si>
  <si>
    <t>PF/25-26/0268</t>
  </si>
  <si>
    <t>U2/0695/25-26</t>
  </si>
  <si>
    <t>CV2526YPR013327</t>
  </si>
  <si>
    <t>CVP2526YPR13326</t>
  </si>
  <si>
    <t>CV2526YPR013341</t>
  </si>
  <si>
    <t>PUCHE2526001153</t>
  </si>
  <si>
    <t>3681</t>
  </si>
  <si>
    <t>CVP2526YPR13385</t>
  </si>
  <si>
    <t>SVP/25-26/1030</t>
  </si>
  <si>
    <t>3696</t>
  </si>
  <si>
    <t>PUSLM2526000353</t>
  </si>
  <si>
    <t>SVP25-26/1035</t>
  </si>
  <si>
    <t>1052</t>
  </si>
  <si>
    <t>SVP25-26/1038</t>
  </si>
  <si>
    <t>3711</t>
  </si>
  <si>
    <t>00480</t>
  </si>
  <si>
    <t>SYN25/04611</t>
  </si>
  <si>
    <t>U1/25-26/2491</t>
  </si>
  <si>
    <t>A-721/2025-26</t>
  </si>
  <si>
    <t>3737</t>
  </si>
  <si>
    <t>CVK2526TVK001042</t>
  </si>
  <si>
    <t>B160/25-26</t>
  </si>
  <si>
    <t>PUSLM2526000361</t>
  </si>
  <si>
    <t>PUSLM2526000362</t>
  </si>
  <si>
    <t>CV2526YPR013615</t>
  </si>
  <si>
    <t>139</t>
  </si>
  <si>
    <t>CV2526BGP001386</t>
  </si>
  <si>
    <t>SVP25-26/1063</t>
  </si>
  <si>
    <t>SLP/BR/323/25-26</t>
  </si>
  <si>
    <t>SVP25-26/1059</t>
  </si>
  <si>
    <t>CV2526TVK001051</t>
  </si>
  <si>
    <t>SVP/25-26/1069</t>
  </si>
  <si>
    <t>3781</t>
  </si>
  <si>
    <t>CV2526TVK001053</t>
  </si>
  <si>
    <t>CV2526TVK001062</t>
  </si>
  <si>
    <t>PUSLM2526000371</t>
  </si>
  <si>
    <t>PUSLM2526000366</t>
  </si>
  <si>
    <t>SVP25-26/1074</t>
  </si>
  <si>
    <t>CV2526TVK001067</t>
  </si>
  <si>
    <t>CV2526TVK001068</t>
  </si>
  <si>
    <t>CV2526YPR013832</t>
  </si>
  <si>
    <t>3815</t>
  </si>
  <si>
    <t>Vidhi/25-26/182</t>
  </si>
  <si>
    <t>SLP/BR/387/25-26</t>
  </si>
  <si>
    <t>CV2526TVK001069</t>
  </si>
  <si>
    <t>3824</t>
  </si>
  <si>
    <t>SVP25-26/1090</t>
  </si>
  <si>
    <t>CV2526YPR013870</t>
  </si>
  <si>
    <t>CV2526TVK001083</t>
  </si>
  <si>
    <t>3855</t>
  </si>
  <si>
    <t>CV2526TVK001103</t>
  </si>
  <si>
    <t>G25TN4080GS00700</t>
  </si>
  <si>
    <t>CV26YPR0014041</t>
  </si>
  <si>
    <t>SYN25/04793</t>
  </si>
  <si>
    <t>CV2526TVK001117</t>
  </si>
  <si>
    <t>3887</t>
  </si>
  <si>
    <t>3891</t>
  </si>
  <si>
    <t>3904</t>
  </si>
  <si>
    <t>CV2526BGP001448</t>
  </si>
  <si>
    <t>PUCHE2526001234</t>
  </si>
  <si>
    <t>CV2526TVK001140</t>
  </si>
  <si>
    <t>SVP25-26/1114</t>
  </si>
  <si>
    <t>3952</t>
  </si>
  <si>
    <t>CV2526TVK001153</t>
  </si>
  <si>
    <t>PUCBE2526000685</t>
  </si>
  <si>
    <t>SYN25/04928</t>
  </si>
  <si>
    <t>SYN25/04929</t>
  </si>
  <si>
    <t>TN/25-26/468</t>
  </si>
  <si>
    <t>CV2526BGP001484</t>
  </si>
  <si>
    <t>CV2526BGP001486</t>
  </si>
  <si>
    <t>CV2526YPR0014579</t>
  </si>
  <si>
    <t>CV2526TVK001177</t>
  </si>
  <si>
    <t>CV2526TVK001178</t>
  </si>
  <si>
    <t>0520</t>
  </si>
  <si>
    <t>SYN25/05008</t>
  </si>
  <si>
    <t>VN000170</t>
  </si>
  <si>
    <t>IN25-26/BLR/1486</t>
  </si>
  <si>
    <t>SVP25-26/1167</t>
  </si>
  <si>
    <t>CV2526BGP001521</t>
  </si>
  <si>
    <t>CV2526BGP001523</t>
  </si>
  <si>
    <t>CV2526BGP001530</t>
  </si>
  <si>
    <t>CV2526TVK001204</t>
  </si>
  <si>
    <t>SYN25/05136</t>
  </si>
  <si>
    <t>SVP25-26/1190 &amp; SVP25-26/1191</t>
  </si>
  <si>
    <t>CV2526BGP001559</t>
  </si>
  <si>
    <t>CV2526BGP001561</t>
  </si>
  <si>
    <t>4191</t>
  </si>
  <si>
    <t>4189</t>
  </si>
  <si>
    <t>CV2526TVK0001219</t>
  </si>
  <si>
    <t>4219</t>
  </si>
  <si>
    <t>SVP25-26/1213</t>
  </si>
  <si>
    <t>PUSLM2526000425</t>
  </si>
  <si>
    <t>CV2526TVK001236</t>
  </si>
  <si>
    <t>CV2526TVK001237</t>
  </si>
  <si>
    <t>CV2526TVK001238</t>
  </si>
  <si>
    <t>CV2526TVK001239</t>
  </si>
  <si>
    <t>CV2526BGP001592</t>
  </si>
  <si>
    <t>SYN25/05250</t>
  </si>
  <si>
    <t>SYN25/05252</t>
  </si>
  <si>
    <t>90GST/25-26</t>
  </si>
  <si>
    <t>U1/1138/25-26</t>
  </si>
  <si>
    <t>G2025TN80GS02020</t>
  </si>
  <si>
    <t>SYN25/05275</t>
  </si>
  <si>
    <t>SYN25/05276</t>
  </si>
  <si>
    <t>4308</t>
  </si>
  <si>
    <t>CV2526TVK001258</t>
  </si>
  <si>
    <t>2902-1610/25-26</t>
  </si>
  <si>
    <t>A-834/2025-26</t>
  </si>
  <si>
    <t>4315</t>
  </si>
  <si>
    <t>PUSLM2526000431</t>
  </si>
  <si>
    <t>PUSLM2526000428</t>
  </si>
  <si>
    <t>CV2526YPR015511</t>
  </si>
  <si>
    <t>2636</t>
  </si>
  <si>
    <t>U-II/25-26/00997</t>
  </si>
  <si>
    <t>CV2526TVK001264</t>
  </si>
  <si>
    <t>CV2526YPR15521</t>
  </si>
  <si>
    <t>4348</t>
  </si>
  <si>
    <t>CV2526TVK001270</t>
  </si>
  <si>
    <t>894/25-26</t>
  </si>
  <si>
    <t>NC2829</t>
  </si>
  <si>
    <t>CV2526BGP001637</t>
  </si>
  <si>
    <t>CV2526YPR015640</t>
  </si>
  <si>
    <t>252606083</t>
  </si>
  <si>
    <t>CV2526YPR015639</t>
  </si>
  <si>
    <t>CV2526BGP001639</t>
  </si>
  <si>
    <t>SYN25/05401</t>
  </si>
  <si>
    <t>SYN25/05402</t>
  </si>
  <si>
    <t>PUSLM2526000437</t>
  </si>
  <si>
    <t>2025-26/120</t>
  </si>
  <si>
    <t>SVP25-26/1256</t>
  </si>
  <si>
    <t>PUSLM2526000438</t>
  </si>
  <si>
    <t>SYN25/05466</t>
  </si>
  <si>
    <t>SVP25-26/1267</t>
  </si>
  <si>
    <t>AP/1128</t>
  </si>
  <si>
    <t>2902-1663/25-26</t>
  </si>
  <si>
    <t>SYN25/05504</t>
  </si>
  <si>
    <t>SYN25/05505</t>
  </si>
  <si>
    <t>CV2526BGP001683</t>
  </si>
  <si>
    <t>SYN/25/05538</t>
  </si>
  <si>
    <t>SVP25-26/1278</t>
  </si>
  <si>
    <t>SVP25-26/1281</t>
  </si>
  <si>
    <t>CSC/03/25-26</t>
  </si>
  <si>
    <t>CV2526YPR016194</t>
  </si>
  <si>
    <t>4520</t>
  </si>
  <si>
    <t>AKJ/MH/25-26/196</t>
  </si>
  <si>
    <t>PUSLM2526000450</t>
  </si>
  <si>
    <t>CM/2526/1044060</t>
  </si>
  <si>
    <t>152</t>
  </si>
  <si>
    <t>CV2526YPR016267</t>
  </si>
  <si>
    <t>PUSLM2526000455</t>
  </si>
  <si>
    <t>A-900/2025-26</t>
  </si>
  <si>
    <t>4580</t>
  </si>
  <si>
    <t>153</t>
  </si>
  <si>
    <t>PPHP POWDER PW0MH00 OPAL</t>
  </si>
  <si>
    <t>PE METALLOCENE SLIP F0120LM HMEL</t>
  </si>
  <si>
    <t>PE METALLOCENE SLIP F0116LM HMEL</t>
  </si>
  <si>
    <t>HDPE HM FILM F55HM0003A GAIL</t>
  </si>
  <si>
    <t>LDPE HEAVYDUTY HP0321NN SABIC</t>
  </si>
  <si>
    <t>ABS MODIFIED TRANSPARENT 929-555 TORAY</t>
  </si>
  <si>
    <t>LLDPE IM 500M24A IOCL</t>
  </si>
  <si>
    <t>PVC RESIN SG5 ZHONGTAI</t>
  </si>
  <si>
    <t>Outright + 1.5 + 1.5 + Price Protection</t>
  </si>
  <si>
    <t>PRIME POLYCHEM PRIVATE LIMITED</t>
  </si>
  <si>
    <t>SVP/25-26/1001</t>
  </si>
  <si>
    <t>CV2526YPR013022</t>
  </si>
  <si>
    <t>RPB25-26/3266</t>
  </si>
  <si>
    <t>SVP/25-26/1016</t>
  </si>
  <si>
    <t>BLR/25-26/1095</t>
  </si>
  <si>
    <t>A-718/2025-26</t>
  </si>
  <si>
    <t>U1/1005/25-26</t>
  </si>
  <si>
    <t>PUSLM2526000354</t>
  </si>
  <si>
    <t>SVP25-26/1060</t>
  </si>
  <si>
    <t>1226</t>
  </si>
  <si>
    <t>CV2526YPR013791</t>
  </si>
  <si>
    <t>CV2526YPR013827</t>
  </si>
  <si>
    <t>PUSLM2526000372</t>
  </si>
  <si>
    <t>PUSLM2526000373</t>
  </si>
  <si>
    <t>PUSLM2526000374</t>
  </si>
  <si>
    <t>CV2526TVK001070</t>
  </si>
  <si>
    <t>CV2526YPR13869</t>
  </si>
  <si>
    <t>PUSLM2526000387</t>
  </si>
  <si>
    <t>PUSLM2526000386</t>
  </si>
  <si>
    <t>86</t>
  </si>
  <si>
    <t>IN25-26/BLR/1439</t>
  </si>
  <si>
    <t>PUSLM2526000393</t>
  </si>
  <si>
    <t>PUSLM2526000394</t>
  </si>
  <si>
    <t>3991</t>
  </si>
  <si>
    <t>CVK2526TVK001169</t>
  </si>
  <si>
    <t>IN25-26/BLR/1452</t>
  </si>
  <si>
    <t>IN/25-26/BLR1474</t>
  </si>
  <si>
    <t>CV2526TVK001181</t>
  </si>
  <si>
    <t>CV2526YPR014689</t>
  </si>
  <si>
    <t>CV2526TVK001207</t>
  </si>
  <si>
    <t>1195</t>
  </si>
  <si>
    <t>CV2526BGP001547</t>
  </si>
  <si>
    <t>PUSLM2526000426</t>
  </si>
  <si>
    <t>PUSLM2526000427</t>
  </si>
  <si>
    <t>CV2526TVK001282</t>
  </si>
  <si>
    <t>CV2526TVK001283</t>
  </si>
  <si>
    <t>PUSLM2526000433</t>
  </si>
  <si>
    <t>CV2526TVK001288</t>
  </si>
  <si>
    <t>4412</t>
  </si>
  <si>
    <t>2025-26/122</t>
  </si>
  <si>
    <t>CV2526YPR016063</t>
  </si>
  <si>
    <t>MVM2526G2294</t>
  </si>
  <si>
    <t>PPPL/7041/25-26</t>
  </si>
  <si>
    <t>4494</t>
  </si>
  <si>
    <t>CV2526TVK001329</t>
  </si>
  <si>
    <t>CV2526TVK001330</t>
  </si>
  <si>
    <t>PUSLM2526000457</t>
  </si>
  <si>
    <t>PUSLM2526000456</t>
  </si>
  <si>
    <t>A-904/2025-26</t>
  </si>
  <si>
    <t>GPPS MOULD PS-133 STYRENIX</t>
  </si>
  <si>
    <t>PA-6 N1200UF BLACK</t>
  </si>
  <si>
    <t>PVC SUSPENSION S65D FORMOSA</t>
  </si>
  <si>
    <t>Buying Terms (If Outright with Disc)</t>
  </si>
  <si>
    <t>SVP25-26/1223</t>
  </si>
  <si>
    <t>SVP25-26/1240</t>
  </si>
  <si>
    <t>As per Commitment to be received</t>
  </si>
  <si>
    <t>PUSLM2526000262</t>
  </si>
  <si>
    <t>Depo</t>
  </si>
  <si>
    <t>Godown</t>
  </si>
  <si>
    <t>U2/0690/25-26</t>
  </si>
  <si>
    <t>Small Variation</t>
  </si>
  <si>
    <t>CV2526YPR016601</t>
  </si>
  <si>
    <t>CV2526YPR016622</t>
  </si>
  <si>
    <t>4653</t>
  </si>
  <si>
    <t>A-921/2025-26</t>
  </si>
  <si>
    <t>CV2526TVK001366</t>
  </si>
  <si>
    <t>CV2526YPR016732</t>
  </si>
  <si>
    <t>CV2526YPR016767</t>
  </si>
  <si>
    <t>CV2526YPR016809</t>
  </si>
  <si>
    <t>AP/1196</t>
  </si>
  <si>
    <t>SYN25/05779</t>
  </si>
  <si>
    <t>CV2526TVK001367</t>
  </si>
  <si>
    <t>CV2526YPR016859</t>
  </si>
  <si>
    <t>Vidhi/25-26/262</t>
  </si>
  <si>
    <t>CV2526TVK001372</t>
  </si>
  <si>
    <t>Vidhi/25-26/261</t>
  </si>
  <si>
    <t>U1/1257/25-26</t>
  </si>
  <si>
    <t>4746</t>
  </si>
  <si>
    <t>CV2526YPR016934</t>
  </si>
  <si>
    <t>1376</t>
  </si>
  <si>
    <t>CV2526YPR017007</t>
  </si>
  <si>
    <t>SYN25/05841</t>
  </si>
  <si>
    <t>AP/1213</t>
  </si>
  <si>
    <t>U1/1262/25-26</t>
  </si>
  <si>
    <t>Allied</t>
  </si>
  <si>
    <t>Coimbatore</t>
  </si>
  <si>
    <t>Chennai</t>
  </si>
  <si>
    <t>Commission reduced instead of adding up</t>
  </si>
  <si>
    <t>PPHP</t>
  </si>
  <si>
    <t>39031990</t>
  </si>
  <si>
    <t>GPPS</t>
  </si>
  <si>
    <t>STYRENIX</t>
  </si>
  <si>
    <t>39069090</t>
  </si>
  <si>
    <t>TORAY</t>
  </si>
  <si>
    <t>ZHONGTAI</t>
  </si>
  <si>
    <t>No Idea</t>
  </si>
  <si>
    <t>Hyderabad</t>
  </si>
  <si>
    <t>GST CN</t>
  </si>
  <si>
    <t>SHRINATH TRADE VENTURES PRIVATE LIMITED</t>
  </si>
  <si>
    <t>HI TECH POLYMERS</t>
  </si>
  <si>
    <t>CV2526YPR017174</t>
  </si>
  <si>
    <t>Vidhi/25-26/270</t>
  </si>
  <si>
    <t>4837</t>
  </si>
  <si>
    <t>SYN25/05897</t>
  </si>
  <si>
    <t>SYN25/05900</t>
  </si>
  <si>
    <t>CV2526YPR017227</t>
  </si>
  <si>
    <t>SVP25-26/1390</t>
  </si>
  <si>
    <t>4871</t>
  </si>
  <si>
    <t>SYN25/05925</t>
  </si>
  <si>
    <t>SYN25/05931</t>
  </si>
  <si>
    <t>SYN25/05953</t>
  </si>
  <si>
    <t>440/25-26</t>
  </si>
  <si>
    <t>SPL/6481/25-26</t>
  </si>
  <si>
    <t>CV2526YPR017405</t>
  </si>
  <si>
    <t>SYN25/05964</t>
  </si>
  <si>
    <t>SYN25/06000</t>
  </si>
  <si>
    <t>SVP25-26/1413</t>
  </si>
  <si>
    <t>U1/1294/25-26</t>
  </si>
  <si>
    <t>AP/1248</t>
  </si>
  <si>
    <t>IN25-26/BLR/1799</t>
  </si>
  <si>
    <t>CV2526YPR017527</t>
  </si>
  <si>
    <t>CV2526YPR017548</t>
  </si>
  <si>
    <t>CV2526TVK001410</t>
  </si>
  <si>
    <t>CV2526YPR017571</t>
  </si>
  <si>
    <t>XYRON 540Z A1A3301 (BLACK)</t>
  </si>
  <si>
    <t>XYRON PV40Z A1A3201 (BLACK)</t>
  </si>
  <si>
    <t>LEONA FR370 W33N2 (BLACK)</t>
  </si>
  <si>
    <t>Purchase</t>
  </si>
  <si>
    <t>Purchase Return</t>
  </si>
  <si>
    <t>Category</t>
  </si>
  <si>
    <t>NI/CN001/25-26</t>
  </si>
  <si>
    <t>39</t>
  </si>
  <si>
    <t>39072090</t>
  </si>
  <si>
    <t>39072990</t>
  </si>
  <si>
    <t>39081049</t>
  </si>
  <si>
    <t>XYRON</t>
  </si>
  <si>
    <t>LEONA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</si>
</sst>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5" fillId="3" borderId="0" xfId="0" applyFont="1" applyFill="1"/>
    <xf numFmtId="0" fontId="5" fillId="3" borderId="0" xfId="0" applyFont="1" applyFill="1" applyAlignment="1">
      <alignment horizontal="left"/>
    </xf>
    <xf numFmtId="14" fontId="5" fillId="3" borderId="0" xfId="0" applyNumberFormat="1" applyFont="1" applyFill="1"/>
    <xf numFmtId="164" fontId="0" fillId="0" borderId="0" xfId="1" applyNumberFormat="1" applyFont="1"/>
    <xf numFmtId="0" fontId="0" fillId="0" borderId="0" xfId="0" applyAlignment="1">
      <alignment horizontal="left"/>
    </xf>
    <xf numFmtId="14" fontId="0" fillId="0" borderId="0" xfId="0" applyNumberFormat="1"/>
    <xf numFmtId="17" fontId="0" fillId="0" borderId="0" xfId="0" applyNumberFormat="1"/>
    <xf numFmtId="43" fontId="0" fillId="0" borderId="0" xfId="1" applyFont="1"/>
    <xf numFmtId="43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5" fillId="4" borderId="0" xfId="0" applyFont="1" applyFill="1"/>
    <xf numFmtId="0" fontId="4" fillId="4" borderId="0" xfId="0" applyFont="1" applyFill="1"/>
    <xf numFmtId="0" fontId="4" fillId="3" borderId="0" xfId="0" applyFont="1" applyFill="1"/>
    <xf numFmtId="164" fontId="5" fillId="3" borderId="0" xfId="1" applyNumberFormat="1" applyFont="1" applyFill="1"/>
    <xf numFmtId="164" fontId="5" fillId="0" borderId="0" xfId="1" applyNumberFormat="1" applyFont="1" applyFill="1"/>
    <xf numFmtId="0" fontId="2" fillId="2" borderId="0" xfId="0" applyFont="1" applyFill="1"/>
    <xf numFmtId="0" fontId="6" fillId="0" borderId="0" xfId="0" applyFont="1" applyAlignment="1">
      <alignment horizontal="center"/>
    </xf>
    <xf numFmtId="43" fontId="5" fillId="0" borderId="0" xfId="1" applyFont="1" applyFill="1"/>
    <xf numFmtId="43" fontId="5" fillId="5" borderId="1" xfId="1" applyFont="1" applyFill="1" applyBorder="1"/>
    <xf numFmtId="0" fontId="0" fillId="0" borderId="1" xfId="0" applyBorder="1"/>
    <xf numFmtId="43" fontId="7" fillId="4" borderId="1" xfId="1" applyFont="1" applyFill="1" applyBorder="1"/>
    <xf numFmtId="0" fontId="4" fillId="0" borderId="1" xfId="0" applyFont="1" applyBorder="1"/>
    <xf numFmtId="0" fontId="0" fillId="0" borderId="0" xfId="0" applyAlignment="1">
      <alignment horizontal="left" vertical="top"/>
    </xf>
    <xf numFmtId="165" fontId="0" fillId="0" borderId="0" xfId="1" applyNumberFormat="1" applyFont="1"/>
    <xf numFmtId="165" fontId="5" fillId="3" borderId="0" xfId="1" applyNumberFormat="1" applyFont="1" applyFill="1" applyAlignment="1">
      <alignment horizontal="left"/>
    </xf>
    <xf numFmtId="165" fontId="0" fillId="0" borderId="0" xfId="1" applyNumberFormat="1" applyFont="1" applyAlignment="1">
      <alignment horizontal="left"/>
    </xf>
    <xf numFmtId="0" fontId="0" fillId="0" borderId="0" xfId="0" quotePrefix="1"/>
    <xf numFmtId="49" fontId="0" fillId="0" borderId="0" xfId="0" applyNumberFormat="1"/>
    <xf numFmtId="0" fontId="0" fillId="0" borderId="0" xfId="0" applyAlignment="1">
      <alignment wrapText="1"/>
    </xf>
    <xf numFmtId="164" fontId="5" fillId="4" borderId="0" xfId="1" applyNumberFormat="1" applyFont="1" applyFill="1"/>
    <xf numFmtId="165" fontId="6" fillId="0" borderId="1" xfId="1" applyNumberFormat="1" applyFont="1" applyBorder="1" applyAlignment="1"/>
    <xf numFmtId="165" fontId="5" fillId="5" borderId="0" xfId="1" applyNumberFormat="1" applyFont="1" applyFill="1"/>
    <xf numFmtId="43" fontId="5" fillId="5" borderId="2" xfId="1" applyFont="1" applyFill="1" applyBorder="1"/>
    <xf numFmtId="164" fontId="4" fillId="0" borderId="0" xfId="1" applyNumberFormat="1" applyFont="1"/>
    <xf numFmtId="165" fontId="2" fillId="2" borderId="0" xfId="1" applyNumberFormat="1" applyFont="1" applyFill="1"/>
    <xf numFmtId="164" fontId="0" fillId="0" borderId="0" xfId="0" applyNumberFormat="1"/>
    <xf numFmtId="164" fontId="4" fillId="0" borderId="0" xfId="0" applyNumberFormat="1" applyFont="1"/>
    <xf numFmtId="164" fontId="0" fillId="0" borderId="1" xfId="1" applyNumberFormat="1" applyFont="1" applyBorder="1"/>
    <xf numFmtId="164" fontId="4" fillId="0" borderId="1" xfId="1" applyNumberFormat="1" applyFont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64" fontId="4" fillId="0" borderId="1" xfId="1" applyNumberFormat="1" applyFont="1" applyBorder="1"/>
    <xf numFmtId="164" fontId="3" fillId="0" borderId="0" xfId="0" applyNumberFormat="1" applyFont="1"/>
    <xf numFmtId="0" fontId="7" fillId="0" borderId="0" xfId="0" applyFont="1"/>
    <xf numFmtId="164" fontId="4" fillId="0" borderId="0" xfId="1" applyNumberFormat="1" applyFont="1" applyBorder="1"/>
    <xf numFmtId="17" fontId="4" fillId="0" borderId="0" xfId="0" applyNumberFormat="1" applyFont="1"/>
    <xf numFmtId="17" fontId="4" fillId="0" borderId="1" xfId="0" applyNumberFormat="1" applyFont="1" applyBorder="1"/>
    <xf numFmtId="164" fontId="0" fillId="0" borderId="0" xfId="1" applyNumberFormat="1" applyFont="1" applyBorder="1"/>
    <xf numFmtId="165" fontId="6" fillId="0" borderId="1" xfId="1" applyNumberFormat="1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0" fillId="6" borderId="0" xfId="0" applyFill="1"/>
    <xf numFmtId="0" fontId="2" fillId="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80A1-F99D-4D36-8C43-21D0957BA6D5}">
  <dimension ref="A1:D13"/>
  <sheetViews>
    <sheetView workbookViewId="0"/>
  </sheetViews>
  <sheetFormatPr defaultRowHeight="14.4" x14ac:dyDescent="0.3"/>
  <cols>
    <col min="1" max="1" width="42.44140625" bestFit="1" customWidth="1"/>
    <col min="2" max="2" width="42.44140625" customWidth="1"/>
    <col min="3" max="3" width="7.21875" bestFit="1" customWidth="1"/>
    <col min="4" max="4" width="21.109375" bestFit="1" customWidth="1"/>
  </cols>
  <sheetData>
    <row r="1" spans="1:4" x14ac:dyDescent="0.3">
      <c r="A1" s="10" t="s">
        <v>28</v>
      </c>
      <c r="B1" s="10" t="s">
        <v>1338</v>
      </c>
      <c r="C1" s="10" t="s">
        <v>1329</v>
      </c>
      <c r="D1" s="35" t="s">
        <v>4</v>
      </c>
    </row>
    <row r="2" spans="1:4" x14ac:dyDescent="0.3">
      <c r="A2" t="s">
        <v>48</v>
      </c>
      <c r="B2" t="s">
        <v>1339</v>
      </c>
      <c r="C2" s="7">
        <v>45748</v>
      </c>
      <c r="D2" s="4" t="s">
        <v>49</v>
      </c>
    </row>
    <row r="3" spans="1:4" x14ac:dyDescent="0.3">
      <c r="A3" t="s">
        <v>824</v>
      </c>
      <c r="B3" t="s">
        <v>1340</v>
      </c>
      <c r="C3" s="7">
        <v>45778</v>
      </c>
      <c r="D3" s="4" t="s">
        <v>1325</v>
      </c>
    </row>
    <row r="4" spans="1:4" x14ac:dyDescent="0.3">
      <c r="A4" t="s">
        <v>826</v>
      </c>
      <c r="B4" t="s">
        <v>1341</v>
      </c>
      <c r="C4" s="7">
        <v>45809</v>
      </c>
      <c r="D4" s="4" t="s">
        <v>24</v>
      </c>
    </row>
    <row r="5" spans="1:4" x14ac:dyDescent="0.3">
      <c r="A5" t="s">
        <v>836</v>
      </c>
      <c r="B5" t="s">
        <v>1342</v>
      </c>
      <c r="C5" s="7">
        <v>45839</v>
      </c>
      <c r="D5" s="4"/>
    </row>
    <row r="6" spans="1:4" x14ac:dyDescent="0.3">
      <c r="A6" t="s">
        <v>838</v>
      </c>
      <c r="B6" t="s">
        <v>1343</v>
      </c>
      <c r="C6" s="7">
        <v>45870</v>
      </c>
      <c r="D6" s="4"/>
    </row>
    <row r="7" spans="1:4" x14ac:dyDescent="0.3">
      <c r="A7" t="s">
        <v>857</v>
      </c>
      <c r="B7" t="s">
        <v>1344</v>
      </c>
      <c r="C7" s="7">
        <v>45901</v>
      </c>
      <c r="D7" s="4"/>
    </row>
    <row r="8" spans="1:4" x14ac:dyDescent="0.3">
      <c r="A8" t="s">
        <v>839</v>
      </c>
      <c r="B8" t="s">
        <v>1345</v>
      </c>
      <c r="C8" s="7">
        <v>45931</v>
      </c>
      <c r="D8" s="4"/>
    </row>
    <row r="9" spans="1:4" x14ac:dyDescent="0.3">
      <c r="A9" t="s">
        <v>872</v>
      </c>
      <c r="B9" t="s">
        <v>1346</v>
      </c>
      <c r="C9" s="7">
        <v>45962</v>
      </c>
      <c r="D9" s="4"/>
    </row>
    <row r="10" spans="1:4" x14ac:dyDescent="0.3">
      <c r="A10" t="s">
        <v>864</v>
      </c>
      <c r="B10" t="s">
        <v>1347</v>
      </c>
      <c r="C10" s="7">
        <v>45992</v>
      </c>
      <c r="D10" s="4"/>
    </row>
    <row r="11" spans="1:4" x14ac:dyDescent="0.3">
      <c r="A11" t="s">
        <v>885</v>
      </c>
      <c r="B11" t="s">
        <v>1632</v>
      </c>
      <c r="C11" s="7">
        <v>46023</v>
      </c>
      <c r="D11" s="4"/>
    </row>
    <row r="12" spans="1:4" x14ac:dyDescent="0.3">
      <c r="C12" s="7">
        <v>46054</v>
      </c>
      <c r="D12" s="4"/>
    </row>
    <row r="13" spans="1:4" x14ac:dyDescent="0.3">
      <c r="C13" s="7">
        <v>46082</v>
      </c>
      <c r="D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1AB4-C6DB-4EEB-B01A-C86E2450B62A}">
  <dimension ref="A1:F306"/>
  <sheetViews>
    <sheetView topLeftCell="A288" workbookViewId="0">
      <selection activeCell="B304" sqref="B304"/>
    </sheetView>
  </sheetViews>
  <sheetFormatPr defaultRowHeight="14.4" x14ac:dyDescent="0.3"/>
  <cols>
    <col min="1" max="1" width="58.6640625" bestFit="1" customWidth="1"/>
    <col min="2" max="2" width="8.6640625" bestFit="1" customWidth="1"/>
    <col min="3" max="3" width="9.33203125" bestFit="1" customWidth="1"/>
    <col min="4" max="4" width="11.21875" bestFit="1" customWidth="1"/>
    <col min="5" max="5" width="10.77734375" bestFit="1" customWidth="1"/>
  </cols>
  <sheetData>
    <row r="1" spans="1:6" x14ac:dyDescent="0.3">
      <c r="A1" s="10" t="s">
        <v>1021</v>
      </c>
      <c r="B1" s="10" t="s">
        <v>4</v>
      </c>
      <c r="C1" s="10" t="s">
        <v>1022</v>
      </c>
      <c r="D1" s="10" t="s">
        <v>3</v>
      </c>
      <c r="E1" s="10" t="s">
        <v>2</v>
      </c>
      <c r="F1" s="10" t="s">
        <v>4</v>
      </c>
    </row>
    <row r="2" spans="1:6" x14ac:dyDescent="0.3">
      <c r="A2" t="s">
        <v>1023</v>
      </c>
      <c r="B2" t="s">
        <v>1024</v>
      </c>
      <c r="C2" t="s">
        <v>1025</v>
      </c>
      <c r="D2" t="s">
        <v>23</v>
      </c>
      <c r="E2" t="s">
        <v>1026</v>
      </c>
      <c r="F2" t="s">
        <v>1024</v>
      </c>
    </row>
    <row r="3" spans="1:6" x14ac:dyDescent="0.3">
      <c r="A3" t="s">
        <v>985</v>
      </c>
      <c r="B3" t="s">
        <v>1027</v>
      </c>
      <c r="C3" t="s">
        <v>1028</v>
      </c>
      <c r="D3" t="s">
        <v>1029</v>
      </c>
      <c r="E3" t="s">
        <v>47</v>
      </c>
      <c r="F3" t="s">
        <v>1027</v>
      </c>
    </row>
    <row r="4" spans="1:6" x14ac:dyDescent="0.3">
      <c r="A4" t="s">
        <v>967</v>
      </c>
      <c r="B4" t="s">
        <v>1024</v>
      </c>
      <c r="C4" t="s">
        <v>1030</v>
      </c>
      <c r="D4" t="s">
        <v>1031</v>
      </c>
      <c r="E4" t="s">
        <v>39</v>
      </c>
      <c r="F4" t="s">
        <v>1024</v>
      </c>
    </row>
    <row r="5" spans="1:6" x14ac:dyDescent="0.3">
      <c r="A5" t="s">
        <v>981</v>
      </c>
      <c r="B5" t="s">
        <v>1024</v>
      </c>
      <c r="C5" t="s">
        <v>1025</v>
      </c>
      <c r="D5" t="s">
        <v>23</v>
      </c>
      <c r="E5" t="s">
        <v>1026</v>
      </c>
      <c r="F5" t="s">
        <v>1024</v>
      </c>
    </row>
    <row r="6" spans="1:6" x14ac:dyDescent="0.3">
      <c r="A6" t="s">
        <v>1032</v>
      </c>
      <c r="B6" t="s">
        <v>1024</v>
      </c>
      <c r="C6" t="s">
        <v>1025</v>
      </c>
      <c r="D6" t="s">
        <v>19</v>
      </c>
      <c r="E6" t="s">
        <v>1026</v>
      </c>
      <c r="F6" t="s">
        <v>1024</v>
      </c>
    </row>
    <row r="7" spans="1:6" x14ac:dyDescent="0.3">
      <c r="A7" t="s">
        <v>1033</v>
      </c>
      <c r="B7" t="s">
        <v>1024</v>
      </c>
      <c r="C7" t="s">
        <v>1025</v>
      </c>
      <c r="D7" t="s">
        <v>23</v>
      </c>
      <c r="E7" t="s">
        <v>1026</v>
      </c>
      <c r="F7" t="s">
        <v>1024</v>
      </c>
    </row>
    <row r="8" spans="1:6" x14ac:dyDescent="0.3">
      <c r="A8" t="s">
        <v>1034</v>
      </c>
      <c r="B8" t="s">
        <v>1024</v>
      </c>
      <c r="C8" t="s">
        <v>1025</v>
      </c>
      <c r="D8" t="s">
        <v>23</v>
      </c>
      <c r="E8" t="s">
        <v>1026</v>
      </c>
      <c r="F8" t="s">
        <v>1024</v>
      </c>
    </row>
    <row r="9" spans="1:6" x14ac:dyDescent="0.3">
      <c r="A9" t="s">
        <v>1035</v>
      </c>
      <c r="B9" t="s">
        <v>1027</v>
      </c>
      <c r="C9" t="s">
        <v>1036</v>
      </c>
      <c r="D9" t="s">
        <v>1031</v>
      </c>
      <c r="E9" t="s">
        <v>1037</v>
      </c>
      <c r="F9" t="s">
        <v>1027</v>
      </c>
    </row>
    <row r="10" spans="1:6" x14ac:dyDescent="0.3">
      <c r="A10" t="s">
        <v>1038</v>
      </c>
      <c r="B10" t="s">
        <v>1027</v>
      </c>
      <c r="C10" t="s">
        <v>1039</v>
      </c>
      <c r="D10" t="s">
        <v>1031</v>
      </c>
      <c r="E10" t="s">
        <v>42</v>
      </c>
      <c r="F10" t="s">
        <v>1027</v>
      </c>
    </row>
    <row r="11" spans="1:6" x14ac:dyDescent="0.3">
      <c r="A11" t="s">
        <v>1040</v>
      </c>
      <c r="B11" t="s">
        <v>1027</v>
      </c>
      <c r="C11" t="s">
        <v>1025</v>
      </c>
      <c r="D11" t="s">
        <v>23</v>
      </c>
      <c r="E11" t="s">
        <v>1041</v>
      </c>
      <c r="F11" t="s">
        <v>1330</v>
      </c>
    </row>
    <row r="12" spans="1:6" x14ac:dyDescent="0.3">
      <c r="A12" t="s">
        <v>1042</v>
      </c>
      <c r="B12" t="s">
        <v>1027</v>
      </c>
      <c r="C12" t="s">
        <v>1025</v>
      </c>
      <c r="D12" t="s">
        <v>23</v>
      </c>
      <c r="E12" t="s">
        <v>1041</v>
      </c>
      <c r="F12" t="s">
        <v>1330</v>
      </c>
    </row>
    <row r="13" spans="1:6" x14ac:dyDescent="0.3">
      <c r="A13" t="s">
        <v>1043</v>
      </c>
      <c r="B13" t="s">
        <v>1027</v>
      </c>
      <c r="C13" t="s">
        <v>1025</v>
      </c>
      <c r="D13" t="s">
        <v>23</v>
      </c>
      <c r="E13" t="s">
        <v>1041</v>
      </c>
      <c r="F13" t="s">
        <v>1330</v>
      </c>
    </row>
    <row r="14" spans="1:6" x14ac:dyDescent="0.3">
      <c r="A14" t="s">
        <v>1044</v>
      </c>
      <c r="B14" t="s">
        <v>1024</v>
      </c>
      <c r="C14" t="s">
        <v>1025</v>
      </c>
      <c r="D14" t="s">
        <v>23</v>
      </c>
      <c r="E14" t="s">
        <v>1026</v>
      </c>
      <c r="F14" t="s">
        <v>1024</v>
      </c>
    </row>
    <row r="15" spans="1:6" x14ac:dyDescent="0.3">
      <c r="A15" t="s">
        <v>1045</v>
      </c>
      <c r="B15" t="s">
        <v>1024</v>
      </c>
      <c r="C15" t="s">
        <v>1025</v>
      </c>
      <c r="D15" t="s">
        <v>23</v>
      </c>
      <c r="E15" t="s">
        <v>1026</v>
      </c>
      <c r="F15" t="s">
        <v>1024</v>
      </c>
    </row>
    <row r="16" spans="1:6" x14ac:dyDescent="0.3">
      <c r="A16" t="s">
        <v>1007</v>
      </c>
      <c r="B16" t="s">
        <v>1027</v>
      </c>
      <c r="C16" t="s">
        <v>1046</v>
      </c>
      <c r="D16" t="s">
        <v>9</v>
      </c>
      <c r="E16" t="s">
        <v>1047</v>
      </c>
      <c r="F16" t="s">
        <v>1027</v>
      </c>
    </row>
    <row r="17" spans="1:6" x14ac:dyDescent="0.3">
      <c r="A17" t="s">
        <v>1048</v>
      </c>
      <c r="B17" t="s">
        <v>1027</v>
      </c>
      <c r="C17" t="s">
        <v>1036</v>
      </c>
      <c r="D17" t="s">
        <v>1049</v>
      </c>
      <c r="E17" t="s">
        <v>1037</v>
      </c>
      <c r="F17" t="s">
        <v>1027</v>
      </c>
    </row>
    <row r="18" spans="1:6" x14ac:dyDescent="0.3">
      <c r="A18" t="s">
        <v>1050</v>
      </c>
      <c r="B18" t="s">
        <v>1027</v>
      </c>
      <c r="C18" t="s">
        <v>1046</v>
      </c>
      <c r="D18" t="s">
        <v>9</v>
      </c>
      <c r="E18" t="s">
        <v>1051</v>
      </c>
      <c r="F18" t="s">
        <v>1027</v>
      </c>
    </row>
    <row r="19" spans="1:6" x14ac:dyDescent="0.3">
      <c r="A19" t="s">
        <v>1052</v>
      </c>
      <c r="B19" t="s">
        <v>1024</v>
      </c>
      <c r="C19" t="s">
        <v>1046</v>
      </c>
      <c r="D19" t="s">
        <v>9</v>
      </c>
      <c r="E19" t="s">
        <v>1026</v>
      </c>
      <c r="F19" t="s">
        <v>1024</v>
      </c>
    </row>
    <row r="20" spans="1:6" x14ac:dyDescent="0.3">
      <c r="A20" t="s">
        <v>1053</v>
      </c>
      <c r="B20" t="s">
        <v>1027</v>
      </c>
      <c r="C20" t="s">
        <v>1046</v>
      </c>
      <c r="D20" t="s">
        <v>9</v>
      </c>
      <c r="E20" t="s">
        <v>47</v>
      </c>
      <c r="F20" t="s">
        <v>1027</v>
      </c>
    </row>
    <row r="21" spans="1:6" x14ac:dyDescent="0.3">
      <c r="A21" t="s">
        <v>1054</v>
      </c>
      <c r="B21" t="s">
        <v>1027</v>
      </c>
      <c r="C21" t="s">
        <v>1025</v>
      </c>
      <c r="D21" t="s">
        <v>23</v>
      </c>
      <c r="E21" t="s">
        <v>44</v>
      </c>
      <c r="F21" t="s">
        <v>1027</v>
      </c>
    </row>
    <row r="22" spans="1:6" x14ac:dyDescent="0.3">
      <c r="A22" t="s">
        <v>1055</v>
      </c>
      <c r="B22" t="s">
        <v>1027</v>
      </c>
      <c r="C22" t="s">
        <v>1028</v>
      </c>
      <c r="D22" t="s">
        <v>1029</v>
      </c>
      <c r="E22" t="s">
        <v>47</v>
      </c>
      <c r="F22" t="s">
        <v>1027</v>
      </c>
    </row>
    <row r="23" spans="1:6" x14ac:dyDescent="0.3">
      <c r="A23" t="s">
        <v>940</v>
      </c>
      <c r="B23" t="s">
        <v>1027</v>
      </c>
      <c r="C23" t="s">
        <v>1046</v>
      </c>
      <c r="D23" t="s">
        <v>9</v>
      </c>
      <c r="E23" t="s">
        <v>1051</v>
      </c>
      <c r="F23" t="s">
        <v>1027</v>
      </c>
    </row>
    <row r="24" spans="1:6" x14ac:dyDescent="0.3">
      <c r="A24" t="s">
        <v>1056</v>
      </c>
      <c r="B24" t="s">
        <v>1027</v>
      </c>
      <c r="C24" t="s">
        <v>1057</v>
      </c>
      <c r="D24" t="s">
        <v>19</v>
      </c>
      <c r="E24" t="s">
        <v>1058</v>
      </c>
      <c r="F24" t="s">
        <v>1027</v>
      </c>
    </row>
    <row r="25" spans="1:6" x14ac:dyDescent="0.3">
      <c r="A25" t="s">
        <v>906</v>
      </c>
      <c r="B25" t="s">
        <v>1027</v>
      </c>
      <c r="C25" s="28" t="s">
        <v>1025</v>
      </c>
      <c r="D25" t="s">
        <v>23</v>
      </c>
      <c r="E25" t="s">
        <v>1058</v>
      </c>
      <c r="F25" t="s">
        <v>1027</v>
      </c>
    </row>
    <row r="26" spans="1:6" x14ac:dyDescent="0.3">
      <c r="A26" t="s">
        <v>1059</v>
      </c>
      <c r="B26" t="s">
        <v>1024</v>
      </c>
      <c r="C26" t="s">
        <v>1060</v>
      </c>
      <c r="D26" t="s">
        <v>1061</v>
      </c>
      <c r="E26" t="s">
        <v>1041</v>
      </c>
      <c r="F26" t="s">
        <v>1330</v>
      </c>
    </row>
    <row r="27" spans="1:6" x14ac:dyDescent="0.3">
      <c r="A27" t="s">
        <v>1062</v>
      </c>
      <c r="B27" t="s">
        <v>1024</v>
      </c>
      <c r="C27" t="s">
        <v>1060</v>
      </c>
      <c r="D27" t="s">
        <v>1061</v>
      </c>
      <c r="E27" t="s">
        <v>1041</v>
      </c>
      <c r="F27" t="s">
        <v>1330</v>
      </c>
    </row>
    <row r="28" spans="1:6" x14ac:dyDescent="0.3">
      <c r="A28" t="s">
        <v>1063</v>
      </c>
      <c r="B28" t="s">
        <v>1024</v>
      </c>
      <c r="C28" t="s">
        <v>1060</v>
      </c>
      <c r="D28" t="s">
        <v>1061</v>
      </c>
      <c r="E28" t="s">
        <v>1041</v>
      </c>
      <c r="F28" t="s">
        <v>1330</v>
      </c>
    </row>
    <row r="29" spans="1:6" x14ac:dyDescent="0.3">
      <c r="A29" t="s">
        <v>1064</v>
      </c>
      <c r="B29" t="s">
        <v>1024</v>
      </c>
      <c r="C29" t="s">
        <v>1060</v>
      </c>
      <c r="D29" t="s">
        <v>1061</v>
      </c>
      <c r="E29" t="s">
        <v>1041</v>
      </c>
      <c r="F29" t="s">
        <v>1330</v>
      </c>
    </row>
    <row r="30" spans="1:6" x14ac:dyDescent="0.3">
      <c r="A30" t="s">
        <v>989</v>
      </c>
      <c r="B30" t="s">
        <v>1024</v>
      </c>
      <c r="C30" t="s">
        <v>1046</v>
      </c>
      <c r="D30" t="s">
        <v>9</v>
      </c>
      <c r="E30" t="s">
        <v>1026</v>
      </c>
      <c r="F30" t="s">
        <v>1024</v>
      </c>
    </row>
    <row r="31" spans="1:6" x14ac:dyDescent="0.3">
      <c r="A31" t="s">
        <v>1065</v>
      </c>
      <c r="B31" t="s">
        <v>1024</v>
      </c>
      <c r="C31" t="s">
        <v>1025</v>
      </c>
      <c r="D31" t="s">
        <v>23</v>
      </c>
      <c r="E31" t="s">
        <v>1026</v>
      </c>
      <c r="F31" t="s">
        <v>1024</v>
      </c>
    </row>
    <row r="32" spans="1:6" x14ac:dyDescent="0.3">
      <c r="A32" t="s">
        <v>938</v>
      </c>
      <c r="B32" t="s">
        <v>1027</v>
      </c>
      <c r="C32" t="s">
        <v>1046</v>
      </c>
      <c r="D32" t="s">
        <v>9</v>
      </c>
      <c r="E32" t="s">
        <v>47</v>
      </c>
      <c r="F32" t="s">
        <v>1027</v>
      </c>
    </row>
    <row r="33" spans="1:6" x14ac:dyDescent="0.3">
      <c r="A33" t="s">
        <v>916</v>
      </c>
      <c r="B33" t="s">
        <v>1024</v>
      </c>
      <c r="C33" t="s">
        <v>1046</v>
      </c>
      <c r="D33" t="s">
        <v>9</v>
      </c>
      <c r="E33" t="s">
        <v>39</v>
      </c>
      <c r="F33" t="s">
        <v>1024</v>
      </c>
    </row>
    <row r="34" spans="1:6" x14ac:dyDescent="0.3">
      <c r="A34" t="s">
        <v>1066</v>
      </c>
      <c r="B34" t="s">
        <v>1024</v>
      </c>
      <c r="C34" t="s">
        <v>1046</v>
      </c>
      <c r="D34" t="s">
        <v>9</v>
      </c>
      <c r="E34" t="s">
        <v>1026</v>
      </c>
      <c r="F34" t="s">
        <v>1024</v>
      </c>
    </row>
    <row r="35" spans="1:6" x14ac:dyDescent="0.3">
      <c r="A35" t="s">
        <v>958</v>
      </c>
      <c r="B35" t="s">
        <v>1024</v>
      </c>
      <c r="C35" t="s">
        <v>1046</v>
      </c>
      <c r="D35" t="s">
        <v>9</v>
      </c>
      <c r="E35" t="s">
        <v>43</v>
      </c>
      <c r="F35" t="s">
        <v>1024</v>
      </c>
    </row>
    <row r="36" spans="1:6" x14ac:dyDescent="0.3">
      <c r="A36" t="s">
        <v>1067</v>
      </c>
      <c r="B36" t="s">
        <v>1027</v>
      </c>
      <c r="C36" t="s">
        <v>1046</v>
      </c>
      <c r="D36" t="s">
        <v>9</v>
      </c>
      <c r="E36" t="s">
        <v>44</v>
      </c>
      <c r="F36" t="s">
        <v>1027</v>
      </c>
    </row>
    <row r="37" spans="1:6" x14ac:dyDescent="0.3">
      <c r="A37" t="s">
        <v>979</v>
      </c>
      <c r="B37" t="s">
        <v>1024</v>
      </c>
      <c r="C37" t="s">
        <v>1046</v>
      </c>
      <c r="D37" t="s">
        <v>9</v>
      </c>
      <c r="E37" t="s">
        <v>1026</v>
      </c>
      <c r="F37" t="s">
        <v>1024</v>
      </c>
    </row>
    <row r="38" spans="1:6" x14ac:dyDescent="0.3">
      <c r="A38" t="s">
        <v>899</v>
      </c>
      <c r="B38" t="s">
        <v>1024</v>
      </c>
      <c r="C38" t="s">
        <v>1046</v>
      </c>
      <c r="D38" t="s">
        <v>9</v>
      </c>
      <c r="E38" t="s">
        <v>38</v>
      </c>
      <c r="F38" t="s">
        <v>1024</v>
      </c>
    </row>
    <row r="39" spans="1:6" x14ac:dyDescent="0.3">
      <c r="A39" t="s">
        <v>1068</v>
      </c>
      <c r="B39" t="s">
        <v>1027</v>
      </c>
      <c r="C39" s="28" t="s">
        <v>1025</v>
      </c>
      <c r="D39" t="s">
        <v>23</v>
      </c>
      <c r="E39" t="s">
        <v>47</v>
      </c>
      <c r="F39" t="s">
        <v>1027</v>
      </c>
    </row>
    <row r="40" spans="1:6" x14ac:dyDescent="0.3">
      <c r="A40" t="s">
        <v>1069</v>
      </c>
      <c r="B40" t="s">
        <v>1027</v>
      </c>
      <c r="C40" t="s">
        <v>1046</v>
      </c>
      <c r="D40" t="s">
        <v>9</v>
      </c>
      <c r="E40" t="s">
        <v>1070</v>
      </c>
      <c r="F40" t="s">
        <v>1027</v>
      </c>
    </row>
    <row r="41" spans="1:6" x14ac:dyDescent="0.3">
      <c r="A41" t="s">
        <v>1071</v>
      </c>
      <c r="B41" t="s">
        <v>1027</v>
      </c>
      <c r="C41" t="s">
        <v>1025</v>
      </c>
      <c r="D41" t="s">
        <v>23</v>
      </c>
      <c r="E41" t="s">
        <v>1070</v>
      </c>
      <c r="F41" t="s">
        <v>1027</v>
      </c>
    </row>
    <row r="42" spans="1:6" x14ac:dyDescent="0.3">
      <c r="A42" t="s">
        <v>1072</v>
      </c>
      <c r="B42" t="s">
        <v>1027</v>
      </c>
      <c r="C42" t="s">
        <v>1025</v>
      </c>
      <c r="D42" t="s">
        <v>23</v>
      </c>
      <c r="E42" t="s">
        <v>1070</v>
      </c>
      <c r="F42" t="s">
        <v>1027</v>
      </c>
    </row>
    <row r="43" spans="1:6" x14ac:dyDescent="0.3">
      <c r="A43" t="s">
        <v>1073</v>
      </c>
      <c r="B43" t="s">
        <v>1027</v>
      </c>
      <c r="C43" t="s">
        <v>1046</v>
      </c>
      <c r="D43" t="s">
        <v>9</v>
      </c>
      <c r="E43" t="s">
        <v>1074</v>
      </c>
      <c r="F43" t="s">
        <v>1027</v>
      </c>
    </row>
    <row r="44" spans="1:6" x14ac:dyDescent="0.3">
      <c r="A44" t="s">
        <v>1075</v>
      </c>
      <c r="B44" t="s">
        <v>1027</v>
      </c>
      <c r="C44" t="s">
        <v>1046</v>
      </c>
      <c r="D44" t="s">
        <v>9</v>
      </c>
      <c r="E44" t="s">
        <v>1076</v>
      </c>
      <c r="F44" t="s">
        <v>1027</v>
      </c>
    </row>
    <row r="45" spans="1:6" x14ac:dyDescent="0.3">
      <c r="A45" t="s">
        <v>1077</v>
      </c>
      <c r="B45" t="s">
        <v>1027</v>
      </c>
      <c r="C45" t="s">
        <v>1078</v>
      </c>
      <c r="D45" t="s">
        <v>1079</v>
      </c>
      <c r="E45" t="s">
        <v>1080</v>
      </c>
      <c r="F45" t="s">
        <v>1027</v>
      </c>
    </row>
    <row r="46" spans="1:6" x14ac:dyDescent="0.3">
      <c r="A46" t="s">
        <v>984</v>
      </c>
      <c r="B46" t="s">
        <v>1027</v>
      </c>
      <c r="C46" t="s">
        <v>1057</v>
      </c>
      <c r="D46" t="s">
        <v>19</v>
      </c>
      <c r="E46" t="s">
        <v>1051</v>
      </c>
      <c r="F46" t="s">
        <v>1027</v>
      </c>
    </row>
    <row r="47" spans="1:6" x14ac:dyDescent="0.3">
      <c r="A47" t="s">
        <v>1081</v>
      </c>
      <c r="B47" t="s">
        <v>1027</v>
      </c>
      <c r="C47" t="s">
        <v>1025</v>
      </c>
      <c r="D47" t="s">
        <v>23</v>
      </c>
      <c r="E47" t="s">
        <v>1051</v>
      </c>
      <c r="F47" t="s">
        <v>1027</v>
      </c>
    </row>
    <row r="48" spans="1:6" x14ac:dyDescent="0.3">
      <c r="A48" t="s">
        <v>909</v>
      </c>
      <c r="B48" t="s">
        <v>1027</v>
      </c>
      <c r="C48" t="s">
        <v>1025</v>
      </c>
      <c r="D48" t="s">
        <v>23</v>
      </c>
      <c r="E48" t="s">
        <v>1074</v>
      </c>
      <c r="F48" t="s">
        <v>1027</v>
      </c>
    </row>
    <row r="49" spans="1:6" x14ac:dyDescent="0.3">
      <c r="A49" t="s">
        <v>910</v>
      </c>
      <c r="B49" t="s">
        <v>1024</v>
      </c>
      <c r="C49" t="s">
        <v>1046</v>
      </c>
      <c r="D49" t="s">
        <v>9</v>
      </c>
      <c r="E49" t="s">
        <v>39</v>
      </c>
      <c r="F49" t="s">
        <v>1024</v>
      </c>
    </row>
    <row r="50" spans="1:6" x14ac:dyDescent="0.3">
      <c r="A50" t="s">
        <v>1082</v>
      </c>
      <c r="B50" t="s">
        <v>1027</v>
      </c>
      <c r="C50" t="s">
        <v>1057</v>
      </c>
      <c r="D50" t="s">
        <v>19</v>
      </c>
      <c r="E50" t="s">
        <v>1037</v>
      </c>
      <c r="F50" t="s">
        <v>1027</v>
      </c>
    </row>
    <row r="51" spans="1:6" x14ac:dyDescent="0.3">
      <c r="A51" t="s">
        <v>1083</v>
      </c>
      <c r="B51" t="s">
        <v>1027</v>
      </c>
      <c r="C51" t="s">
        <v>1025</v>
      </c>
      <c r="D51" t="s">
        <v>23</v>
      </c>
      <c r="E51" t="s">
        <v>1070</v>
      </c>
      <c r="F51" t="s">
        <v>1027</v>
      </c>
    </row>
    <row r="52" spans="1:6" x14ac:dyDescent="0.3">
      <c r="A52" t="s">
        <v>955</v>
      </c>
      <c r="B52" t="s">
        <v>1027</v>
      </c>
      <c r="C52" t="s">
        <v>1025</v>
      </c>
      <c r="D52" t="s">
        <v>23</v>
      </c>
      <c r="E52" t="s">
        <v>45</v>
      </c>
      <c r="F52" t="s">
        <v>1027</v>
      </c>
    </row>
    <row r="53" spans="1:6" x14ac:dyDescent="0.3">
      <c r="A53" t="s">
        <v>997</v>
      </c>
      <c r="B53" t="s">
        <v>1027</v>
      </c>
      <c r="C53" t="s">
        <v>1025</v>
      </c>
      <c r="D53" t="s">
        <v>23</v>
      </c>
      <c r="E53" t="s">
        <v>45</v>
      </c>
      <c r="F53" t="s">
        <v>1027</v>
      </c>
    </row>
    <row r="54" spans="1:6" x14ac:dyDescent="0.3">
      <c r="A54" t="s">
        <v>1084</v>
      </c>
      <c r="B54" t="s">
        <v>1024</v>
      </c>
      <c r="C54" t="s">
        <v>1046</v>
      </c>
      <c r="D54" t="s">
        <v>9</v>
      </c>
      <c r="E54" t="s">
        <v>1026</v>
      </c>
      <c r="F54" t="s">
        <v>1024</v>
      </c>
    </row>
    <row r="55" spans="1:6" x14ac:dyDescent="0.3">
      <c r="A55" t="s">
        <v>903</v>
      </c>
      <c r="B55" t="s">
        <v>1024</v>
      </c>
      <c r="C55" t="s">
        <v>1085</v>
      </c>
      <c r="D55" t="s">
        <v>19</v>
      </c>
      <c r="E55" t="s">
        <v>22</v>
      </c>
      <c r="F55" t="s">
        <v>1024</v>
      </c>
    </row>
    <row r="56" spans="1:6" x14ac:dyDescent="0.3">
      <c r="A56" t="s">
        <v>905</v>
      </c>
      <c r="B56" t="s">
        <v>1027</v>
      </c>
      <c r="C56" t="s">
        <v>1046</v>
      </c>
      <c r="D56" t="s">
        <v>9</v>
      </c>
      <c r="E56" t="s">
        <v>1086</v>
      </c>
      <c r="F56" t="s">
        <v>1027</v>
      </c>
    </row>
    <row r="57" spans="1:6" x14ac:dyDescent="0.3">
      <c r="A57" t="s">
        <v>924</v>
      </c>
      <c r="B57" t="s">
        <v>1027</v>
      </c>
      <c r="C57" t="s">
        <v>1078</v>
      </c>
      <c r="D57" t="s">
        <v>1079</v>
      </c>
      <c r="E57" t="s">
        <v>1087</v>
      </c>
      <c r="F57" t="s">
        <v>1027</v>
      </c>
    </row>
    <row r="58" spans="1:6" x14ac:dyDescent="0.3">
      <c r="A58" t="s">
        <v>1088</v>
      </c>
      <c r="B58" t="s">
        <v>1027</v>
      </c>
      <c r="C58" s="28" t="s">
        <v>1089</v>
      </c>
      <c r="D58" t="s">
        <v>1090</v>
      </c>
      <c r="E58" t="s">
        <v>1091</v>
      </c>
      <c r="F58" t="s">
        <v>1027</v>
      </c>
    </row>
    <row r="59" spans="1:6" x14ac:dyDescent="0.3">
      <c r="A59" t="s">
        <v>1017</v>
      </c>
      <c r="B59" t="s">
        <v>1027</v>
      </c>
      <c r="C59" s="28" t="s">
        <v>1078</v>
      </c>
      <c r="D59" t="s">
        <v>1079</v>
      </c>
      <c r="E59" t="s">
        <v>1041</v>
      </c>
      <c r="F59" t="s">
        <v>1330</v>
      </c>
    </row>
    <row r="60" spans="1:6" x14ac:dyDescent="0.3">
      <c r="A60" t="s">
        <v>936</v>
      </c>
      <c r="B60" t="s">
        <v>1027</v>
      </c>
      <c r="C60" s="28" t="s">
        <v>1078</v>
      </c>
      <c r="D60" t="s">
        <v>1079</v>
      </c>
      <c r="E60" t="s">
        <v>1092</v>
      </c>
      <c r="F60" t="s">
        <v>1027</v>
      </c>
    </row>
    <row r="61" spans="1:6" x14ac:dyDescent="0.3">
      <c r="A61" t="s">
        <v>950</v>
      </c>
      <c r="B61" t="s">
        <v>1024</v>
      </c>
      <c r="C61" s="28" t="s">
        <v>1046</v>
      </c>
      <c r="D61" t="s">
        <v>9</v>
      </c>
      <c r="E61" t="s">
        <v>39</v>
      </c>
      <c r="F61" t="s">
        <v>1024</v>
      </c>
    </row>
    <row r="62" spans="1:6" x14ac:dyDescent="0.3">
      <c r="A62" t="s">
        <v>1093</v>
      </c>
      <c r="B62" t="s">
        <v>1027</v>
      </c>
      <c r="C62" s="28" t="s">
        <v>1039</v>
      </c>
      <c r="D62" t="s">
        <v>1031</v>
      </c>
      <c r="E62" t="s">
        <v>1037</v>
      </c>
      <c r="F62" t="s">
        <v>1027</v>
      </c>
    </row>
    <row r="63" spans="1:6" x14ac:dyDescent="0.3">
      <c r="A63" t="s">
        <v>1094</v>
      </c>
      <c r="B63" t="s">
        <v>1027</v>
      </c>
      <c r="C63" s="28" t="s">
        <v>1095</v>
      </c>
      <c r="D63" t="s">
        <v>1096</v>
      </c>
      <c r="E63" t="s">
        <v>1097</v>
      </c>
      <c r="F63" t="s">
        <v>1027</v>
      </c>
    </row>
    <row r="64" spans="1:6" x14ac:dyDescent="0.3">
      <c r="A64" t="s">
        <v>1098</v>
      </c>
      <c r="B64" t="s">
        <v>1024</v>
      </c>
      <c r="C64" s="28" t="s">
        <v>1025</v>
      </c>
      <c r="D64" t="s">
        <v>23</v>
      </c>
      <c r="E64" t="s">
        <v>1026</v>
      </c>
      <c r="F64" t="s">
        <v>1024</v>
      </c>
    </row>
    <row r="65" spans="1:6" x14ac:dyDescent="0.3">
      <c r="A65" t="s">
        <v>1099</v>
      </c>
      <c r="B65" t="s">
        <v>1027</v>
      </c>
      <c r="C65" s="28" t="s">
        <v>1046</v>
      </c>
      <c r="D65" t="s">
        <v>9</v>
      </c>
      <c r="E65" t="s">
        <v>1086</v>
      </c>
      <c r="F65" t="s">
        <v>1027</v>
      </c>
    </row>
    <row r="66" spans="1:6" x14ac:dyDescent="0.3">
      <c r="A66" t="s">
        <v>1100</v>
      </c>
      <c r="B66" t="s">
        <v>1027</v>
      </c>
      <c r="C66" s="28" t="s">
        <v>1025</v>
      </c>
      <c r="D66" t="s">
        <v>23</v>
      </c>
      <c r="E66" t="s">
        <v>1051</v>
      </c>
      <c r="F66" t="s">
        <v>1027</v>
      </c>
    </row>
    <row r="67" spans="1:6" x14ac:dyDescent="0.3">
      <c r="A67" t="s">
        <v>1101</v>
      </c>
      <c r="B67" t="s">
        <v>1024</v>
      </c>
      <c r="C67" s="28" t="s">
        <v>1085</v>
      </c>
      <c r="D67" t="s">
        <v>19</v>
      </c>
      <c r="E67" t="s">
        <v>43</v>
      </c>
      <c r="F67" t="s">
        <v>1024</v>
      </c>
    </row>
    <row r="68" spans="1:6" x14ac:dyDescent="0.3">
      <c r="A68" t="s">
        <v>1102</v>
      </c>
      <c r="B68" t="s">
        <v>1024</v>
      </c>
      <c r="C68" s="28" t="s">
        <v>1025</v>
      </c>
      <c r="D68" t="s">
        <v>1103</v>
      </c>
      <c r="E68" t="s">
        <v>1104</v>
      </c>
      <c r="F68" t="s">
        <v>1024</v>
      </c>
    </row>
    <row r="69" spans="1:6" x14ac:dyDescent="0.3">
      <c r="A69" t="s">
        <v>1105</v>
      </c>
      <c r="B69" t="s">
        <v>1027</v>
      </c>
      <c r="C69" s="28" t="s">
        <v>1030</v>
      </c>
      <c r="D69" t="s">
        <v>1031</v>
      </c>
      <c r="E69" t="s">
        <v>42</v>
      </c>
      <c r="F69" t="s">
        <v>1027</v>
      </c>
    </row>
    <row r="70" spans="1:6" x14ac:dyDescent="0.3">
      <c r="A70" t="s">
        <v>1106</v>
      </c>
      <c r="B70" t="s">
        <v>1027</v>
      </c>
      <c r="C70" s="28" t="s">
        <v>1028</v>
      </c>
      <c r="D70" t="s">
        <v>1107</v>
      </c>
      <c r="E70" t="s">
        <v>44</v>
      </c>
      <c r="F70" t="s">
        <v>1027</v>
      </c>
    </row>
    <row r="71" spans="1:6" x14ac:dyDescent="0.3">
      <c r="A71" t="s">
        <v>1108</v>
      </c>
      <c r="B71" t="s">
        <v>1027</v>
      </c>
      <c r="C71" s="28" t="s">
        <v>1109</v>
      </c>
      <c r="D71" t="s">
        <v>1029</v>
      </c>
      <c r="E71" t="s">
        <v>1110</v>
      </c>
      <c r="F71" t="s">
        <v>1027</v>
      </c>
    </row>
    <row r="72" spans="1:6" x14ac:dyDescent="0.3">
      <c r="A72" t="s">
        <v>1111</v>
      </c>
      <c r="B72" t="s">
        <v>1027</v>
      </c>
      <c r="C72" s="28" t="s">
        <v>1025</v>
      </c>
      <c r="D72" t="s">
        <v>23</v>
      </c>
      <c r="E72" t="s">
        <v>1112</v>
      </c>
      <c r="F72" t="s">
        <v>1027</v>
      </c>
    </row>
    <row r="73" spans="1:6" x14ac:dyDescent="0.3">
      <c r="A73" t="s">
        <v>1113</v>
      </c>
      <c r="B73" t="s">
        <v>1027</v>
      </c>
      <c r="C73" s="28" t="s">
        <v>1114</v>
      </c>
      <c r="D73" t="s">
        <v>1096</v>
      </c>
      <c r="E73" t="s">
        <v>1097</v>
      </c>
      <c r="F73" t="s">
        <v>1027</v>
      </c>
    </row>
    <row r="74" spans="1:6" x14ac:dyDescent="0.3">
      <c r="A74" t="s">
        <v>1115</v>
      </c>
      <c r="B74" t="s">
        <v>1024</v>
      </c>
      <c r="C74" s="28" t="s">
        <v>1025</v>
      </c>
      <c r="D74" t="s">
        <v>23</v>
      </c>
      <c r="E74" t="s">
        <v>1041</v>
      </c>
      <c r="F74" t="s">
        <v>1330</v>
      </c>
    </row>
    <row r="75" spans="1:6" x14ac:dyDescent="0.3">
      <c r="A75" t="s">
        <v>1116</v>
      </c>
      <c r="B75" t="s">
        <v>1024</v>
      </c>
      <c r="C75" t="s">
        <v>1060</v>
      </c>
      <c r="D75" t="s">
        <v>1061</v>
      </c>
      <c r="E75" t="s">
        <v>1041</v>
      </c>
      <c r="F75" t="s">
        <v>1330</v>
      </c>
    </row>
    <row r="76" spans="1:6" x14ac:dyDescent="0.3">
      <c r="A76" t="s">
        <v>953</v>
      </c>
      <c r="B76" t="s">
        <v>1027</v>
      </c>
      <c r="C76" s="28" t="s">
        <v>1030</v>
      </c>
      <c r="D76" t="s">
        <v>1031</v>
      </c>
      <c r="E76" t="s">
        <v>42</v>
      </c>
      <c r="F76" t="s">
        <v>1027</v>
      </c>
    </row>
    <row r="77" spans="1:6" x14ac:dyDescent="0.3">
      <c r="A77" t="s">
        <v>1117</v>
      </c>
      <c r="B77" t="s">
        <v>1027</v>
      </c>
      <c r="C77" s="28" t="s">
        <v>1025</v>
      </c>
      <c r="D77" t="s">
        <v>23</v>
      </c>
      <c r="E77" t="s">
        <v>1051</v>
      </c>
      <c r="F77" t="s">
        <v>1027</v>
      </c>
    </row>
    <row r="78" spans="1:6" x14ac:dyDescent="0.3">
      <c r="A78" t="s">
        <v>1118</v>
      </c>
      <c r="B78" t="s">
        <v>1027</v>
      </c>
      <c r="C78" s="28" t="s">
        <v>1025</v>
      </c>
      <c r="D78" t="s">
        <v>23</v>
      </c>
      <c r="E78" t="s">
        <v>1051</v>
      </c>
      <c r="F78" t="s">
        <v>1027</v>
      </c>
    </row>
    <row r="79" spans="1:6" x14ac:dyDescent="0.3">
      <c r="A79" t="s">
        <v>1119</v>
      </c>
      <c r="B79" t="s">
        <v>1024</v>
      </c>
      <c r="C79" s="28" t="s">
        <v>1025</v>
      </c>
      <c r="D79" t="s">
        <v>23</v>
      </c>
      <c r="E79" t="s">
        <v>18</v>
      </c>
      <c r="F79" t="s">
        <v>1024</v>
      </c>
    </row>
    <row r="80" spans="1:6" x14ac:dyDescent="0.3">
      <c r="A80" t="s">
        <v>1120</v>
      </c>
      <c r="B80" t="s">
        <v>1024</v>
      </c>
      <c r="C80" s="28" t="s">
        <v>1025</v>
      </c>
      <c r="D80" t="s">
        <v>23</v>
      </c>
      <c r="E80" t="s">
        <v>1041</v>
      </c>
      <c r="F80" t="s">
        <v>1330</v>
      </c>
    </row>
    <row r="81" spans="1:6" x14ac:dyDescent="0.3">
      <c r="A81" t="s">
        <v>1121</v>
      </c>
      <c r="B81" t="s">
        <v>1027</v>
      </c>
      <c r="C81" s="28" t="s">
        <v>1085</v>
      </c>
      <c r="D81" t="s">
        <v>1122</v>
      </c>
      <c r="E81" t="s">
        <v>1037</v>
      </c>
      <c r="F81" t="s">
        <v>1027</v>
      </c>
    </row>
    <row r="82" spans="1:6" x14ac:dyDescent="0.3">
      <c r="A82" t="s">
        <v>986</v>
      </c>
      <c r="B82" t="s">
        <v>1027</v>
      </c>
      <c r="C82" s="28" t="s">
        <v>1030</v>
      </c>
      <c r="D82" t="s">
        <v>1031</v>
      </c>
      <c r="E82" t="s">
        <v>1037</v>
      </c>
      <c r="F82" t="s">
        <v>1027</v>
      </c>
    </row>
    <row r="83" spans="1:6" x14ac:dyDescent="0.3">
      <c r="A83" t="s">
        <v>988</v>
      </c>
      <c r="B83" t="s">
        <v>1027</v>
      </c>
      <c r="C83" s="28" t="s">
        <v>1057</v>
      </c>
      <c r="D83" t="s">
        <v>19</v>
      </c>
      <c r="E83" t="s">
        <v>44</v>
      </c>
      <c r="F83" t="s">
        <v>1027</v>
      </c>
    </row>
    <row r="84" spans="1:6" x14ac:dyDescent="0.3">
      <c r="A84" t="s">
        <v>925</v>
      </c>
      <c r="B84" t="s">
        <v>1024</v>
      </c>
      <c r="C84" s="28" t="s">
        <v>1028</v>
      </c>
      <c r="D84" t="s">
        <v>1029</v>
      </c>
      <c r="E84" t="s">
        <v>39</v>
      </c>
      <c r="F84" t="s">
        <v>1024</v>
      </c>
    </row>
    <row r="85" spans="1:6" x14ac:dyDescent="0.3">
      <c r="A85" t="s">
        <v>923</v>
      </c>
      <c r="B85" t="s">
        <v>1027</v>
      </c>
      <c r="C85" s="28" t="s">
        <v>1123</v>
      </c>
      <c r="D85" t="s">
        <v>1122</v>
      </c>
      <c r="E85" t="s">
        <v>47</v>
      </c>
      <c r="F85" t="s">
        <v>1027</v>
      </c>
    </row>
    <row r="86" spans="1:6" x14ac:dyDescent="0.3">
      <c r="A86" t="s">
        <v>1124</v>
      </c>
      <c r="B86" t="s">
        <v>1027</v>
      </c>
      <c r="C86" s="28" t="s">
        <v>1125</v>
      </c>
      <c r="D86" t="s">
        <v>1126</v>
      </c>
      <c r="E86" t="s">
        <v>1070</v>
      </c>
      <c r="F86" t="s">
        <v>1027</v>
      </c>
    </row>
    <row r="87" spans="1:6" x14ac:dyDescent="0.3">
      <c r="A87" t="s">
        <v>1127</v>
      </c>
      <c r="B87" t="s">
        <v>1024</v>
      </c>
      <c r="C87" s="28" t="s">
        <v>1046</v>
      </c>
      <c r="D87" t="s">
        <v>9</v>
      </c>
      <c r="E87" t="s">
        <v>1041</v>
      </c>
      <c r="F87" t="s">
        <v>1330</v>
      </c>
    </row>
    <row r="88" spans="1:6" x14ac:dyDescent="0.3">
      <c r="A88" t="s">
        <v>1128</v>
      </c>
      <c r="B88" t="s">
        <v>1027</v>
      </c>
      <c r="C88" s="28" t="s">
        <v>1129</v>
      </c>
      <c r="D88" t="s">
        <v>1122</v>
      </c>
      <c r="E88" t="s">
        <v>47</v>
      </c>
      <c r="F88" t="s">
        <v>1027</v>
      </c>
    </row>
    <row r="89" spans="1:6" x14ac:dyDescent="0.3">
      <c r="A89" t="s">
        <v>943</v>
      </c>
      <c r="B89" t="s">
        <v>1027</v>
      </c>
      <c r="C89" s="28" t="s">
        <v>1057</v>
      </c>
      <c r="D89" t="s">
        <v>1031</v>
      </c>
      <c r="E89" t="s">
        <v>1047</v>
      </c>
      <c r="F89" t="s">
        <v>1027</v>
      </c>
    </row>
    <row r="90" spans="1:6" x14ac:dyDescent="0.3">
      <c r="A90" t="s">
        <v>908</v>
      </c>
      <c r="B90" t="s">
        <v>1024</v>
      </c>
      <c r="C90" s="28" t="s">
        <v>1030</v>
      </c>
      <c r="D90" t="s">
        <v>1031</v>
      </c>
      <c r="E90" t="s">
        <v>39</v>
      </c>
      <c r="F90" t="s">
        <v>1024</v>
      </c>
    </row>
    <row r="91" spans="1:6" x14ac:dyDescent="0.3">
      <c r="A91" t="s">
        <v>896</v>
      </c>
      <c r="B91" t="s">
        <v>1024</v>
      </c>
      <c r="C91" s="28" t="s">
        <v>1025</v>
      </c>
      <c r="D91" t="s">
        <v>23</v>
      </c>
      <c r="E91" t="s">
        <v>18</v>
      </c>
      <c r="F91" t="s">
        <v>1024</v>
      </c>
    </row>
    <row r="92" spans="1:6" x14ac:dyDescent="0.3">
      <c r="A92" t="s">
        <v>1130</v>
      </c>
      <c r="B92" t="s">
        <v>1027</v>
      </c>
      <c r="C92" s="28" t="s">
        <v>1095</v>
      </c>
      <c r="D92" t="s">
        <v>1096</v>
      </c>
      <c r="E92" t="s">
        <v>1097</v>
      </c>
      <c r="F92" t="s">
        <v>1027</v>
      </c>
    </row>
    <row r="93" spans="1:6" x14ac:dyDescent="0.3">
      <c r="A93" t="s">
        <v>1131</v>
      </c>
      <c r="B93" t="s">
        <v>1024</v>
      </c>
      <c r="C93" s="28" t="s">
        <v>1046</v>
      </c>
      <c r="D93" t="s">
        <v>9</v>
      </c>
      <c r="E93" t="s">
        <v>1041</v>
      </c>
      <c r="F93" t="s">
        <v>1330</v>
      </c>
    </row>
    <row r="94" spans="1:6" x14ac:dyDescent="0.3">
      <c r="A94" t="s">
        <v>907</v>
      </c>
      <c r="B94" t="s">
        <v>1027</v>
      </c>
      <c r="C94" s="28" t="s">
        <v>1025</v>
      </c>
      <c r="D94" t="s">
        <v>23</v>
      </c>
      <c r="E94" t="s">
        <v>45</v>
      </c>
      <c r="F94" t="s">
        <v>1027</v>
      </c>
    </row>
    <row r="95" spans="1:6" x14ac:dyDescent="0.3">
      <c r="A95" t="s">
        <v>1132</v>
      </c>
      <c r="B95" t="s">
        <v>1027</v>
      </c>
      <c r="C95" s="28" t="s">
        <v>1025</v>
      </c>
      <c r="D95" t="s">
        <v>23</v>
      </c>
      <c r="E95" t="s">
        <v>42</v>
      </c>
      <c r="F95" t="s">
        <v>1027</v>
      </c>
    </row>
    <row r="96" spans="1:6" x14ac:dyDescent="0.3">
      <c r="A96" t="s">
        <v>1008</v>
      </c>
      <c r="B96" t="s">
        <v>1024</v>
      </c>
      <c r="C96" s="29" t="s">
        <v>1046</v>
      </c>
      <c r="D96" t="s">
        <v>9</v>
      </c>
      <c r="E96" t="s">
        <v>39</v>
      </c>
      <c r="F96" t="s">
        <v>1024</v>
      </c>
    </row>
    <row r="97" spans="1:6" x14ac:dyDescent="0.3">
      <c r="A97" t="s">
        <v>1133</v>
      </c>
      <c r="B97" t="s">
        <v>1027</v>
      </c>
      <c r="C97" s="29" t="s">
        <v>1030</v>
      </c>
      <c r="D97" t="s">
        <v>1031</v>
      </c>
      <c r="E97" t="s">
        <v>42</v>
      </c>
      <c r="F97" t="s">
        <v>1027</v>
      </c>
    </row>
    <row r="98" spans="1:6" x14ac:dyDescent="0.3">
      <c r="A98" t="s">
        <v>1134</v>
      </c>
      <c r="B98" t="s">
        <v>1027</v>
      </c>
      <c r="C98" s="29" t="s">
        <v>1036</v>
      </c>
      <c r="D98" t="s">
        <v>1049</v>
      </c>
      <c r="E98" t="s">
        <v>1037</v>
      </c>
      <c r="F98" t="s">
        <v>1027</v>
      </c>
    </row>
    <row r="99" spans="1:6" x14ac:dyDescent="0.3">
      <c r="A99" t="s">
        <v>900</v>
      </c>
      <c r="B99" t="s">
        <v>1027</v>
      </c>
      <c r="C99" s="29" t="s">
        <v>1078</v>
      </c>
      <c r="D99" t="s">
        <v>1079</v>
      </c>
      <c r="E99" t="s">
        <v>1135</v>
      </c>
      <c r="F99" t="s">
        <v>1027</v>
      </c>
    </row>
    <row r="100" spans="1:6" x14ac:dyDescent="0.3">
      <c r="A100" t="s">
        <v>982</v>
      </c>
      <c r="B100" t="s">
        <v>1027</v>
      </c>
      <c r="C100" s="29" t="s">
        <v>1025</v>
      </c>
      <c r="D100" t="s">
        <v>23</v>
      </c>
      <c r="E100" t="s">
        <v>1051</v>
      </c>
      <c r="F100" t="s">
        <v>1027</v>
      </c>
    </row>
    <row r="101" spans="1:6" x14ac:dyDescent="0.3">
      <c r="A101" t="s">
        <v>1136</v>
      </c>
      <c r="B101" t="s">
        <v>1027</v>
      </c>
      <c r="C101" s="29" t="s">
        <v>1095</v>
      </c>
      <c r="D101" t="s">
        <v>1096</v>
      </c>
      <c r="E101" t="s">
        <v>1097</v>
      </c>
      <c r="F101" t="s">
        <v>1027</v>
      </c>
    </row>
    <row r="102" spans="1:6" x14ac:dyDescent="0.3">
      <c r="A102" t="s">
        <v>1137</v>
      </c>
      <c r="B102" t="s">
        <v>1027</v>
      </c>
      <c r="C102" s="28" t="s">
        <v>1078</v>
      </c>
      <c r="D102" t="s">
        <v>1079</v>
      </c>
      <c r="E102" t="s">
        <v>1135</v>
      </c>
      <c r="F102" t="s">
        <v>1027</v>
      </c>
    </row>
    <row r="103" spans="1:6" x14ac:dyDescent="0.3">
      <c r="A103" t="s">
        <v>1138</v>
      </c>
      <c r="B103" t="s">
        <v>1027</v>
      </c>
      <c r="C103" s="28" t="s">
        <v>1123</v>
      </c>
      <c r="D103" t="s">
        <v>1122</v>
      </c>
      <c r="E103" t="s">
        <v>47</v>
      </c>
      <c r="F103" t="s">
        <v>1027</v>
      </c>
    </row>
    <row r="104" spans="1:6" x14ac:dyDescent="0.3">
      <c r="A104" t="s">
        <v>937</v>
      </c>
      <c r="B104" t="s">
        <v>1024</v>
      </c>
      <c r="C104" s="28" t="s">
        <v>1046</v>
      </c>
      <c r="D104" t="s">
        <v>9</v>
      </c>
      <c r="E104" t="s">
        <v>38</v>
      </c>
      <c r="F104" t="s">
        <v>1024</v>
      </c>
    </row>
    <row r="105" spans="1:6" x14ac:dyDescent="0.3">
      <c r="A105" t="s">
        <v>1139</v>
      </c>
      <c r="B105" t="s">
        <v>1027</v>
      </c>
      <c r="C105" s="28" t="s">
        <v>1039</v>
      </c>
      <c r="D105" t="s">
        <v>1031</v>
      </c>
      <c r="E105" t="s">
        <v>42</v>
      </c>
      <c r="F105" t="s">
        <v>1027</v>
      </c>
    </row>
    <row r="106" spans="1:6" x14ac:dyDescent="0.3">
      <c r="A106" s="4" t="s">
        <v>1140</v>
      </c>
      <c r="B106" t="s">
        <v>1024</v>
      </c>
      <c r="C106" s="28" t="s">
        <v>1141</v>
      </c>
      <c r="D106" t="s">
        <v>1031</v>
      </c>
      <c r="E106" t="s">
        <v>39</v>
      </c>
      <c r="F106" t="s">
        <v>1024</v>
      </c>
    </row>
    <row r="107" spans="1:6" x14ac:dyDescent="0.3">
      <c r="A107" t="s">
        <v>1142</v>
      </c>
      <c r="B107" t="s">
        <v>1024</v>
      </c>
      <c r="C107" s="28" t="s">
        <v>1143</v>
      </c>
      <c r="D107" t="s">
        <v>1144</v>
      </c>
      <c r="E107" t="s">
        <v>1041</v>
      </c>
      <c r="F107" t="s">
        <v>1330</v>
      </c>
    </row>
    <row r="108" spans="1:6" x14ac:dyDescent="0.3">
      <c r="A108" t="s">
        <v>954</v>
      </c>
      <c r="B108" t="s">
        <v>1024</v>
      </c>
      <c r="C108" s="28" t="s">
        <v>1030</v>
      </c>
      <c r="D108" t="s">
        <v>1031</v>
      </c>
      <c r="E108" t="s">
        <v>39</v>
      </c>
      <c r="F108" t="s">
        <v>1024</v>
      </c>
    </row>
    <row r="109" spans="1:6" x14ac:dyDescent="0.3">
      <c r="A109" t="s">
        <v>1145</v>
      </c>
      <c r="B109" t="s">
        <v>1027</v>
      </c>
      <c r="C109" s="28" t="s">
        <v>1085</v>
      </c>
      <c r="D109" t="s">
        <v>19</v>
      </c>
      <c r="E109" t="s">
        <v>1037</v>
      </c>
      <c r="F109" t="s">
        <v>1027</v>
      </c>
    </row>
    <row r="110" spans="1:6" x14ac:dyDescent="0.3">
      <c r="A110" t="s">
        <v>1146</v>
      </c>
      <c r="B110" t="s">
        <v>1027</v>
      </c>
      <c r="C110" s="28" t="s">
        <v>1039</v>
      </c>
      <c r="D110" t="s">
        <v>1031</v>
      </c>
      <c r="E110" t="s">
        <v>1047</v>
      </c>
      <c r="F110" t="s">
        <v>1027</v>
      </c>
    </row>
    <row r="111" spans="1:6" x14ac:dyDescent="0.3">
      <c r="A111" t="s">
        <v>1147</v>
      </c>
      <c r="B111" t="s">
        <v>1027</v>
      </c>
      <c r="C111" s="28" t="s">
        <v>1030</v>
      </c>
      <c r="D111" t="s">
        <v>1031</v>
      </c>
      <c r="E111" t="s">
        <v>1051</v>
      </c>
      <c r="F111" t="s">
        <v>1027</v>
      </c>
    </row>
    <row r="112" spans="1:6" x14ac:dyDescent="0.3">
      <c r="A112" t="s">
        <v>1148</v>
      </c>
      <c r="B112" t="s">
        <v>1027</v>
      </c>
      <c r="C112" s="28" t="s">
        <v>1025</v>
      </c>
      <c r="D112" t="s">
        <v>23</v>
      </c>
      <c r="E112" t="s">
        <v>1074</v>
      </c>
      <c r="F112" t="s">
        <v>1027</v>
      </c>
    </row>
    <row r="113" spans="1:6" x14ac:dyDescent="0.3">
      <c r="A113" t="s">
        <v>1149</v>
      </c>
      <c r="B113" t="s">
        <v>1027</v>
      </c>
      <c r="C113" s="28" t="s">
        <v>1039</v>
      </c>
      <c r="D113" t="s">
        <v>1031</v>
      </c>
      <c r="E113" t="s">
        <v>1047</v>
      </c>
      <c r="F113" t="s">
        <v>1027</v>
      </c>
    </row>
    <row r="114" spans="1:6" x14ac:dyDescent="0.3">
      <c r="A114" t="s">
        <v>1150</v>
      </c>
      <c r="B114" t="s">
        <v>1024</v>
      </c>
      <c r="C114" s="28" t="s">
        <v>1046</v>
      </c>
      <c r="D114" t="s">
        <v>9</v>
      </c>
      <c r="E114" t="s">
        <v>43</v>
      </c>
      <c r="F114" t="s">
        <v>1024</v>
      </c>
    </row>
    <row r="115" spans="1:6" x14ac:dyDescent="0.3">
      <c r="A115" t="s">
        <v>915</v>
      </c>
      <c r="B115" t="s">
        <v>1024</v>
      </c>
      <c r="C115" s="28" t="s">
        <v>1085</v>
      </c>
      <c r="D115" t="s">
        <v>19</v>
      </c>
      <c r="E115" t="s">
        <v>39</v>
      </c>
      <c r="F115" t="s">
        <v>1024</v>
      </c>
    </row>
    <row r="116" spans="1:6" x14ac:dyDescent="0.3">
      <c r="A116" t="s">
        <v>931</v>
      </c>
      <c r="B116" t="s">
        <v>1027</v>
      </c>
      <c r="C116" s="28" t="s">
        <v>1039</v>
      </c>
      <c r="D116" t="s">
        <v>1031</v>
      </c>
      <c r="E116" t="s">
        <v>1047</v>
      </c>
      <c r="F116" t="s">
        <v>1027</v>
      </c>
    </row>
    <row r="117" spans="1:6" x14ac:dyDescent="0.3">
      <c r="A117" t="s">
        <v>1151</v>
      </c>
      <c r="B117" t="s">
        <v>1027</v>
      </c>
      <c r="C117" s="28" t="s">
        <v>1129</v>
      </c>
      <c r="D117" t="s">
        <v>1122</v>
      </c>
      <c r="E117" t="s">
        <v>47</v>
      </c>
      <c r="F117" t="s">
        <v>1027</v>
      </c>
    </row>
    <row r="118" spans="1:6" x14ac:dyDescent="0.3">
      <c r="A118" t="s">
        <v>1152</v>
      </c>
      <c r="B118" t="s">
        <v>1027</v>
      </c>
      <c r="C118" s="28" t="s">
        <v>1025</v>
      </c>
      <c r="D118" t="s">
        <v>23</v>
      </c>
      <c r="E118" t="s">
        <v>1153</v>
      </c>
      <c r="F118" t="s">
        <v>1027</v>
      </c>
    </row>
    <row r="119" spans="1:6" x14ac:dyDescent="0.3">
      <c r="A119" t="s">
        <v>1154</v>
      </c>
      <c r="B119" t="s">
        <v>1024</v>
      </c>
      <c r="C119" s="28" t="s">
        <v>1025</v>
      </c>
      <c r="D119" t="s">
        <v>23</v>
      </c>
      <c r="E119" t="s">
        <v>22</v>
      </c>
      <c r="F119" t="s">
        <v>1024</v>
      </c>
    </row>
    <row r="120" spans="1:6" x14ac:dyDescent="0.3">
      <c r="A120" t="s">
        <v>1155</v>
      </c>
      <c r="B120" t="s">
        <v>1024</v>
      </c>
      <c r="C120" s="28" t="s">
        <v>1025</v>
      </c>
      <c r="D120" t="s">
        <v>23</v>
      </c>
      <c r="E120" t="s">
        <v>39</v>
      </c>
      <c r="F120" t="s">
        <v>1024</v>
      </c>
    </row>
    <row r="121" spans="1:6" x14ac:dyDescent="0.3">
      <c r="A121" t="s">
        <v>971</v>
      </c>
      <c r="B121" t="s">
        <v>1024</v>
      </c>
      <c r="C121" s="28" t="s">
        <v>1025</v>
      </c>
      <c r="D121" t="s">
        <v>23</v>
      </c>
      <c r="E121" t="s">
        <v>39</v>
      </c>
      <c r="F121" t="s">
        <v>1024</v>
      </c>
    </row>
    <row r="122" spans="1:6" x14ac:dyDescent="0.3">
      <c r="A122" t="s">
        <v>1156</v>
      </c>
      <c r="B122" t="s">
        <v>1027</v>
      </c>
      <c r="C122" s="28" t="s">
        <v>1025</v>
      </c>
      <c r="D122" t="s">
        <v>23</v>
      </c>
      <c r="E122" t="s">
        <v>1070</v>
      </c>
      <c r="F122" t="s">
        <v>1027</v>
      </c>
    </row>
    <row r="123" spans="1:6" x14ac:dyDescent="0.3">
      <c r="A123" t="s">
        <v>957</v>
      </c>
      <c r="B123" t="s">
        <v>1024</v>
      </c>
      <c r="C123" s="28" t="s">
        <v>1025</v>
      </c>
      <c r="D123" t="s">
        <v>23</v>
      </c>
      <c r="E123" t="s">
        <v>43</v>
      </c>
      <c r="F123" t="s">
        <v>1024</v>
      </c>
    </row>
    <row r="124" spans="1:6" x14ac:dyDescent="0.3">
      <c r="A124" t="s">
        <v>1157</v>
      </c>
      <c r="B124" t="s">
        <v>1027</v>
      </c>
      <c r="C124" s="28" t="s">
        <v>1129</v>
      </c>
      <c r="D124" t="s">
        <v>1122</v>
      </c>
      <c r="E124" t="s">
        <v>47</v>
      </c>
      <c r="F124" t="s">
        <v>1027</v>
      </c>
    </row>
    <row r="125" spans="1:6" x14ac:dyDescent="0.3">
      <c r="A125" t="s">
        <v>1158</v>
      </c>
      <c r="B125" t="s">
        <v>1027</v>
      </c>
      <c r="C125" s="28" t="s">
        <v>1078</v>
      </c>
      <c r="D125" t="s">
        <v>1079</v>
      </c>
      <c r="E125" t="s">
        <v>1092</v>
      </c>
      <c r="F125" t="s">
        <v>1027</v>
      </c>
    </row>
    <row r="126" spans="1:6" x14ac:dyDescent="0.3">
      <c r="A126" t="s">
        <v>977</v>
      </c>
      <c r="B126" t="s">
        <v>1024</v>
      </c>
      <c r="C126" s="28" t="s">
        <v>1025</v>
      </c>
      <c r="D126" t="s">
        <v>23</v>
      </c>
      <c r="E126" t="s">
        <v>39</v>
      </c>
      <c r="F126" t="s">
        <v>1024</v>
      </c>
    </row>
    <row r="127" spans="1:6" x14ac:dyDescent="0.3">
      <c r="A127" t="s">
        <v>934</v>
      </c>
      <c r="B127" t="s">
        <v>1024</v>
      </c>
      <c r="C127" s="28" t="s">
        <v>1028</v>
      </c>
      <c r="D127" t="s">
        <v>1107</v>
      </c>
      <c r="E127" t="s">
        <v>39</v>
      </c>
      <c r="F127" t="s">
        <v>1024</v>
      </c>
    </row>
    <row r="128" spans="1:6" x14ac:dyDescent="0.3">
      <c r="A128" t="s">
        <v>1020</v>
      </c>
      <c r="B128" t="s">
        <v>1027</v>
      </c>
      <c r="C128" s="28" t="s">
        <v>1078</v>
      </c>
      <c r="D128" t="s">
        <v>1079</v>
      </c>
      <c r="E128" t="s">
        <v>1159</v>
      </c>
      <c r="F128" t="s">
        <v>1027</v>
      </c>
    </row>
    <row r="129" spans="1:6" x14ac:dyDescent="0.3">
      <c r="A129" t="s">
        <v>1160</v>
      </c>
      <c r="B129" t="s">
        <v>1027</v>
      </c>
      <c r="C129" s="28" t="s">
        <v>1039</v>
      </c>
      <c r="D129" t="s">
        <v>1031</v>
      </c>
      <c r="E129" t="s">
        <v>1047</v>
      </c>
      <c r="F129" t="s">
        <v>1027</v>
      </c>
    </row>
    <row r="130" spans="1:6" x14ac:dyDescent="0.3">
      <c r="A130" t="s">
        <v>1161</v>
      </c>
      <c r="B130" t="s">
        <v>1027</v>
      </c>
      <c r="C130" s="28" t="s">
        <v>1057</v>
      </c>
      <c r="D130" t="s">
        <v>1031</v>
      </c>
      <c r="E130" t="s">
        <v>1051</v>
      </c>
      <c r="F130" t="s">
        <v>1027</v>
      </c>
    </row>
    <row r="131" spans="1:6" x14ac:dyDescent="0.3">
      <c r="A131" t="s">
        <v>917</v>
      </c>
      <c r="B131" t="s">
        <v>1024</v>
      </c>
      <c r="C131" s="28" t="s">
        <v>1030</v>
      </c>
      <c r="D131" t="s">
        <v>1031</v>
      </c>
      <c r="E131" t="s">
        <v>39</v>
      </c>
      <c r="F131" t="s">
        <v>1024</v>
      </c>
    </row>
    <row r="132" spans="1:6" x14ac:dyDescent="0.3">
      <c r="A132" t="s">
        <v>1002</v>
      </c>
      <c r="B132" t="s">
        <v>1027</v>
      </c>
      <c r="C132" s="28" t="s">
        <v>1046</v>
      </c>
      <c r="D132" t="s">
        <v>9</v>
      </c>
      <c r="E132" t="s">
        <v>1041</v>
      </c>
      <c r="F132" t="s">
        <v>1330</v>
      </c>
    </row>
    <row r="133" spans="1:6" x14ac:dyDescent="0.3">
      <c r="A133" t="s">
        <v>1162</v>
      </c>
      <c r="B133" t="s">
        <v>1027</v>
      </c>
      <c r="C133" s="28" t="s">
        <v>1114</v>
      </c>
      <c r="D133" t="s">
        <v>1096</v>
      </c>
      <c r="E133" t="s">
        <v>1097</v>
      </c>
      <c r="F133" t="s">
        <v>1027</v>
      </c>
    </row>
    <row r="134" spans="1:6" x14ac:dyDescent="0.3">
      <c r="A134" t="s">
        <v>1163</v>
      </c>
      <c r="B134" t="s">
        <v>1027</v>
      </c>
      <c r="C134" s="28" t="s">
        <v>1085</v>
      </c>
      <c r="D134" t="s">
        <v>19</v>
      </c>
      <c r="E134" t="s">
        <v>44</v>
      </c>
      <c r="F134" t="s">
        <v>1027</v>
      </c>
    </row>
    <row r="135" spans="1:6" x14ac:dyDescent="0.3">
      <c r="A135" t="s">
        <v>952</v>
      </c>
      <c r="B135" t="s">
        <v>1024</v>
      </c>
      <c r="C135" s="28" t="s">
        <v>1025</v>
      </c>
      <c r="D135" t="s">
        <v>23</v>
      </c>
      <c r="E135" t="s">
        <v>22</v>
      </c>
      <c r="F135" t="s">
        <v>1024</v>
      </c>
    </row>
    <row r="136" spans="1:6" x14ac:dyDescent="0.3">
      <c r="A136" t="s">
        <v>1164</v>
      </c>
      <c r="B136" t="s">
        <v>1027</v>
      </c>
      <c r="C136" s="28" t="s">
        <v>1030</v>
      </c>
      <c r="D136" t="s">
        <v>1031</v>
      </c>
      <c r="E136" t="s">
        <v>1165</v>
      </c>
      <c r="F136" t="s">
        <v>1027</v>
      </c>
    </row>
    <row r="137" spans="1:6" x14ac:dyDescent="0.3">
      <c r="A137" t="s">
        <v>974</v>
      </c>
      <c r="B137" t="s">
        <v>1024</v>
      </c>
      <c r="C137" s="28" t="s">
        <v>1085</v>
      </c>
      <c r="D137" t="s">
        <v>19</v>
      </c>
      <c r="E137" t="s">
        <v>22</v>
      </c>
      <c r="F137" t="s">
        <v>1024</v>
      </c>
    </row>
    <row r="138" spans="1:6" x14ac:dyDescent="0.3">
      <c r="A138" t="s">
        <v>926</v>
      </c>
      <c r="B138" t="s">
        <v>1024</v>
      </c>
      <c r="C138" s="28" t="s">
        <v>1025</v>
      </c>
      <c r="D138" t="s">
        <v>23</v>
      </c>
      <c r="E138" t="s">
        <v>22</v>
      </c>
      <c r="F138" t="s">
        <v>1024</v>
      </c>
    </row>
    <row r="139" spans="1:6" x14ac:dyDescent="0.3">
      <c r="A139" t="s">
        <v>1166</v>
      </c>
      <c r="B139" t="s">
        <v>1024</v>
      </c>
      <c r="C139" s="28" t="s">
        <v>1085</v>
      </c>
      <c r="D139" t="s">
        <v>19</v>
      </c>
      <c r="E139" t="s">
        <v>22</v>
      </c>
      <c r="F139" t="s">
        <v>1024</v>
      </c>
    </row>
    <row r="140" spans="1:6" x14ac:dyDescent="0.3">
      <c r="A140" t="s">
        <v>1167</v>
      </c>
      <c r="B140" t="s">
        <v>1027</v>
      </c>
      <c r="C140" s="28" t="s">
        <v>1046</v>
      </c>
      <c r="D140" t="s">
        <v>9</v>
      </c>
      <c r="E140" t="s">
        <v>44</v>
      </c>
      <c r="F140" t="s">
        <v>1027</v>
      </c>
    </row>
    <row r="141" spans="1:6" x14ac:dyDescent="0.3">
      <c r="A141" t="s">
        <v>902</v>
      </c>
      <c r="B141" t="s">
        <v>1024</v>
      </c>
      <c r="C141" s="28" t="s">
        <v>1085</v>
      </c>
      <c r="D141" t="s">
        <v>19</v>
      </c>
      <c r="E141" t="s">
        <v>22</v>
      </c>
      <c r="F141" t="s">
        <v>1024</v>
      </c>
    </row>
    <row r="142" spans="1:6" x14ac:dyDescent="0.3">
      <c r="A142" t="s">
        <v>911</v>
      </c>
      <c r="B142" t="s">
        <v>1024</v>
      </c>
      <c r="C142" s="28" t="s">
        <v>1085</v>
      </c>
      <c r="D142" t="s">
        <v>19</v>
      </c>
      <c r="E142" t="s">
        <v>40</v>
      </c>
      <c r="F142" t="s">
        <v>1024</v>
      </c>
    </row>
    <row r="143" spans="1:6" x14ac:dyDescent="0.3">
      <c r="A143" s="4" t="s">
        <v>1168</v>
      </c>
      <c r="B143" t="s">
        <v>1027</v>
      </c>
      <c r="C143" s="28" t="s">
        <v>1085</v>
      </c>
      <c r="D143" t="s">
        <v>1122</v>
      </c>
      <c r="E143" t="s">
        <v>1037</v>
      </c>
      <c r="F143" t="s">
        <v>1027</v>
      </c>
    </row>
    <row r="144" spans="1:6" x14ac:dyDescent="0.3">
      <c r="A144" t="s">
        <v>1169</v>
      </c>
      <c r="B144" t="s">
        <v>1024</v>
      </c>
      <c r="C144" s="28" t="s">
        <v>1025</v>
      </c>
      <c r="D144" t="s">
        <v>23</v>
      </c>
      <c r="E144" t="s">
        <v>39</v>
      </c>
      <c r="F144" t="s">
        <v>1024</v>
      </c>
    </row>
    <row r="145" spans="1:6" x14ac:dyDescent="0.3">
      <c r="A145" t="s">
        <v>1170</v>
      </c>
      <c r="B145" t="s">
        <v>1027</v>
      </c>
      <c r="C145" s="28" t="s">
        <v>1123</v>
      </c>
      <c r="D145" t="s">
        <v>1122</v>
      </c>
      <c r="E145" t="s">
        <v>47</v>
      </c>
      <c r="F145" t="s">
        <v>1027</v>
      </c>
    </row>
    <row r="146" spans="1:6" x14ac:dyDescent="0.3">
      <c r="A146" t="s">
        <v>1001</v>
      </c>
      <c r="B146" t="s">
        <v>1027</v>
      </c>
      <c r="C146" s="28" t="s">
        <v>1036</v>
      </c>
      <c r="D146" t="s">
        <v>1122</v>
      </c>
      <c r="E146" t="s">
        <v>47</v>
      </c>
      <c r="F146" t="s">
        <v>1027</v>
      </c>
    </row>
    <row r="147" spans="1:6" x14ac:dyDescent="0.3">
      <c r="A147" t="s">
        <v>914</v>
      </c>
      <c r="B147" t="s">
        <v>1024</v>
      </c>
      <c r="C147" s="28" t="s">
        <v>1085</v>
      </c>
      <c r="D147" t="s">
        <v>19</v>
      </c>
      <c r="E147" t="s">
        <v>43</v>
      </c>
      <c r="F147" t="s">
        <v>1024</v>
      </c>
    </row>
    <row r="148" spans="1:6" x14ac:dyDescent="0.3">
      <c r="A148" t="s">
        <v>975</v>
      </c>
      <c r="B148" t="s">
        <v>1024</v>
      </c>
      <c r="C148" s="28" t="s">
        <v>1085</v>
      </c>
      <c r="D148" t="s">
        <v>19</v>
      </c>
      <c r="E148" t="s">
        <v>43</v>
      </c>
      <c r="F148" t="s">
        <v>1024</v>
      </c>
    </row>
    <row r="149" spans="1:6" x14ac:dyDescent="0.3">
      <c r="A149" t="s">
        <v>1171</v>
      </c>
      <c r="B149" t="s">
        <v>1024</v>
      </c>
      <c r="C149" s="28" t="s">
        <v>1085</v>
      </c>
      <c r="D149" t="s">
        <v>19</v>
      </c>
      <c r="E149" t="s">
        <v>22</v>
      </c>
      <c r="F149" t="s">
        <v>1024</v>
      </c>
    </row>
    <row r="150" spans="1:6" x14ac:dyDescent="0.3">
      <c r="A150" t="s">
        <v>17</v>
      </c>
      <c r="B150" t="s">
        <v>1024</v>
      </c>
      <c r="C150" s="28" t="s">
        <v>1085</v>
      </c>
      <c r="D150" t="s">
        <v>19</v>
      </c>
      <c r="E150" t="s">
        <v>18</v>
      </c>
      <c r="F150" t="s">
        <v>1024</v>
      </c>
    </row>
    <row r="151" spans="1:6" x14ac:dyDescent="0.3">
      <c r="A151" t="s">
        <v>1172</v>
      </c>
      <c r="B151" t="s">
        <v>1024</v>
      </c>
      <c r="C151" s="28" t="s">
        <v>1085</v>
      </c>
      <c r="D151" t="s">
        <v>19</v>
      </c>
      <c r="E151" t="s">
        <v>18</v>
      </c>
      <c r="F151" t="s">
        <v>1024</v>
      </c>
    </row>
    <row r="152" spans="1:6" x14ac:dyDescent="0.3">
      <c r="A152" t="s">
        <v>944</v>
      </c>
      <c r="B152" t="s">
        <v>1024</v>
      </c>
      <c r="C152" s="28" t="s">
        <v>1028</v>
      </c>
      <c r="D152" t="s">
        <v>1029</v>
      </c>
      <c r="E152" t="s">
        <v>39</v>
      </c>
      <c r="F152" t="s">
        <v>1024</v>
      </c>
    </row>
    <row r="153" spans="1:6" x14ac:dyDescent="0.3">
      <c r="A153" t="s">
        <v>1173</v>
      </c>
      <c r="B153" t="s">
        <v>1024</v>
      </c>
      <c r="C153" s="28" t="s">
        <v>1085</v>
      </c>
      <c r="D153" t="s">
        <v>19</v>
      </c>
      <c r="E153" t="s">
        <v>40</v>
      </c>
      <c r="F153" t="s">
        <v>1024</v>
      </c>
    </row>
    <row r="154" spans="1:6" x14ac:dyDescent="0.3">
      <c r="A154" s="4" t="s">
        <v>1174</v>
      </c>
      <c r="B154" t="s">
        <v>1024</v>
      </c>
      <c r="C154" s="28" t="s">
        <v>1025</v>
      </c>
      <c r="D154" t="s">
        <v>23</v>
      </c>
      <c r="E154" t="s">
        <v>43</v>
      </c>
      <c r="F154" t="s">
        <v>1024</v>
      </c>
    </row>
    <row r="155" spans="1:6" x14ac:dyDescent="0.3">
      <c r="A155" t="s">
        <v>951</v>
      </c>
      <c r="B155" t="s">
        <v>1024</v>
      </c>
      <c r="C155" s="28" t="s">
        <v>1085</v>
      </c>
      <c r="D155" t="s">
        <v>19</v>
      </c>
      <c r="E155" t="s">
        <v>43</v>
      </c>
      <c r="F155" t="s">
        <v>1024</v>
      </c>
    </row>
    <row r="156" spans="1:6" x14ac:dyDescent="0.3">
      <c r="A156" t="s">
        <v>1175</v>
      </c>
      <c r="B156" t="s">
        <v>1027</v>
      </c>
      <c r="C156" s="28" t="s">
        <v>1085</v>
      </c>
      <c r="D156" t="s">
        <v>23</v>
      </c>
      <c r="E156" t="s">
        <v>44</v>
      </c>
      <c r="F156" t="s">
        <v>1027</v>
      </c>
    </row>
    <row r="157" spans="1:6" x14ac:dyDescent="0.3">
      <c r="A157" t="s">
        <v>1176</v>
      </c>
      <c r="B157" t="s">
        <v>1027</v>
      </c>
      <c r="C157" s="28" t="s">
        <v>1177</v>
      </c>
      <c r="D157" t="s">
        <v>1178</v>
      </c>
      <c r="E157" t="s">
        <v>1092</v>
      </c>
      <c r="F157" t="s">
        <v>1027</v>
      </c>
    </row>
    <row r="158" spans="1:6" x14ac:dyDescent="0.3">
      <c r="A158" t="s">
        <v>898</v>
      </c>
      <c r="B158" t="s">
        <v>1024</v>
      </c>
      <c r="C158" s="28" t="s">
        <v>1085</v>
      </c>
      <c r="D158" t="s">
        <v>19</v>
      </c>
      <c r="E158" t="s">
        <v>18</v>
      </c>
      <c r="F158" t="s">
        <v>1024</v>
      </c>
    </row>
    <row r="159" spans="1:6" x14ac:dyDescent="0.3">
      <c r="A159" t="s">
        <v>1179</v>
      </c>
      <c r="B159" t="s">
        <v>1027</v>
      </c>
      <c r="C159" s="28" t="s">
        <v>1180</v>
      </c>
      <c r="D159" t="s">
        <v>1079</v>
      </c>
      <c r="E159" t="s">
        <v>1181</v>
      </c>
      <c r="F159" t="s">
        <v>1027</v>
      </c>
    </row>
    <row r="160" spans="1:6" x14ac:dyDescent="0.3">
      <c r="A160" t="s">
        <v>922</v>
      </c>
      <c r="B160" t="s">
        <v>1024</v>
      </c>
      <c r="C160" s="28" t="s">
        <v>1085</v>
      </c>
      <c r="D160" t="s">
        <v>19</v>
      </c>
      <c r="E160" t="s">
        <v>39</v>
      </c>
      <c r="F160" t="s">
        <v>1024</v>
      </c>
    </row>
    <row r="161" spans="1:6" x14ac:dyDescent="0.3">
      <c r="A161" t="s">
        <v>1182</v>
      </c>
      <c r="B161" t="s">
        <v>1024</v>
      </c>
      <c r="C161" s="28" t="s">
        <v>1030</v>
      </c>
      <c r="D161" t="s">
        <v>1031</v>
      </c>
      <c r="E161" t="s">
        <v>39</v>
      </c>
      <c r="F161" t="s">
        <v>1024</v>
      </c>
    </row>
    <row r="162" spans="1:6" x14ac:dyDescent="0.3">
      <c r="A162" t="s">
        <v>1183</v>
      </c>
      <c r="B162" t="s">
        <v>1027</v>
      </c>
      <c r="C162" s="28" t="s">
        <v>1078</v>
      </c>
      <c r="D162" t="s">
        <v>1079</v>
      </c>
      <c r="E162" t="s">
        <v>1184</v>
      </c>
      <c r="F162" t="s">
        <v>1027</v>
      </c>
    </row>
    <row r="163" spans="1:6" x14ac:dyDescent="0.3">
      <c r="A163" t="s">
        <v>1185</v>
      </c>
      <c r="B163" t="s">
        <v>1027</v>
      </c>
      <c r="C163" s="28" t="s">
        <v>1089</v>
      </c>
      <c r="D163" t="s">
        <v>1090</v>
      </c>
      <c r="E163" t="s">
        <v>1153</v>
      </c>
      <c r="F163" t="s">
        <v>1027</v>
      </c>
    </row>
    <row r="164" spans="1:6" x14ac:dyDescent="0.3">
      <c r="A164" t="s">
        <v>1186</v>
      </c>
      <c r="B164" t="s">
        <v>1027</v>
      </c>
      <c r="C164" s="28" t="s">
        <v>1177</v>
      </c>
      <c r="D164" t="s">
        <v>1178</v>
      </c>
      <c r="E164" t="s">
        <v>1153</v>
      </c>
      <c r="F164" t="s">
        <v>1027</v>
      </c>
    </row>
    <row r="165" spans="1:6" x14ac:dyDescent="0.3">
      <c r="A165" t="s">
        <v>1187</v>
      </c>
      <c r="B165" t="s">
        <v>1027</v>
      </c>
      <c r="C165" s="28" t="s">
        <v>1030</v>
      </c>
      <c r="D165" t="s">
        <v>19</v>
      </c>
      <c r="E165" t="s">
        <v>1037</v>
      </c>
      <c r="F165" t="s">
        <v>1027</v>
      </c>
    </row>
    <row r="166" spans="1:6" x14ac:dyDescent="0.3">
      <c r="A166" t="s">
        <v>1004</v>
      </c>
      <c r="B166" t="s">
        <v>1024</v>
      </c>
      <c r="C166" s="28" t="s">
        <v>1025</v>
      </c>
      <c r="D166" t="s">
        <v>23</v>
      </c>
      <c r="E166" t="s">
        <v>46</v>
      </c>
      <c r="F166" t="s">
        <v>1024</v>
      </c>
    </row>
    <row r="167" spans="1:6" x14ac:dyDescent="0.3">
      <c r="A167" t="s">
        <v>1188</v>
      </c>
      <c r="B167" t="s">
        <v>1024</v>
      </c>
      <c r="C167" s="28" t="s">
        <v>1025</v>
      </c>
      <c r="D167" t="s">
        <v>23</v>
      </c>
      <c r="E167" t="s">
        <v>46</v>
      </c>
      <c r="F167" t="s">
        <v>1024</v>
      </c>
    </row>
    <row r="168" spans="1:6" x14ac:dyDescent="0.3">
      <c r="A168" t="s">
        <v>895</v>
      </c>
      <c r="B168" t="s">
        <v>1024</v>
      </c>
      <c r="C168" t="s">
        <v>1030</v>
      </c>
      <c r="D168" t="s">
        <v>1031</v>
      </c>
      <c r="E168" t="s">
        <v>39</v>
      </c>
      <c r="F168" t="s">
        <v>1024</v>
      </c>
    </row>
    <row r="169" spans="1:6" x14ac:dyDescent="0.3">
      <c r="A169" t="s">
        <v>942</v>
      </c>
      <c r="B169" t="s">
        <v>1024</v>
      </c>
      <c r="C169" s="28" t="s">
        <v>1025</v>
      </c>
      <c r="D169" t="s">
        <v>23</v>
      </c>
      <c r="E169" t="s">
        <v>22</v>
      </c>
      <c r="F169" t="s">
        <v>1024</v>
      </c>
    </row>
    <row r="170" spans="1:6" x14ac:dyDescent="0.3">
      <c r="A170" t="s">
        <v>1189</v>
      </c>
      <c r="B170" t="s">
        <v>1024</v>
      </c>
      <c r="C170" s="28" t="s">
        <v>1177</v>
      </c>
      <c r="D170" t="s">
        <v>1178</v>
      </c>
      <c r="E170" t="s">
        <v>1041</v>
      </c>
      <c r="F170" t="s">
        <v>1330</v>
      </c>
    </row>
    <row r="171" spans="1:6" x14ac:dyDescent="0.3">
      <c r="A171" t="s">
        <v>1190</v>
      </c>
      <c r="B171" t="s">
        <v>1024</v>
      </c>
      <c r="C171" s="28" t="s">
        <v>1046</v>
      </c>
      <c r="D171" t="s">
        <v>9</v>
      </c>
      <c r="E171" t="s">
        <v>39</v>
      </c>
      <c r="F171" t="s">
        <v>1024</v>
      </c>
    </row>
    <row r="172" spans="1:6" x14ac:dyDescent="0.3">
      <c r="A172" t="s">
        <v>1191</v>
      </c>
      <c r="B172" t="s">
        <v>1027</v>
      </c>
      <c r="C172" s="28" t="s">
        <v>1057</v>
      </c>
      <c r="D172" t="s">
        <v>19</v>
      </c>
      <c r="E172" t="s">
        <v>1051</v>
      </c>
      <c r="F172" t="s">
        <v>1027</v>
      </c>
    </row>
    <row r="173" spans="1:6" x14ac:dyDescent="0.3">
      <c r="A173" t="s">
        <v>1192</v>
      </c>
      <c r="B173" t="s">
        <v>1024</v>
      </c>
      <c r="C173" s="28" t="s">
        <v>1028</v>
      </c>
      <c r="D173" t="s">
        <v>1107</v>
      </c>
      <c r="E173" t="s">
        <v>39</v>
      </c>
      <c r="F173" t="s">
        <v>1024</v>
      </c>
    </row>
    <row r="174" spans="1:6" x14ac:dyDescent="0.3">
      <c r="A174" t="s">
        <v>968</v>
      </c>
      <c r="B174" t="s">
        <v>1024</v>
      </c>
      <c r="C174" s="28" t="s">
        <v>1046</v>
      </c>
      <c r="D174" t="s">
        <v>9</v>
      </c>
      <c r="E174" t="s">
        <v>39</v>
      </c>
      <c r="F174" t="s">
        <v>1024</v>
      </c>
    </row>
    <row r="175" spans="1:6" x14ac:dyDescent="0.3">
      <c r="A175" t="s">
        <v>933</v>
      </c>
      <c r="B175" t="s">
        <v>1027</v>
      </c>
      <c r="C175" s="28" t="s">
        <v>1046</v>
      </c>
      <c r="D175" t="s">
        <v>9</v>
      </c>
      <c r="E175" t="s">
        <v>44</v>
      </c>
      <c r="F175" t="s">
        <v>1027</v>
      </c>
    </row>
    <row r="176" spans="1:6" x14ac:dyDescent="0.3">
      <c r="A176" t="s">
        <v>956</v>
      </c>
      <c r="B176" t="s">
        <v>1024</v>
      </c>
      <c r="C176" s="28" t="s">
        <v>1025</v>
      </c>
      <c r="D176" t="s">
        <v>23</v>
      </c>
      <c r="E176" t="s">
        <v>22</v>
      </c>
      <c r="F176" t="s">
        <v>1024</v>
      </c>
    </row>
    <row r="177" spans="1:6" x14ac:dyDescent="0.3">
      <c r="A177" t="s">
        <v>901</v>
      </c>
      <c r="B177" t="s">
        <v>1024</v>
      </c>
      <c r="C177" s="28" t="s">
        <v>1046</v>
      </c>
      <c r="D177" t="s">
        <v>9</v>
      </c>
      <c r="E177" t="s">
        <v>38</v>
      </c>
      <c r="F177" t="s">
        <v>1024</v>
      </c>
    </row>
    <row r="178" spans="1:6" x14ac:dyDescent="0.3">
      <c r="A178" t="s">
        <v>1193</v>
      </c>
      <c r="B178" t="s">
        <v>1024</v>
      </c>
      <c r="C178" s="28" t="s">
        <v>1194</v>
      </c>
      <c r="D178" t="s">
        <v>19</v>
      </c>
      <c r="E178" t="s">
        <v>22</v>
      </c>
      <c r="F178" t="s">
        <v>1024</v>
      </c>
    </row>
    <row r="179" spans="1:6" x14ac:dyDescent="0.3">
      <c r="A179" t="s">
        <v>1195</v>
      </c>
      <c r="B179" t="s">
        <v>1027</v>
      </c>
      <c r="C179" s="28" t="s">
        <v>1196</v>
      </c>
      <c r="D179" t="s">
        <v>1197</v>
      </c>
      <c r="E179" t="s">
        <v>1198</v>
      </c>
      <c r="F179" t="s">
        <v>1027</v>
      </c>
    </row>
    <row r="180" spans="1:6" x14ac:dyDescent="0.3">
      <c r="A180" t="s">
        <v>949</v>
      </c>
      <c r="B180" t="s">
        <v>1024</v>
      </c>
      <c r="C180" s="28" t="s">
        <v>1085</v>
      </c>
      <c r="D180" t="s">
        <v>19</v>
      </c>
      <c r="E180" t="s">
        <v>40</v>
      </c>
      <c r="F180" t="s">
        <v>1024</v>
      </c>
    </row>
    <row r="181" spans="1:6" x14ac:dyDescent="0.3">
      <c r="A181" t="s">
        <v>1199</v>
      </c>
      <c r="B181" t="s">
        <v>1027</v>
      </c>
      <c r="C181" s="28" t="s">
        <v>1057</v>
      </c>
      <c r="D181" t="s">
        <v>19</v>
      </c>
      <c r="E181" t="s">
        <v>1051</v>
      </c>
      <c r="F181" t="s">
        <v>1027</v>
      </c>
    </row>
    <row r="182" spans="1:6" x14ac:dyDescent="0.3">
      <c r="A182" t="s">
        <v>932</v>
      </c>
      <c r="B182" t="s">
        <v>1024</v>
      </c>
      <c r="C182" s="28" t="s">
        <v>1028</v>
      </c>
      <c r="D182" t="s">
        <v>1029</v>
      </c>
      <c r="E182" t="s">
        <v>39</v>
      </c>
      <c r="F182" t="s">
        <v>1024</v>
      </c>
    </row>
    <row r="183" spans="1:6" x14ac:dyDescent="0.3">
      <c r="A183" t="s">
        <v>1013</v>
      </c>
      <c r="B183" t="s">
        <v>1024</v>
      </c>
      <c r="C183" s="28" t="s">
        <v>1025</v>
      </c>
      <c r="D183" t="s">
        <v>23</v>
      </c>
      <c r="E183" t="s">
        <v>22</v>
      </c>
      <c r="F183" t="s">
        <v>1024</v>
      </c>
    </row>
    <row r="184" spans="1:6" x14ac:dyDescent="0.3">
      <c r="A184" t="s">
        <v>1200</v>
      </c>
      <c r="B184" t="s">
        <v>1027</v>
      </c>
      <c r="C184" s="28" t="s">
        <v>1039</v>
      </c>
      <c r="D184" t="s">
        <v>1031</v>
      </c>
      <c r="E184" t="s">
        <v>1051</v>
      </c>
      <c r="F184" t="s">
        <v>1027</v>
      </c>
    </row>
    <row r="185" spans="1:6" x14ac:dyDescent="0.3">
      <c r="A185" s="30" t="s">
        <v>1201</v>
      </c>
      <c r="B185" t="s">
        <v>1027</v>
      </c>
      <c r="C185" s="28" t="s">
        <v>1025</v>
      </c>
      <c r="D185" t="s">
        <v>23</v>
      </c>
      <c r="E185" t="s">
        <v>47</v>
      </c>
      <c r="F185" t="s">
        <v>1027</v>
      </c>
    </row>
    <row r="186" spans="1:6" x14ac:dyDescent="0.3">
      <c r="A186" t="s">
        <v>978</v>
      </c>
      <c r="B186" t="s">
        <v>1027</v>
      </c>
      <c r="C186" s="28" t="s">
        <v>1177</v>
      </c>
      <c r="D186" t="s">
        <v>1178</v>
      </c>
      <c r="E186" t="s">
        <v>1202</v>
      </c>
      <c r="F186" t="s">
        <v>1027</v>
      </c>
    </row>
    <row r="187" spans="1:6" x14ac:dyDescent="0.3">
      <c r="A187" t="s">
        <v>941</v>
      </c>
      <c r="B187" t="s">
        <v>1024</v>
      </c>
      <c r="C187" s="28" t="s">
        <v>1085</v>
      </c>
      <c r="D187" t="s">
        <v>19</v>
      </c>
      <c r="E187" t="s">
        <v>39</v>
      </c>
      <c r="F187" t="s">
        <v>1024</v>
      </c>
    </row>
    <row r="188" spans="1:6" x14ac:dyDescent="0.3">
      <c r="A188" t="s">
        <v>1203</v>
      </c>
      <c r="B188" t="s">
        <v>1027</v>
      </c>
      <c r="C188" s="28" t="s">
        <v>1204</v>
      </c>
      <c r="D188" t="s">
        <v>1205</v>
      </c>
      <c r="E188" t="s">
        <v>1206</v>
      </c>
      <c r="F188" t="s">
        <v>1027</v>
      </c>
    </row>
    <row r="189" spans="1:6" x14ac:dyDescent="0.3">
      <c r="A189" t="s">
        <v>912</v>
      </c>
      <c r="B189" t="s">
        <v>1024</v>
      </c>
      <c r="C189" s="28" t="s">
        <v>1046</v>
      </c>
      <c r="D189" t="s">
        <v>9</v>
      </c>
      <c r="E189" t="s">
        <v>39</v>
      </c>
      <c r="F189" t="s">
        <v>1024</v>
      </c>
    </row>
    <row r="190" spans="1:6" x14ac:dyDescent="0.3">
      <c r="A190" t="s">
        <v>983</v>
      </c>
      <c r="B190" t="s">
        <v>1027</v>
      </c>
      <c r="C190" s="28" t="s">
        <v>1207</v>
      </c>
      <c r="D190" t="s">
        <v>1208</v>
      </c>
      <c r="E190" t="s">
        <v>1041</v>
      </c>
      <c r="F190" t="s">
        <v>1330</v>
      </c>
    </row>
    <row r="191" spans="1:6" x14ac:dyDescent="0.3">
      <c r="A191" t="s">
        <v>1209</v>
      </c>
      <c r="B191" t="s">
        <v>1027</v>
      </c>
      <c r="C191" s="28" t="s">
        <v>1210</v>
      </c>
      <c r="D191" t="s">
        <v>1208</v>
      </c>
      <c r="E191" t="s">
        <v>1041</v>
      </c>
      <c r="F191" t="s">
        <v>1330</v>
      </c>
    </row>
    <row r="192" spans="1:6" x14ac:dyDescent="0.3">
      <c r="A192" t="s">
        <v>947</v>
      </c>
      <c r="B192" t="s">
        <v>1024</v>
      </c>
      <c r="C192" s="28" t="s">
        <v>1085</v>
      </c>
      <c r="D192" t="s">
        <v>19</v>
      </c>
      <c r="E192" t="s">
        <v>39</v>
      </c>
      <c r="F192" t="s">
        <v>1024</v>
      </c>
    </row>
    <row r="193" spans="1:6" x14ac:dyDescent="0.3">
      <c r="A193" t="s">
        <v>1211</v>
      </c>
      <c r="B193" t="s">
        <v>1024</v>
      </c>
      <c r="C193" s="28" t="s">
        <v>1085</v>
      </c>
      <c r="D193" t="s">
        <v>19</v>
      </c>
      <c r="E193" t="s">
        <v>39</v>
      </c>
      <c r="F193" t="s">
        <v>1024</v>
      </c>
    </row>
    <row r="194" spans="1:6" x14ac:dyDescent="0.3">
      <c r="A194" t="s">
        <v>992</v>
      </c>
      <c r="B194" t="s">
        <v>1024</v>
      </c>
      <c r="C194" s="28" t="s">
        <v>1046</v>
      </c>
      <c r="D194" t="s">
        <v>9</v>
      </c>
      <c r="E194" t="s">
        <v>39</v>
      </c>
      <c r="F194" t="s">
        <v>1024</v>
      </c>
    </row>
    <row r="195" spans="1:6" x14ac:dyDescent="0.3">
      <c r="A195" s="30" t="s">
        <v>1018</v>
      </c>
      <c r="B195" t="s">
        <v>1024</v>
      </c>
      <c r="C195" s="28" t="s">
        <v>1028</v>
      </c>
      <c r="D195" t="s">
        <v>1029</v>
      </c>
      <c r="E195" t="s">
        <v>39</v>
      </c>
      <c r="F195" t="s">
        <v>1024</v>
      </c>
    </row>
    <row r="196" spans="1:6" x14ac:dyDescent="0.3">
      <c r="A196" t="s">
        <v>1212</v>
      </c>
      <c r="B196" t="s">
        <v>1027</v>
      </c>
      <c r="C196" s="28" t="s">
        <v>1180</v>
      </c>
      <c r="D196" t="s">
        <v>1079</v>
      </c>
      <c r="E196" t="s">
        <v>1213</v>
      </c>
      <c r="F196" t="s">
        <v>1027</v>
      </c>
    </row>
    <row r="197" spans="1:6" x14ac:dyDescent="0.3">
      <c r="A197" t="s">
        <v>1214</v>
      </c>
      <c r="B197" t="s">
        <v>1024</v>
      </c>
      <c r="C197" s="28" t="s">
        <v>1046</v>
      </c>
      <c r="D197" t="s">
        <v>1029</v>
      </c>
      <c r="E197" t="s">
        <v>43</v>
      </c>
      <c r="F197" t="s">
        <v>1024</v>
      </c>
    </row>
    <row r="198" spans="1:6" x14ac:dyDescent="0.3">
      <c r="A198" t="s">
        <v>1215</v>
      </c>
      <c r="B198" t="s">
        <v>1024</v>
      </c>
      <c r="C198" s="28" t="s">
        <v>1025</v>
      </c>
      <c r="D198" t="s">
        <v>23</v>
      </c>
      <c r="E198" t="s">
        <v>18</v>
      </c>
      <c r="F198" t="s">
        <v>1024</v>
      </c>
    </row>
    <row r="199" spans="1:6" x14ac:dyDescent="0.3">
      <c r="A199" t="s">
        <v>1216</v>
      </c>
      <c r="B199" t="s">
        <v>1024</v>
      </c>
      <c r="C199" s="28" t="s">
        <v>1028</v>
      </c>
      <c r="D199" t="s">
        <v>1029</v>
      </c>
      <c r="E199" t="s">
        <v>1026</v>
      </c>
      <c r="F199" t="s">
        <v>1024</v>
      </c>
    </row>
    <row r="200" spans="1:6" x14ac:dyDescent="0.3">
      <c r="A200" t="s">
        <v>1217</v>
      </c>
      <c r="B200" t="s">
        <v>1027</v>
      </c>
      <c r="C200" s="28" t="s">
        <v>1089</v>
      </c>
      <c r="D200" t="s">
        <v>1197</v>
      </c>
      <c r="E200" t="s">
        <v>1218</v>
      </c>
      <c r="F200" t="s">
        <v>1027</v>
      </c>
    </row>
    <row r="201" spans="1:6" x14ac:dyDescent="0.3">
      <c r="A201" t="s">
        <v>945</v>
      </c>
      <c r="B201" t="s">
        <v>1027</v>
      </c>
      <c r="C201" s="28" t="s">
        <v>1046</v>
      </c>
      <c r="D201" t="s">
        <v>9</v>
      </c>
      <c r="E201" t="s">
        <v>45</v>
      </c>
      <c r="F201" t="s">
        <v>1027</v>
      </c>
    </row>
    <row r="202" spans="1:6" x14ac:dyDescent="0.3">
      <c r="A202" t="s">
        <v>1016</v>
      </c>
      <c r="B202" t="s">
        <v>1027</v>
      </c>
      <c r="C202" s="28" t="s">
        <v>1114</v>
      </c>
      <c r="D202" t="s">
        <v>1096</v>
      </c>
      <c r="E202" t="s">
        <v>1097</v>
      </c>
      <c r="F202" t="s">
        <v>1027</v>
      </c>
    </row>
    <row r="203" spans="1:6" x14ac:dyDescent="0.3">
      <c r="A203" t="s">
        <v>1219</v>
      </c>
      <c r="B203" t="s">
        <v>1024</v>
      </c>
      <c r="C203" s="28" t="s">
        <v>1046</v>
      </c>
      <c r="D203" t="s">
        <v>9</v>
      </c>
      <c r="E203" t="s">
        <v>1220</v>
      </c>
      <c r="F203" t="s">
        <v>1024</v>
      </c>
    </row>
    <row r="204" spans="1:6" x14ac:dyDescent="0.3">
      <c r="A204" t="s">
        <v>918</v>
      </c>
      <c r="B204" t="s">
        <v>1024</v>
      </c>
      <c r="C204" s="28" t="s">
        <v>1030</v>
      </c>
      <c r="D204" t="s">
        <v>1031</v>
      </c>
      <c r="E204" t="s">
        <v>39</v>
      </c>
      <c r="F204" t="s">
        <v>1024</v>
      </c>
    </row>
    <row r="205" spans="1:6" x14ac:dyDescent="0.3">
      <c r="A205" t="s">
        <v>1221</v>
      </c>
      <c r="B205" t="s">
        <v>1027</v>
      </c>
      <c r="C205" s="28" t="s">
        <v>1078</v>
      </c>
      <c r="D205" t="s">
        <v>1079</v>
      </c>
      <c r="E205" t="s">
        <v>1222</v>
      </c>
      <c r="F205" t="s">
        <v>1027</v>
      </c>
    </row>
    <row r="206" spans="1:6" x14ac:dyDescent="0.3">
      <c r="A206" t="s">
        <v>928</v>
      </c>
      <c r="B206" t="s">
        <v>1027</v>
      </c>
      <c r="C206" s="28" t="s">
        <v>1129</v>
      </c>
      <c r="D206" t="s">
        <v>19</v>
      </c>
      <c r="E206" t="s">
        <v>47</v>
      </c>
      <c r="F206" t="s">
        <v>1027</v>
      </c>
    </row>
    <row r="207" spans="1:6" x14ac:dyDescent="0.3">
      <c r="A207" t="s">
        <v>1223</v>
      </c>
      <c r="B207" t="s">
        <v>1027</v>
      </c>
      <c r="C207" s="28" t="s">
        <v>1057</v>
      </c>
      <c r="D207" t="s">
        <v>1224</v>
      </c>
      <c r="E207" t="s">
        <v>1225</v>
      </c>
      <c r="F207" t="s">
        <v>1027</v>
      </c>
    </row>
    <row r="208" spans="1:6" x14ac:dyDescent="0.3">
      <c r="A208" t="s">
        <v>1226</v>
      </c>
      <c r="B208" t="s">
        <v>1024</v>
      </c>
      <c r="C208" s="28" t="s">
        <v>1025</v>
      </c>
      <c r="D208" t="s">
        <v>23</v>
      </c>
      <c r="E208" t="s">
        <v>18</v>
      </c>
      <c r="F208" t="s">
        <v>1024</v>
      </c>
    </row>
    <row r="209" spans="1:6" x14ac:dyDescent="0.3">
      <c r="A209" t="s">
        <v>1227</v>
      </c>
      <c r="B209" t="s">
        <v>1027</v>
      </c>
      <c r="C209" s="28" t="s">
        <v>1228</v>
      </c>
      <c r="D209" t="s">
        <v>1090</v>
      </c>
      <c r="E209" t="s">
        <v>1091</v>
      </c>
      <c r="F209" t="s">
        <v>1027</v>
      </c>
    </row>
    <row r="210" spans="1:6" x14ac:dyDescent="0.3">
      <c r="A210" s="30" t="s">
        <v>976</v>
      </c>
      <c r="B210" t="s">
        <v>1024</v>
      </c>
      <c r="C210" s="28" t="s">
        <v>1046</v>
      </c>
      <c r="D210" t="s">
        <v>9</v>
      </c>
      <c r="E210" t="s">
        <v>38</v>
      </c>
      <c r="F210" t="s">
        <v>1024</v>
      </c>
    </row>
    <row r="211" spans="1:6" x14ac:dyDescent="0.3">
      <c r="A211" t="s">
        <v>904</v>
      </c>
      <c r="B211" t="s">
        <v>1027</v>
      </c>
      <c r="C211" s="28" t="s">
        <v>1046</v>
      </c>
      <c r="D211" t="s">
        <v>1107</v>
      </c>
      <c r="E211" t="s">
        <v>44</v>
      </c>
      <c r="F211" t="s">
        <v>1027</v>
      </c>
    </row>
    <row r="212" spans="1:6" x14ac:dyDescent="0.3">
      <c r="A212" t="s">
        <v>1229</v>
      </c>
      <c r="B212" t="s">
        <v>1024</v>
      </c>
      <c r="C212" s="28" t="s">
        <v>1046</v>
      </c>
      <c r="D212" t="s">
        <v>1029</v>
      </c>
      <c r="E212" t="s">
        <v>43</v>
      </c>
      <c r="F212" t="s">
        <v>1024</v>
      </c>
    </row>
    <row r="213" spans="1:6" x14ac:dyDescent="0.3">
      <c r="A213" t="s">
        <v>1230</v>
      </c>
      <c r="B213" t="s">
        <v>1027</v>
      </c>
      <c r="C213" s="28" t="s">
        <v>1046</v>
      </c>
      <c r="D213" t="s">
        <v>9</v>
      </c>
      <c r="E213" t="s">
        <v>1231</v>
      </c>
      <c r="F213" t="s">
        <v>1027</v>
      </c>
    </row>
    <row r="214" spans="1:6" x14ac:dyDescent="0.3">
      <c r="A214" t="s">
        <v>1232</v>
      </c>
      <c r="B214" t="s">
        <v>1024</v>
      </c>
      <c r="C214" s="28" t="s">
        <v>1233</v>
      </c>
      <c r="D214" t="s">
        <v>1234</v>
      </c>
      <c r="E214" t="s">
        <v>1235</v>
      </c>
      <c r="F214" t="s">
        <v>1024</v>
      </c>
    </row>
    <row r="215" spans="1:6" x14ac:dyDescent="0.3">
      <c r="A215" t="s">
        <v>948</v>
      </c>
      <c r="B215" t="s">
        <v>1024</v>
      </c>
      <c r="C215" s="28" t="s">
        <v>1028</v>
      </c>
      <c r="D215" t="s">
        <v>1107</v>
      </c>
      <c r="E215" t="s">
        <v>39</v>
      </c>
      <c r="F215" t="s">
        <v>1024</v>
      </c>
    </row>
    <row r="216" spans="1:6" x14ac:dyDescent="0.3">
      <c r="A216" t="s">
        <v>1236</v>
      </c>
      <c r="B216" t="s">
        <v>1024</v>
      </c>
      <c r="C216" s="28" t="s">
        <v>1233</v>
      </c>
      <c r="D216" t="s">
        <v>1234</v>
      </c>
      <c r="E216" t="s">
        <v>1235</v>
      </c>
      <c r="F216" t="s">
        <v>1024</v>
      </c>
    </row>
    <row r="217" spans="1:6" x14ac:dyDescent="0.3">
      <c r="A217" t="s">
        <v>1237</v>
      </c>
      <c r="B217" t="s">
        <v>1024</v>
      </c>
      <c r="C217" s="28" t="s">
        <v>1238</v>
      </c>
      <c r="D217" t="s">
        <v>1239</v>
      </c>
      <c r="E217" t="s">
        <v>1235</v>
      </c>
      <c r="F217" t="s">
        <v>1024</v>
      </c>
    </row>
    <row r="218" spans="1:6" x14ac:dyDescent="0.3">
      <c r="A218" t="s">
        <v>1240</v>
      </c>
      <c r="B218" t="s">
        <v>1024</v>
      </c>
      <c r="C218" s="28" t="s">
        <v>1238</v>
      </c>
      <c r="D218" t="s">
        <v>1239</v>
      </c>
      <c r="E218" t="s">
        <v>1235</v>
      </c>
      <c r="F218" t="s">
        <v>1024</v>
      </c>
    </row>
    <row r="219" spans="1:6" x14ac:dyDescent="0.3">
      <c r="A219" t="s">
        <v>1241</v>
      </c>
      <c r="B219" t="s">
        <v>1024</v>
      </c>
      <c r="C219" s="28" t="s">
        <v>1233</v>
      </c>
      <c r="D219" t="s">
        <v>1234</v>
      </c>
      <c r="E219" t="s">
        <v>1235</v>
      </c>
      <c r="F219" t="s">
        <v>1024</v>
      </c>
    </row>
    <row r="220" spans="1:6" x14ac:dyDescent="0.3">
      <c r="A220" t="s">
        <v>1242</v>
      </c>
      <c r="B220" t="s">
        <v>1024</v>
      </c>
      <c r="C220" s="28" t="s">
        <v>1233</v>
      </c>
      <c r="D220" t="s">
        <v>1234</v>
      </c>
      <c r="E220" t="s">
        <v>1235</v>
      </c>
      <c r="F220" t="s">
        <v>1024</v>
      </c>
    </row>
    <row r="221" spans="1:6" x14ac:dyDescent="0.3">
      <c r="A221" t="s">
        <v>1243</v>
      </c>
      <c r="B221" t="s">
        <v>1024</v>
      </c>
      <c r="C221" s="28" t="s">
        <v>1233</v>
      </c>
      <c r="D221" t="s">
        <v>1234</v>
      </c>
      <c r="E221" t="s">
        <v>1235</v>
      </c>
      <c r="F221" t="s">
        <v>1024</v>
      </c>
    </row>
    <row r="222" spans="1:6" x14ac:dyDescent="0.3">
      <c r="A222" s="4" t="s">
        <v>1244</v>
      </c>
      <c r="B222" t="s">
        <v>1024</v>
      </c>
      <c r="C222" s="28" t="s">
        <v>1025</v>
      </c>
      <c r="D222" t="s">
        <v>23</v>
      </c>
      <c r="E222" t="s">
        <v>43</v>
      </c>
      <c r="F222" t="s">
        <v>1024</v>
      </c>
    </row>
    <row r="223" spans="1:6" x14ac:dyDescent="0.3">
      <c r="A223" t="s">
        <v>1245</v>
      </c>
      <c r="B223" t="s">
        <v>1024</v>
      </c>
      <c r="C223" s="28" t="s">
        <v>1085</v>
      </c>
      <c r="D223" t="s">
        <v>19</v>
      </c>
      <c r="E223" t="s">
        <v>39</v>
      </c>
      <c r="F223" t="s">
        <v>1024</v>
      </c>
    </row>
    <row r="224" spans="1:6" x14ac:dyDescent="0.3">
      <c r="A224" t="s">
        <v>1246</v>
      </c>
      <c r="B224" t="s">
        <v>1024</v>
      </c>
      <c r="C224" s="28" t="s">
        <v>1085</v>
      </c>
      <c r="D224" t="s">
        <v>19</v>
      </c>
      <c r="E224" t="s">
        <v>46</v>
      </c>
      <c r="F224" t="s">
        <v>1024</v>
      </c>
    </row>
    <row r="225" spans="1:6" x14ac:dyDescent="0.3">
      <c r="A225" t="s">
        <v>1247</v>
      </c>
      <c r="B225" t="s">
        <v>1027</v>
      </c>
      <c r="C225" s="28" t="s">
        <v>1085</v>
      </c>
      <c r="D225" t="s">
        <v>1122</v>
      </c>
      <c r="E225" t="s">
        <v>1087</v>
      </c>
      <c r="F225" t="s">
        <v>1027</v>
      </c>
    </row>
    <row r="226" spans="1:6" x14ac:dyDescent="0.3">
      <c r="A226" t="s">
        <v>1248</v>
      </c>
      <c r="B226" t="s">
        <v>1024</v>
      </c>
      <c r="C226" s="28" t="s">
        <v>1046</v>
      </c>
      <c r="D226" t="s">
        <v>9</v>
      </c>
      <c r="E226" t="s">
        <v>1220</v>
      </c>
      <c r="F226" t="s">
        <v>1024</v>
      </c>
    </row>
    <row r="227" spans="1:6" x14ac:dyDescent="0.3">
      <c r="A227" t="s">
        <v>1249</v>
      </c>
      <c r="B227" t="s">
        <v>1024</v>
      </c>
      <c r="C227" s="28" t="s">
        <v>1046</v>
      </c>
      <c r="D227" t="s">
        <v>9</v>
      </c>
      <c r="E227" t="s">
        <v>1220</v>
      </c>
      <c r="F227" t="s">
        <v>1024</v>
      </c>
    </row>
    <row r="228" spans="1:6" x14ac:dyDescent="0.3">
      <c r="A228" t="s">
        <v>1005</v>
      </c>
      <c r="B228" t="s">
        <v>1024</v>
      </c>
      <c r="C228" s="28" t="s">
        <v>1046</v>
      </c>
      <c r="D228" t="s">
        <v>9</v>
      </c>
      <c r="E228" t="s">
        <v>1220</v>
      </c>
      <c r="F228" t="s">
        <v>1024</v>
      </c>
    </row>
    <row r="229" spans="1:6" x14ac:dyDescent="0.3">
      <c r="A229" t="s">
        <v>1250</v>
      </c>
      <c r="B229" t="s">
        <v>1024</v>
      </c>
      <c r="C229" s="28" t="s">
        <v>1238</v>
      </c>
      <c r="D229" t="s">
        <v>1239</v>
      </c>
      <c r="E229" t="s">
        <v>1235</v>
      </c>
      <c r="F229" t="s">
        <v>1024</v>
      </c>
    </row>
    <row r="230" spans="1:6" x14ac:dyDescent="0.3">
      <c r="A230" t="s">
        <v>1251</v>
      </c>
      <c r="B230" t="s">
        <v>1024</v>
      </c>
      <c r="C230" s="28" t="s">
        <v>1238</v>
      </c>
      <c r="D230" t="s">
        <v>1239</v>
      </c>
      <c r="E230" t="s">
        <v>1235</v>
      </c>
      <c r="F230" t="s">
        <v>1024</v>
      </c>
    </row>
    <row r="231" spans="1:6" x14ac:dyDescent="0.3">
      <c r="A231" t="s">
        <v>1252</v>
      </c>
      <c r="B231" t="s">
        <v>1024</v>
      </c>
      <c r="C231" s="28" t="s">
        <v>1238</v>
      </c>
      <c r="D231" t="s">
        <v>1239</v>
      </c>
      <c r="E231" t="s">
        <v>1235</v>
      </c>
      <c r="F231" t="s">
        <v>1024</v>
      </c>
    </row>
    <row r="232" spans="1:6" x14ac:dyDescent="0.3">
      <c r="A232" t="s">
        <v>1253</v>
      </c>
      <c r="B232" t="s">
        <v>1024</v>
      </c>
      <c r="C232" s="28" t="s">
        <v>1238</v>
      </c>
      <c r="D232" t="s">
        <v>1239</v>
      </c>
      <c r="E232" t="s">
        <v>1235</v>
      </c>
      <c r="F232" t="s">
        <v>1024</v>
      </c>
    </row>
    <row r="233" spans="1:6" x14ac:dyDescent="0.3">
      <c r="A233" t="s">
        <v>1254</v>
      </c>
      <c r="B233" t="s">
        <v>1024</v>
      </c>
      <c r="C233" s="28" t="s">
        <v>1238</v>
      </c>
      <c r="D233" t="s">
        <v>1239</v>
      </c>
      <c r="E233" t="s">
        <v>1235</v>
      </c>
      <c r="F233" t="s">
        <v>1024</v>
      </c>
    </row>
    <row r="234" spans="1:6" x14ac:dyDescent="0.3">
      <c r="A234" t="s">
        <v>1255</v>
      </c>
      <c r="B234" t="s">
        <v>1024</v>
      </c>
      <c r="C234" s="28" t="s">
        <v>1238</v>
      </c>
      <c r="D234" t="s">
        <v>1239</v>
      </c>
      <c r="E234" t="s">
        <v>1235</v>
      </c>
      <c r="F234" t="s">
        <v>1024</v>
      </c>
    </row>
    <row r="235" spans="1:6" x14ac:dyDescent="0.3">
      <c r="A235" t="s">
        <v>897</v>
      </c>
      <c r="B235" t="s">
        <v>1024</v>
      </c>
      <c r="C235" s="28" t="s">
        <v>1085</v>
      </c>
      <c r="D235" t="s">
        <v>19</v>
      </c>
      <c r="E235" t="s">
        <v>18</v>
      </c>
      <c r="F235" t="s">
        <v>1024</v>
      </c>
    </row>
    <row r="236" spans="1:6" x14ac:dyDescent="0.3">
      <c r="A236" t="s">
        <v>1256</v>
      </c>
      <c r="B236" t="s">
        <v>1027</v>
      </c>
      <c r="C236" s="28" t="s">
        <v>1039</v>
      </c>
      <c r="D236" t="s">
        <v>1031</v>
      </c>
      <c r="E236" t="s">
        <v>1070</v>
      </c>
      <c r="F236" t="s">
        <v>1027</v>
      </c>
    </row>
    <row r="237" spans="1:6" x14ac:dyDescent="0.3">
      <c r="A237" t="s">
        <v>1257</v>
      </c>
      <c r="B237" t="s">
        <v>1027</v>
      </c>
      <c r="C237" s="28" t="s">
        <v>1258</v>
      </c>
      <c r="D237" t="s">
        <v>1259</v>
      </c>
      <c r="E237" t="s">
        <v>1260</v>
      </c>
      <c r="F237" t="s">
        <v>1027</v>
      </c>
    </row>
    <row r="238" spans="1:6" x14ac:dyDescent="0.3">
      <c r="A238" t="s">
        <v>1261</v>
      </c>
      <c r="B238" t="s">
        <v>1027</v>
      </c>
      <c r="C238" s="28" t="s">
        <v>1196</v>
      </c>
      <c r="D238" t="s">
        <v>1197</v>
      </c>
      <c r="E238" t="s">
        <v>1262</v>
      </c>
      <c r="F238" t="s">
        <v>1027</v>
      </c>
    </row>
    <row r="239" spans="1:6" x14ac:dyDescent="0.3">
      <c r="A239" t="s">
        <v>1263</v>
      </c>
      <c r="B239" t="s">
        <v>1024</v>
      </c>
      <c r="C239" s="28" t="s">
        <v>1233</v>
      </c>
      <c r="D239" t="s">
        <v>1234</v>
      </c>
      <c r="E239" t="s">
        <v>1235</v>
      </c>
      <c r="F239" t="s">
        <v>1024</v>
      </c>
    </row>
    <row r="240" spans="1:6" x14ac:dyDescent="0.3">
      <c r="A240" t="s">
        <v>1264</v>
      </c>
      <c r="B240" t="s">
        <v>1024</v>
      </c>
      <c r="C240" s="28" t="s">
        <v>1233</v>
      </c>
      <c r="D240" t="s">
        <v>1234</v>
      </c>
      <c r="E240" t="s">
        <v>1235</v>
      </c>
      <c r="F240" t="s">
        <v>1024</v>
      </c>
    </row>
    <row r="241" spans="1:6" x14ac:dyDescent="0.3">
      <c r="A241" t="s">
        <v>1265</v>
      </c>
      <c r="B241" t="s">
        <v>1024</v>
      </c>
      <c r="C241" s="28" t="s">
        <v>1233</v>
      </c>
      <c r="D241" t="s">
        <v>1234</v>
      </c>
      <c r="E241" t="s">
        <v>1235</v>
      </c>
      <c r="F241" t="s">
        <v>1024</v>
      </c>
    </row>
    <row r="242" spans="1:6" x14ac:dyDescent="0.3">
      <c r="A242" t="s">
        <v>1266</v>
      </c>
      <c r="B242" t="s">
        <v>1027</v>
      </c>
      <c r="C242" s="28" t="s">
        <v>1078</v>
      </c>
      <c r="D242" t="s">
        <v>1079</v>
      </c>
      <c r="E242" t="s">
        <v>1267</v>
      </c>
      <c r="F242" t="s">
        <v>1027</v>
      </c>
    </row>
    <row r="243" spans="1:6" x14ac:dyDescent="0.3">
      <c r="A243" t="s">
        <v>1268</v>
      </c>
      <c r="B243" t="s">
        <v>1027</v>
      </c>
      <c r="C243" s="28" t="s">
        <v>1046</v>
      </c>
      <c r="D243" t="s">
        <v>1029</v>
      </c>
      <c r="E243" t="s">
        <v>44</v>
      </c>
      <c r="F243" t="s">
        <v>1027</v>
      </c>
    </row>
    <row r="244" spans="1:6" x14ac:dyDescent="0.3">
      <c r="A244" t="s">
        <v>1269</v>
      </c>
      <c r="B244" t="s">
        <v>1027</v>
      </c>
      <c r="C244" s="28" t="s">
        <v>1046</v>
      </c>
      <c r="D244" t="s">
        <v>1029</v>
      </c>
      <c r="E244" t="s">
        <v>1270</v>
      </c>
      <c r="F244" t="s">
        <v>1027</v>
      </c>
    </row>
    <row r="245" spans="1:6" x14ac:dyDescent="0.3">
      <c r="A245" t="s">
        <v>966</v>
      </c>
      <c r="B245" t="s">
        <v>1024</v>
      </c>
      <c r="C245" s="28" t="s">
        <v>1046</v>
      </c>
      <c r="D245" t="s">
        <v>9</v>
      </c>
      <c r="E245" t="s">
        <v>38</v>
      </c>
      <c r="F245" t="s">
        <v>1024</v>
      </c>
    </row>
    <row r="246" spans="1:6" x14ac:dyDescent="0.3">
      <c r="A246" t="s">
        <v>991</v>
      </c>
      <c r="B246" t="s">
        <v>1024</v>
      </c>
      <c r="C246" s="28" t="s">
        <v>1025</v>
      </c>
      <c r="D246" t="s">
        <v>23</v>
      </c>
      <c r="E246" t="s">
        <v>18</v>
      </c>
      <c r="F246" t="s">
        <v>1024</v>
      </c>
    </row>
    <row r="247" spans="1:6" x14ac:dyDescent="0.3">
      <c r="A247" t="s">
        <v>1271</v>
      </c>
      <c r="B247" t="s">
        <v>1027</v>
      </c>
      <c r="C247" s="28" t="s">
        <v>1272</v>
      </c>
      <c r="D247" t="s">
        <v>1079</v>
      </c>
      <c r="E247" t="s">
        <v>1080</v>
      </c>
      <c r="F247" t="s">
        <v>1027</v>
      </c>
    </row>
    <row r="248" spans="1:6" x14ac:dyDescent="0.3">
      <c r="A248" t="s">
        <v>1273</v>
      </c>
      <c r="B248" t="s">
        <v>1024</v>
      </c>
      <c r="C248" s="28" t="s">
        <v>1028</v>
      </c>
      <c r="D248" t="s">
        <v>1029</v>
      </c>
      <c r="E248" t="s">
        <v>39</v>
      </c>
      <c r="F248" t="s">
        <v>1024</v>
      </c>
    </row>
    <row r="249" spans="1:6" x14ac:dyDescent="0.3">
      <c r="A249" t="s">
        <v>959</v>
      </c>
      <c r="B249" t="s">
        <v>1027</v>
      </c>
      <c r="C249" s="28" t="s">
        <v>1046</v>
      </c>
      <c r="D249" t="s">
        <v>9</v>
      </c>
      <c r="E249" t="s">
        <v>1274</v>
      </c>
      <c r="F249" t="s">
        <v>1027</v>
      </c>
    </row>
    <row r="250" spans="1:6" x14ac:dyDescent="0.3">
      <c r="A250" t="s">
        <v>1275</v>
      </c>
      <c r="B250" t="s">
        <v>1027</v>
      </c>
      <c r="C250" s="28" t="s">
        <v>1129</v>
      </c>
      <c r="D250" t="s">
        <v>1122</v>
      </c>
      <c r="E250" t="s">
        <v>1037</v>
      </c>
      <c r="F250" t="s">
        <v>1027</v>
      </c>
    </row>
    <row r="251" spans="1:6" x14ac:dyDescent="0.3">
      <c r="A251" t="s">
        <v>1276</v>
      </c>
      <c r="B251" t="s">
        <v>1027</v>
      </c>
      <c r="C251" s="28" t="s">
        <v>1039</v>
      </c>
      <c r="D251" t="s">
        <v>19</v>
      </c>
      <c r="E251" t="s">
        <v>44</v>
      </c>
      <c r="F251" t="s">
        <v>1027</v>
      </c>
    </row>
    <row r="252" spans="1:6" x14ac:dyDescent="0.3">
      <c r="A252" t="s">
        <v>939</v>
      </c>
      <c r="B252" t="s">
        <v>1027</v>
      </c>
      <c r="C252" s="28" t="s">
        <v>1277</v>
      </c>
      <c r="D252" t="s">
        <v>1259</v>
      </c>
      <c r="E252" t="s">
        <v>1278</v>
      </c>
      <c r="F252" t="s">
        <v>1027</v>
      </c>
    </row>
    <row r="253" spans="1:6" x14ac:dyDescent="0.3">
      <c r="A253" t="s">
        <v>1279</v>
      </c>
      <c r="B253" t="s">
        <v>1024</v>
      </c>
      <c r="C253" s="28" t="s">
        <v>1025</v>
      </c>
      <c r="D253" t="s">
        <v>23</v>
      </c>
      <c r="E253" t="s">
        <v>22</v>
      </c>
      <c r="F253" t="s">
        <v>1024</v>
      </c>
    </row>
    <row r="254" spans="1:6" x14ac:dyDescent="0.3">
      <c r="A254" t="s">
        <v>1019</v>
      </c>
      <c r="B254" t="s">
        <v>1027</v>
      </c>
      <c r="C254" s="28" t="s">
        <v>1030</v>
      </c>
      <c r="D254" t="s">
        <v>1031</v>
      </c>
      <c r="E254" t="s">
        <v>1280</v>
      </c>
      <c r="F254" t="s">
        <v>1027</v>
      </c>
    </row>
    <row r="255" spans="1:6" x14ac:dyDescent="0.3">
      <c r="A255" s="30" t="s">
        <v>913</v>
      </c>
      <c r="B255" t="s">
        <v>1024</v>
      </c>
      <c r="C255" s="28" t="s">
        <v>1025</v>
      </c>
      <c r="D255" t="s">
        <v>23</v>
      </c>
      <c r="E255" t="s">
        <v>39</v>
      </c>
      <c r="F255" t="s">
        <v>1024</v>
      </c>
    </row>
    <row r="256" spans="1:6" x14ac:dyDescent="0.3">
      <c r="A256" t="s">
        <v>919</v>
      </c>
      <c r="B256" t="s">
        <v>1027</v>
      </c>
      <c r="C256" s="28" t="s">
        <v>1095</v>
      </c>
      <c r="D256" t="s">
        <v>1079</v>
      </c>
      <c r="E256" t="s">
        <v>1281</v>
      </c>
      <c r="F256" t="s">
        <v>1027</v>
      </c>
    </row>
    <row r="257" spans="1:6" x14ac:dyDescent="0.3">
      <c r="A257" t="s">
        <v>920</v>
      </c>
      <c r="B257" t="s">
        <v>1024</v>
      </c>
      <c r="C257" s="28" t="s">
        <v>1030</v>
      </c>
      <c r="D257" t="s">
        <v>1031</v>
      </c>
      <c r="E257" t="s">
        <v>39</v>
      </c>
      <c r="F257" t="s">
        <v>1024</v>
      </c>
    </row>
    <row r="258" spans="1:6" x14ac:dyDescent="0.3">
      <c r="A258" s="30" t="s">
        <v>921</v>
      </c>
      <c r="B258" t="s">
        <v>1024</v>
      </c>
      <c r="C258" s="28" t="s">
        <v>1025</v>
      </c>
      <c r="D258" t="s">
        <v>23</v>
      </c>
      <c r="E258" t="s">
        <v>18</v>
      </c>
      <c r="F258" t="s">
        <v>1024</v>
      </c>
    </row>
    <row r="259" spans="1:6" x14ac:dyDescent="0.3">
      <c r="A259" t="s">
        <v>930</v>
      </c>
      <c r="B259" t="s">
        <v>1027</v>
      </c>
      <c r="C259" s="28" t="s">
        <v>1177</v>
      </c>
      <c r="D259" t="s">
        <v>1178</v>
      </c>
      <c r="E259" t="s">
        <v>1087</v>
      </c>
      <c r="F259" t="s">
        <v>1027</v>
      </c>
    </row>
    <row r="260" spans="1:6" x14ac:dyDescent="0.3">
      <c r="A260" t="s">
        <v>929</v>
      </c>
      <c r="B260" t="s">
        <v>1024</v>
      </c>
      <c r="C260" s="28" t="s">
        <v>1025</v>
      </c>
      <c r="D260" t="s">
        <v>23</v>
      </c>
      <c r="E260" t="s">
        <v>43</v>
      </c>
      <c r="F260" t="s">
        <v>1024</v>
      </c>
    </row>
    <row r="261" spans="1:6" x14ac:dyDescent="0.3">
      <c r="A261" t="s">
        <v>935</v>
      </c>
      <c r="B261" t="s">
        <v>1024</v>
      </c>
      <c r="C261" s="28" t="s">
        <v>1025</v>
      </c>
      <c r="D261" t="s">
        <v>23</v>
      </c>
      <c r="E261" t="s">
        <v>18</v>
      </c>
      <c r="F261" t="s">
        <v>1024</v>
      </c>
    </row>
    <row r="262" spans="1:6" x14ac:dyDescent="0.3">
      <c r="A262" t="s">
        <v>946</v>
      </c>
      <c r="B262" t="s">
        <v>1024</v>
      </c>
      <c r="C262" s="28" t="s">
        <v>1277</v>
      </c>
      <c r="D262" t="s">
        <v>1259</v>
      </c>
      <c r="E262" t="s">
        <v>1041</v>
      </c>
      <c r="F262" t="s">
        <v>1330</v>
      </c>
    </row>
    <row r="263" spans="1:6" x14ac:dyDescent="0.3">
      <c r="A263" t="s">
        <v>927</v>
      </c>
      <c r="B263" t="s">
        <v>1024</v>
      </c>
      <c r="C263" s="28" t="s">
        <v>1025</v>
      </c>
      <c r="D263" t="s">
        <v>23</v>
      </c>
      <c r="E263" t="s">
        <v>39</v>
      </c>
      <c r="F263" t="s">
        <v>1024</v>
      </c>
    </row>
    <row r="264" spans="1:6" x14ac:dyDescent="0.3">
      <c r="A264" t="s">
        <v>970</v>
      </c>
      <c r="B264" t="s">
        <v>1027</v>
      </c>
      <c r="C264" s="28" t="s">
        <v>1129</v>
      </c>
      <c r="D264" t="s">
        <v>19</v>
      </c>
      <c r="E264" t="s">
        <v>47</v>
      </c>
      <c r="F264" t="s">
        <v>1027</v>
      </c>
    </row>
    <row r="265" spans="1:6" x14ac:dyDescent="0.3">
      <c r="A265" t="s">
        <v>964</v>
      </c>
      <c r="B265" t="s">
        <v>1027</v>
      </c>
      <c r="C265" s="28" t="s">
        <v>1057</v>
      </c>
      <c r="D265" t="s">
        <v>1031</v>
      </c>
      <c r="E265" t="s">
        <v>47</v>
      </c>
      <c r="F265" t="s">
        <v>1027</v>
      </c>
    </row>
    <row r="266" spans="1:6" x14ac:dyDescent="0.3">
      <c r="A266" t="s">
        <v>960</v>
      </c>
      <c r="B266" t="s">
        <v>1027</v>
      </c>
      <c r="C266" s="28" t="s">
        <v>1057</v>
      </c>
      <c r="D266" t="s">
        <v>1031</v>
      </c>
      <c r="E266" t="s">
        <v>41</v>
      </c>
      <c r="F266" t="s">
        <v>1027</v>
      </c>
    </row>
    <row r="267" spans="1:6" x14ac:dyDescent="0.3">
      <c r="A267" t="s">
        <v>973</v>
      </c>
      <c r="B267" t="s">
        <v>1024</v>
      </c>
      <c r="C267" s="28" t="s">
        <v>1057</v>
      </c>
      <c r="D267" t="s">
        <v>19</v>
      </c>
      <c r="E267" t="s">
        <v>39</v>
      </c>
      <c r="F267" t="s">
        <v>1024</v>
      </c>
    </row>
    <row r="268" spans="1:6" x14ac:dyDescent="0.3">
      <c r="A268" t="s">
        <v>969</v>
      </c>
      <c r="B268" t="s">
        <v>1024</v>
      </c>
      <c r="C268" s="28" t="s">
        <v>1282</v>
      </c>
      <c r="D268" t="s">
        <v>1224</v>
      </c>
      <c r="E268" t="s">
        <v>1283</v>
      </c>
      <c r="F268" t="s">
        <v>1024</v>
      </c>
    </row>
    <row r="269" spans="1:6" x14ac:dyDescent="0.3">
      <c r="A269" t="s">
        <v>963</v>
      </c>
      <c r="B269" t="s">
        <v>1024</v>
      </c>
      <c r="C269" s="28" t="s">
        <v>1282</v>
      </c>
      <c r="D269" t="s">
        <v>1224</v>
      </c>
      <c r="E269" t="s">
        <v>1283</v>
      </c>
      <c r="F269" t="s">
        <v>1024</v>
      </c>
    </row>
    <row r="270" spans="1:6" x14ac:dyDescent="0.3">
      <c r="A270" t="s">
        <v>961</v>
      </c>
      <c r="B270" t="s">
        <v>1024</v>
      </c>
      <c r="C270" s="28" t="s">
        <v>1046</v>
      </c>
      <c r="D270" t="s">
        <v>9</v>
      </c>
      <c r="E270" t="s">
        <v>39</v>
      </c>
      <c r="F270" t="s">
        <v>1024</v>
      </c>
    </row>
    <row r="271" spans="1:6" x14ac:dyDescent="0.3">
      <c r="A271" t="s">
        <v>965</v>
      </c>
      <c r="B271" t="s">
        <v>1024</v>
      </c>
      <c r="C271" s="28" t="s">
        <v>1180</v>
      </c>
      <c r="D271" t="s">
        <v>1079</v>
      </c>
      <c r="E271" t="s">
        <v>39</v>
      </c>
      <c r="F271" t="s">
        <v>1024</v>
      </c>
    </row>
    <row r="272" spans="1:6" x14ac:dyDescent="0.3">
      <c r="A272" t="s">
        <v>972</v>
      </c>
      <c r="B272" t="s">
        <v>1024</v>
      </c>
      <c r="C272" s="28" t="s">
        <v>1284</v>
      </c>
      <c r="D272" t="s">
        <v>1259</v>
      </c>
      <c r="E272" t="s">
        <v>1283</v>
      </c>
      <c r="F272" t="s">
        <v>1024</v>
      </c>
    </row>
    <row r="273" spans="1:6" x14ac:dyDescent="0.3">
      <c r="A273" t="s">
        <v>980</v>
      </c>
      <c r="B273" t="s">
        <v>1027</v>
      </c>
      <c r="C273" s="28" t="s">
        <v>1089</v>
      </c>
      <c r="D273" t="s">
        <v>1090</v>
      </c>
      <c r="E273" t="s">
        <v>1285</v>
      </c>
      <c r="F273" t="s">
        <v>1027</v>
      </c>
    </row>
    <row r="274" spans="1:6" x14ac:dyDescent="0.3">
      <c r="A274" t="s">
        <v>987</v>
      </c>
      <c r="B274" t="s">
        <v>1027</v>
      </c>
      <c r="C274" s="28" t="s">
        <v>1025</v>
      </c>
      <c r="D274" t="s">
        <v>23</v>
      </c>
      <c r="E274" t="s">
        <v>1286</v>
      </c>
      <c r="F274" t="s">
        <v>1027</v>
      </c>
    </row>
    <row r="275" spans="1:6" x14ac:dyDescent="0.3">
      <c r="A275" t="s">
        <v>990</v>
      </c>
      <c r="B275" t="s">
        <v>1024</v>
      </c>
      <c r="C275" s="28" t="s">
        <v>1025</v>
      </c>
      <c r="D275" t="s">
        <v>23</v>
      </c>
      <c r="E275" t="s">
        <v>22</v>
      </c>
      <c r="F275" t="s">
        <v>1024</v>
      </c>
    </row>
    <row r="276" spans="1:6" x14ac:dyDescent="0.3">
      <c r="A276" t="s">
        <v>1006</v>
      </c>
      <c r="B276" t="s">
        <v>1027</v>
      </c>
      <c r="C276" s="28" t="s">
        <v>1177</v>
      </c>
      <c r="D276" t="s">
        <v>1178</v>
      </c>
      <c r="E276" t="s">
        <v>1287</v>
      </c>
      <c r="F276" t="s">
        <v>1027</v>
      </c>
    </row>
    <row r="277" spans="1:6" x14ac:dyDescent="0.3">
      <c r="A277" t="s">
        <v>996</v>
      </c>
      <c r="B277" t="s">
        <v>1024</v>
      </c>
      <c r="C277" s="28" t="s">
        <v>1238</v>
      </c>
      <c r="D277" t="s">
        <v>1239</v>
      </c>
      <c r="E277" t="s">
        <v>1235</v>
      </c>
      <c r="F277" t="s">
        <v>1024</v>
      </c>
    </row>
    <row r="278" spans="1:6" x14ac:dyDescent="0.3">
      <c r="A278" t="s">
        <v>995</v>
      </c>
      <c r="B278" t="s">
        <v>1024</v>
      </c>
      <c r="C278" s="28" t="s">
        <v>1238</v>
      </c>
      <c r="D278" t="s">
        <v>1239</v>
      </c>
      <c r="E278" t="s">
        <v>1235</v>
      </c>
      <c r="F278" t="s">
        <v>1024</v>
      </c>
    </row>
    <row r="279" spans="1:6" x14ac:dyDescent="0.3">
      <c r="A279" t="s">
        <v>993</v>
      </c>
      <c r="B279" t="s">
        <v>1024</v>
      </c>
      <c r="C279" s="28" t="s">
        <v>1085</v>
      </c>
      <c r="D279" t="s">
        <v>19</v>
      </c>
      <c r="E279" t="s">
        <v>43</v>
      </c>
      <c r="F279" t="s">
        <v>1024</v>
      </c>
    </row>
    <row r="280" spans="1:6" x14ac:dyDescent="0.3">
      <c r="A280" t="s">
        <v>1003</v>
      </c>
      <c r="B280" t="s">
        <v>1024</v>
      </c>
      <c r="C280" s="28" t="s">
        <v>1025</v>
      </c>
      <c r="D280" t="s">
        <v>23</v>
      </c>
      <c r="E280" t="s">
        <v>43</v>
      </c>
      <c r="F280" t="s">
        <v>1024</v>
      </c>
    </row>
    <row r="281" spans="1:6" x14ac:dyDescent="0.3">
      <c r="A281" s="30" t="s">
        <v>998</v>
      </c>
      <c r="B281" t="s">
        <v>1027</v>
      </c>
      <c r="C281" s="28" t="s">
        <v>1046</v>
      </c>
      <c r="D281" t="s">
        <v>9</v>
      </c>
      <c r="E281" t="s">
        <v>1288</v>
      </c>
      <c r="F281" t="s">
        <v>1027</v>
      </c>
    </row>
    <row r="282" spans="1:6" x14ac:dyDescent="0.3">
      <c r="A282" t="s">
        <v>1000</v>
      </c>
      <c r="B282" t="s">
        <v>1024</v>
      </c>
      <c r="C282" s="28" t="s">
        <v>1046</v>
      </c>
      <c r="D282" t="s">
        <v>1107</v>
      </c>
      <c r="E282" t="s">
        <v>43</v>
      </c>
      <c r="F282" t="s">
        <v>1024</v>
      </c>
    </row>
    <row r="283" spans="1:6" x14ac:dyDescent="0.3">
      <c r="A283" t="s">
        <v>994</v>
      </c>
      <c r="B283" t="s">
        <v>1027</v>
      </c>
      <c r="C283" s="28" t="s">
        <v>1289</v>
      </c>
      <c r="D283" t="s">
        <v>1290</v>
      </c>
      <c r="E283" t="s">
        <v>1291</v>
      </c>
      <c r="F283" t="s">
        <v>1027</v>
      </c>
    </row>
    <row r="284" spans="1:6" x14ac:dyDescent="0.3">
      <c r="A284" t="s">
        <v>1012</v>
      </c>
      <c r="B284" t="s">
        <v>1024</v>
      </c>
      <c r="C284" s="28" t="s">
        <v>1085</v>
      </c>
      <c r="D284" t="s">
        <v>19</v>
      </c>
      <c r="E284" t="s">
        <v>43</v>
      </c>
      <c r="F284" t="s">
        <v>1024</v>
      </c>
    </row>
    <row r="285" spans="1:6" x14ac:dyDescent="0.3">
      <c r="A285" t="s">
        <v>962</v>
      </c>
      <c r="B285" t="s">
        <v>1024</v>
      </c>
      <c r="C285" s="28" t="s">
        <v>1025</v>
      </c>
      <c r="D285" t="s">
        <v>23</v>
      </c>
      <c r="E285" t="s">
        <v>18</v>
      </c>
      <c r="F285" t="s">
        <v>1024</v>
      </c>
    </row>
    <row r="286" spans="1:6" x14ac:dyDescent="0.3">
      <c r="A286" t="s">
        <v>999</v>
      </c>
      <c r="B286" t="s">
        <v>1027</v>
      </c>
      <c r="C286" s="28" t="s">
        <v>1078</v>
      </c>
      <c r="D286" t="s">
        <v>1079</v>
      </c>
      <c r="E286" t="s">
        <v>1135</v>
      </c>
      <c r="F286" t="s">
        <v>1027</v>
      </c>
    </row>
    <row r="287" spans="1:6" x14ac:dyDescent="0.3">
      <c r="A287" t="s">
        <v>1009</v>
      </c>
      <c r="B287" t="s">
        <v>1024</v>
      </c>
      <c r="C287" s="28" t="s">
        <v>1129</v>
      </c>
      <c r="D287" t="s">
        <v>19</v>
      </c>
      <c r="E287" t="s">
        <v>18</v>
      </c>
      <c r="F287" t="s">
        <v>1024</v>
      </c>
    </row>
    <row r="288" spans="1:6" x14ac:dyDescent="0.3">
      <c r="A288" t="s">
        <v>1010</v>
      </c>
      <c r="B288" t="s">
        <v>1027</v>
      </c>
      <c r="C288" s="28" t="s">
        <v>1196</v>
      </c>
      <c r="D288" t="s">
        <v>1197</v>
      </c>
      <c r="E288" t="s">
        <v>1041</v>
      </c>
      <c r="F288" t="s">
        <v>1330</v>
      </c>
    </row>
    <row r="289" spans="1:6" x14ac:dyDescent="0.3">
      <c r="A289" t="s">
        <v>1011</v>
      </c>
      <c r="B289" t="s">
        <v>1024</v>
      </c>
      <c r="C289" s="28" t="s">
        <v>1238</v>
      </c>
      <c r="D289" t="s">
        <v>1292</v>
      </c>
      <c r="E289" t="s">
        <v>1041</v>
      </c>
      <c r="F289" t="s">
        <v>1330</v>
      </c>
    </row>
    <row r="290" spans="1:6" x14ac:dyDescent="0.3">
      <c r="A290" t="s">
        <v>1014</v>
      </c>
      <c r="B290" t="s">
        <v>1027</v>
      </c>
      <c r="C290" s="28" t="s">
        <v>1046</v>
      </c>
      <c r="D290" t="s">
        <v>9</v>
      </c>
      <c r="E290" t="s">
        <v>44</v>
      </c>
      <c r="F290" t="s">
        <v>1027</v>
      </c>
    </row>
    <row r="291" spans="1:6" x14ac:dyDescent="0.3">
      <c r="A291" t="s">
        <v>1015</v>
      </c>
      <c r="B291" t="s">
        <v>1024</v>
      </c>
      <c r="C291" s="28" t="s">
        <v>1025</v>
      </c>
      <c r="D291" t="s">
        <v>23</v>
      </c>
      <c r="E291" t="s">
        <v>22</v>
      </c>
      <c r="F291" t="s">
        <v>1024</v>
      </c>
    </row>
    <row r="292" spans="1:6" x14ac:dyDescent="0.3">
      <c r="A292" t="s">
        <v>1541</v>
      </c>
      <c r="B292" t="s">
        <v>1024</v>
      </c>
      <c r="C292" s="28" t="s">
        <v>1025</v>
      </c>
      <c r="D292" t="s">
        <v>23</v>
      </c>
      <c r="E292" t="s">
        <v>22</v>
      </c>
      <c r="F292" t="s">
        <v>1024</v>
      </c>
    </row>
    <row r="293" spans="1:6" x14ac:dyDescent="0.3">
      <c r="A293" t="s">
        <v>1539</v>
      </c>
      <c r="B293" t="s">
        <v>1024</v>
      </c>
      <c r="C293" t="s">
        <v>1085</v>
      </c>
      <c r="D293" t="s">
        <v>19</v>
      </c>
      <c r="E293" t="s">
        <v>43</v>
      </c>
      <c r="F293" t="s">
        <v>1024</v>
      </c>
    </row>
    <row r="294" spans="1:6" x14ac:dyDescent="0.3">
      <c r="A294" t="s">
        <v>1540</v>
      </c>
      <c r="B294" t="s">
        <v>1024</v>
      </c>
      <c r="C294" t="s">
        <v>1085</v>
      </c>
      <c r="D294" t="s">
        <v>19</v>
      </c>
      <c r="E294" t="s">
        <v>43</v>
      </c>
      <c r="F294" t="s">
        <v>1024</v>
      </c>
    </row>
    <row r="295" spans="1:6" x14ac:dyDescent="0.3">
      <c r="A295" t="s">
        <v>1544</v>
      </c>
      <c r="B295" t="s">
        <v>1024</v>
      </c>
      <c r="C295" t="s">
        <v>1085</v>
      </c>
      <c r="D295" t="s">
        <v>19</v>
      </c>
      <c r="E295" t="s">
        <v>1026</v>
      </c>
      <c r="F295" t="s">
        <v>1024</v>
      </c>
    </row>
    <row r="296" spans="1:6" x14ac:dyDescent="0.3">
      <c r="A296" t="s">
        <v>1599</v>
      </c>
      <c r="B296" t="s">
        <v>1027</v>
      </c>
      <c r="C296" s="28" t="s">
        <v>1078</v>
      </c>
      <c r="D296" t="s">
        <v>1079</v>
      </c>
      <c r="E296" t="s">
        <v>1092</v>
      </c>
      <c r="F296" t="s">
        <v>1027</v>
      </c>
    </row>
    <row r="297" spans="1:6" x14ac:dyDescent="0.3">
      <c r="A297" t="s">
        <v>1538</v>
      </c>
      <c r="B297" t="s">
        <v>1024</v>
      </c>
      <c r="C297" t="s">
        <v>1046</v>
      </c>
      <c r="D297" t="s">
        <v>1636</v>
      </c>
      <c r="E297" t="s">
        <v>18</v>
      </c>
      <c r="F297" t="s">
        <v>1024</v>
      </c>
    </row>
    <row r="298" spans="1:6" x14ac:dyDescent="0.3">
      <c r="A298" t="s">
        <v>1545</v>
      </c>
      <c r="B298" t="s">
        <v>1027</v>
      </c>
      <c r="C298" s="28" t="s">
        <v>1078</v>
      </c>
      <c r="D298" t="s">
        <v>1079</v>
      </c>
      <c r="E298" t="s">
        <v>1642</v>
      </c>
      <c r="F298" t="s">
        <v>1027</v>
      </c>
    </row>
    <row r="299" spans="1:6" x14ac:dyDescent="0.3">
      <c r="A299" t="s">
        <v>1545</v>
      </c>
      <c r="B299" t="s">
        <v>1027</v>
      </c>
      <c r="C299" s="28" t="s">
        <v>1078</v>
      </c>
      <c r="D299" t="s">
        <v>1079</v>
      </c>
      <c r="E299" t="s">
        <v>1642</v>
      </c>
      <c r="F299" t="s">
        <v>1027</v>
      </c>
    </row>
    <row r="300" spans="1:6" x14ac:dyDescent="0.3">
      <c r="A300" t="s">
        <v>1597</v>
      </c>
      <c r="B300" t="s">
        <v>1027</v>
      </c>
      <c r="C300" t="s">
        <v>1637</v>
      </c>
      <c r="D300" t="s">
        <v>1638</v>
      </c>
      <c r="E300" t="s">
        <v>1639</v>
      </c>
      <c r="F300" t="s">
        <v>1027</v>
      </c>
    </row>
    <row r="301" spans="1:6" x14ac:dyDescent="0.3">
      <c r="A301" t="s">
        <v>1542</v>
      </c>
      <c r="B301" t="s">
        <v>1027</v>
      </c>
      <c r="C301" t="s">
        <v>1030</v>
      </c>
      <c r="D301" t="s">
        <v>1031</v>
      </c>
      <c r="E301" t="s">
        <v>1051</v>
      </c>
      <c r="F301" t="s">
        <v>1027</v>
      </c>
    </row>
    <row r="302" spans="1:6" x14ac:dyDescent="0.3">
      <c r="A302" t="s">
        <v>1598</v>
      </c>
      <c r="B302" t="s">
        <v>1024</v>
      </c>
      <c r="C302" t="s">
        <v>1284</v>
      </c>
      <c r="D302" t="s">
        <v>1259</v>
      </c>
      <c r="E302" t="s">
        <v>1283</v>
      </c>
      <c r="F302" t="s">
        <v>1024</v>
      </c>
    </row>
    <row r="303" spans="1:6" x14ac:dyDescent="0.3">
      <c r="A303" t="s">
        <v>1543</v>
      </c>
      <c r="B303" t="s">
        <v>1027</v>
      </c>
      <c r="C303" t="s">
        <v>1640</v>
      </c>
      <c r="D303" t="s">
        <v>1178</v>
      </c>
      <c r="E303" t="s">
        <v>1641</v>
      </c>
      <c r="F303" t="s">
        <v>1027</v>
      </c>
    </row>
    <row r="304" spans="1:6" x14ac:dyDescent="0.3">
      <c r="A304" t="s">
        <v>1672</v>
      </c>
      <c r="B304" t="s">
        <v>1027</v>
      </c>
      <c r="C304" s="28" t="s">
        <v>1680</v>
      </c>
      <c r="E304" t="s">
        <v>1683</v>
      </c>
      <c r="F304" t="s">
        <v>1027</v>
      </c>
    </row>
    <row r="305" spans="1:6" x14ac:dyDescent="0.3">
      <c r="A305" t="s">
        <v>1673</v>
      </c>
      <c r="B305" t="s">
        <v>1027</v>
      </c>
      <c r="C305" s="28" t="s">
        <v>1681</v>
      </c>
      <c r="E305" t="s">
        <v>1683</v>
      </c>
      <c r="F305" t="s">
        <v>1027</v>
      </c>
    </row>
    <row r="306" spans="1:6" x14ac:dyDescent="0.3">
      <c r="A306" t="s">
        <v>1674</v>
      </c>
      <c r="B306" t="s">
        <v>1027</v>
      </c>
      <c r="C306" s="28" t="s">
        <v>1682</v>
      </c>
      <c r="E306" t="s">
        <v>1684</v>
      </c>
      <c r="F306" t="s">
        <v>1027</v>
      </c>
    </row>
  </sheetData>
  <autoFilter ref="A1:F1" xr:uid="{BE421AB4-C6DB-4EEB-B01A-C86E2450B62A}"/>
  <conditionalFormatting sqref="A1:A283">
    <cfRule type="duplicateValues" dxfId="15" priority="5"/>
    <cfRule type="duplicateValues" dxfId="14" priority="6"/>
  </conditionalFormatting>
  <conditionalFormatting sqref="A284">
    <cfRule type="duplicateValues" dxfId="13" priority="3"/>
    <cfRule type="duplicateValues" dxfId="12" priority="4"/>
  </conditionalFormatting>
  <conditionalFormatting sqref="A285:A291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937D-46A5-48D0-BAE4-80C815614E41}">
  <dimension ref="A1:M78"/>
  <sheetViews>
    <sheetView workbookViewId="0">
      <selection activeCell="A2" sqref="A2"/>
    </sheetView>
  </sheetViews>
  <sheetFormatPr defaultRowHeight="14.4" x14ac:dyDescent="0.3"/>
  <cols>
    <col min="1" max="1" width="50.44140625" bestFit="1" customWidth="1"/>
    <col min="2" max="3" width="12.33203125" bestFit="1" customWidth="1"/>
    <col min="4" max="4" width="9.77734375" bestFit="1" customWidth="1"/>
    <col min="5" max="6" width="8.77734375" customWidth="1"/>
    <col min="7" max="7" width="9.77734375" bestFit="1" customWidth="1"/>
    <col min="8" max="13" width="8.77734375" customWidth="1"/>
  </cols>
  <sheetData>
    <row r="1" spans="1:13" x14ac:dyDescent="0.3">
      <c r="B1" s="4">
        <f>SUBTOTAL(9, B3:B1048576)</f>
        <v>1327852</v>
      </c>
      <c r="C1" s="4">
        <f t="shared" ref="C1:H1" si="0">SUBTOTAL(9, C3:C1048576)</f>
        <v>1443689</v>
      </c>
      <c r="D1" s="4">
        <f t="shared" si="0"/>
        <v>1234725</v>
      </c>
      <c r="E1" s="4">
        <f t="shared" si="0"/>
        <v>972325</v>
      </c>
      <c r="F1" s="4">
        <f t="shared" si="0"/>
        <v>953000</v>
      </c>
      <c r="G1" s="4">
        <f t="shared" si="0"/>
        <v>1220800</v>
      </c>
      <c r="H1" s="4">
        <f t="shared" si="0"/>
        <v>978875</v>
      </c>
    </row>
    <row r="2" spans="1:13" x14ac:dyDescent="0.3">
      <c r="A2" s="10" t="s">
        <v>1348</v>
      </c>
      <c r="B2" s="46">
        <v>45748</v>
      </c>
      <c r="C2" s="46">
        <v>45778</v>
      </c>
      <c r="D2" s="46">
        <v>45809</v>
      </c>
      <c r="E2" s="46">
        <v>45839</v>
      </c>
      <c r="F2" s="46">
        <v>45870</v>
      </c>
      <c r="G2" s="46">
        <v>45901</v>
      </c>
      <c r="H2" s="46">
        <v>45931</v>
      </c>
      <c r="I2" s="46">
        <v>45962</v>
      </c>
      <c r="J2" s="46">
        <v>45992</v>
      </c>
      <c r="K2" s="46">
        <v>46023</v>
      </c>
      <c r="L2" s="46">
        <v>46054</v>
      </c>
      <c r="M2" s="46">
        <v>46082</v>
      </c>
    </row>
    <row r="3" spans="1:13" x14ac:dyDescent="0.3">
      <c r="A3" t="s">
        <v>824</v>
      </c>
      <c r="B3" s="4">
        <v>87525</v>
      </c>
      <c r="C3" s="4">
        <v>94325</v>
      </c>
      <c r="D3" s="4">
        <v>60625</v>
      </c>
      <c r="E3" s="4">
        <v>31400</v>
      </c>
      <c r="F3" s="4">
        <v>25175</v>
      </c>
      <c r="G3" s="4">
        <v>55425</v>
      </c>
      <c r="H3" s="4">
        <v>28775</v>
      </c>
    </row>
    <row r="4" spans="1:13" x14ac:dyDescent="0.3">
      <c r="A4" t="s">
        <v>825</v>
      </c>
      <c r="B4" s="4">
        <v>78000</v>
      </c>
      <c r="C4" s="4">
        <v>36000</v>
      </c>
      <c r="D4" s="4">
        <v>2100</v>
      </c>
      <c r="E4" s="4">
        <v>21000</v>
      </c>
      <c r="F4" s="4">
        <v>10000</v>
      </c>
      <c r="G4" s="4">
        <v>12000</v>
      </c>
      <c r="H4" s="4">
        <v>0</v>
      </c>
    </row>
    <row r="5" spans="1:13" x14ac:dyDescent="0.3">
      <c r="A5" t="s">
        <v>826</v>
      </c>
      <c r="B5" s="4">
        <v>70100</v>
      </c>
      <c r="C5" s="4">
        <v>25000</v>
      </c>
      <c r="D5" s="4">
        <v>0</v>
      </c>
      <c r="E5" s="4">
        <v>0</v>
      </c>
      <c r="F5" s="4">
        <v>105000</v>
      </c>
      <c r="G5" s="4">
        <v>25000</v>
      </c>
      <c r="H5" s="4">
        <v>25000</v>
      </c>
    </row>
    <row r="6" spans="1:13" x14ac:dyDescent="0.3">
      <c r="A6" t="s">
        <v>827</v>
      </c>
      <c r="B6" s="4">
        <v>114250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13" x14ac:dyDescent="0.3">
      <c r="A7" t="s">
        <v>828</v>
      </c>
      <c r="B7" s="4">
        <v>20500</v>
      </c>
      <c r="C7" s="4">
        <v>0</v>
      </c>
      <c r="D7" s="4">
        <v>500</v>
      </c>
      <c r="E7" s="4">
        <v>0</v>
      </c>
      <c r="F7" s="4">
        <v>7000</v>
      </c>
      <c r="G7" s="4">
        <v>10500</v>
      </c>
      <c r="H7" s="4">
        <v>0</v>
      </c>
    </row>
    <row r="8" spans="1:13" x14ac:dyDescent="0.3">
      <c r="A8" t="s">
        <v>48</v>
      </c>
      <c r="B8" s="4">
        <v>25600</v>
      </c>
      <c r="C8" s="4">
        <v>166550</v>
      </c>
      <c r="D8" s="4">
        <v>108750</v>
      </c>
      <c r="E8" s="4">
        <v>158250</v>
      </c>
      <c r="F8" s="4">
        <v>150000</v>
      </c>
      <c r="G8" s="4">
        <v>173825</v>
      </c>
      <c r="H8" s="4">
        <v>220750</v>
      </c>
    </row>
    <row r="9" spans="1:13" x14ac:dyDescent="0.3">
      <c r="A9" t="s">
        <v>829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13" x14ac:dyDescent="0.3">
      <c r="A10" t="s">
        <v>830</v>
      </c>
      <c r="B10" s="4">
        <v>54750</v>
      </c>
      <c r="C10" s="4">
        <v>10000</v>
      </c>
      <c r="D10" s="4">
        <v>17000</v>
      </c>
      <c r="E10" s="4">
        <v>47200</v>
      </c>
      <c r="F10" s="4">
        <v>0</v>
      </c>
      <c r="G10" s="4">
        <v>10000</v>
      </c>
      <c r="H10" s="4">
        <v>0</v>
      </c>
    </row>
    <row r="11" spans="1:13" x14ac:dyDescent="0.3">
      <c r="A11" t="s">
        <v>831</v>
      </c>
      <c r="B11" s="4">
        <v>24750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13" x14ac:dyDescent="0.3">
      <c r="A12" t="s">
        <v>832</v>
      </c>
      <c r="B12" s="4">
        <v>37000</v>
      </c>
      <c r="C12" s="4">
        <v>0</v>
      </c>
      <c r="D12" s="4">
        <v>12000</v>
      </c>
      <c r="E12" s="4">
        <v>0</v>
      </c>
      <c r="F12" s="4">
        <v>0</v>
      </c>
      <c r="G12" s="4">
        <v>0</v>
      </c>
      <c r="H12" s="4">
        <v>0</v>
      </c>
    </row>
    <row r="13" spans="1:13" x14ac:dyDescent="0.3">
      <c r="A13" t="s">
        <v>833</v>
      </c>
      <c r="B13" s="4">
        <v>10000</v>
      </c>
      <c r="C13" s="4">
        <v>20000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13" x14ac:dyDescent="0.3">
      <c r="A14" t="s">
        <v>834</v>
      </c>
      <c r="B14" s="4">
        <v>40000</v>
      </c>
      <c r="C14" s="4">
        <v>14000</v>
      </c>
      <c r="D14" s="4">
        <v>0</v>
      </c>
      <c r="E14" s="4">
        <v>0</v>
      </c>
      <c r="F14" s="4">
        <v>0</v>
      </c>
      <c r="G14" s="4">
        <v>0</v>
      </c>
      <c r="H14" s="4">
        <v>17000</v>
      </c>
    </row>
    <row r="15" spans="1:13" x14ac:dyDescent="0.3">
      <c r="A15" t="s">
        <v>835</v>
      </c>
      <c r="B15" s="4">
        <v>6000</v>
      </c>
      <c r="C15" s="4">
        <v>25500</v>
      </c>
      <c r="D15" s="4">
        <v>25500</v>
      </c>
      <c r="E15" s="4">
        <v>0</v>
      </c>
      <c r="F15" s="4">
        <v>0</v>
      </c>
      <c r="G15" s="4">
        <v>5000</v>
      </c>
      <c r="H15" s="4">
        <v>0</v>
      </c>
    </row>
    <row r="16" spans="1:13" x14ac:dyDescent="0.3">
      <c r="A16" t="s">
        <v>836</v>
      </c>
      <c r="B16" s="4">
        <v>82000</v>
      </c>
      <c r="C16" s="4">
        <v>58500</v>
      </c>
      <c r="D16" s="4">
        <v>62000</v>
      </c>
      <c r="E16" s="4">
        <v>25000</v>
      </c>
      <c r="F16" s="4">
        <v>88000</v>
      </c>
      <c r="G16" s="4">
        <v>72500</v>
      </c>
      <c r="H16" s="4">
        <v>30000</v>
      </c>
    </row>
    <row r="17" spans="1:8" x14ac:dyDescent="0.3">
      <c r="A17" t="s">
        <v>837</v>
      </c>
      <c r="B17" s="4">
        <v>179125</v>
      </c>
      <c r="C17" s="4">
        <v>257500</v>
      </c>
      <c r="D17" s="4">
        <v>40600</v>
      </c>
      <c r="E17" s="4">
        <v>27200</v>
      </c>
      <c r="F17" s="4">
        <v>33800</v>
      </c>
      <c r="G17" s="4">
        <v>187500</v>
      </c>
      <c r="H17" s="4">
        <v>175750</v>
      </c>
    </row>
    <row r="18" spans="1:8" x14ac:dyDescent="0.3">
      <c r="A18" t="s">
        <v>838</v>
      </c>
      <c r="B18" s="4">
        <v>65000</v>
      </c>
      <c r="C18" s="4">
        <v>111500</v>
      </c>
      <c r="D18" s="4">
        <v>153500</v>
      </c>
      <c r="E18" s="4">
        <v>75000</v>
      </c>
      <c r="F18" s="4">
        <v>0</v>
      </c>
      <c r="G18" s="4">
        <v>50000</v>
      </c>
      <c r="H18" s="4">
        <v>25000</v>
      </c>
    </row>
    <row r="19" spans="1:8" x14ac:dyDescent="0.3">
      <c r="A19" t="s">
        <v>839</v>
      </c>
      <c r="B19" s="4">
        <v>20000</v>
      </c>
      <c r="C19" s="4">
        <v>10500</v>
      </c>
      <c r="D19" s="4">
        <v>6000</v>
      </c>
      <c r="E19" s="4">
        <v>0</v>
      </c>
      <c r="F19" s="4">
        <v>0</v>
      </c>
      <c r="G19" s="4">
        <v>0</v>
      </c>
      <c r="H19" s="4">
        <v>0</v>
      </c>
    </row>
    <row r="20" spans="1:8" x14ac:dyDescent="0.3">
      <c r="A20" t="s">
        <v>840</v>
      </c>
      <c r="B20" s="4">
        <v>39500</v>
      </c>
      <c r="C20" s="4">
        <v>14000</v>
      </c>
      <c r="D20" s="4">
        <v>0</v>
      </c>
      <c r="E20" s="4">
        <v>49500</v>
      </c>
      <c r="F20" s="4">
        <v>0</v>
      </c>
      <c r="G20" s="4">
        <v>0</v>
      </c>
      <c r="H20" s="4">
        <v>0</v>
      </c>
    </row>
    <row r="21" spans="1:8" x14ac:dyDescent="0.3">
      <c r="A21" t="s">
        <v>841</v>
      </c>
      <c r="B21" s="4">
        <v>12000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3">
      <c r="A22" t="s">
        <v>842</v>
      </c>
      <c r="B22" s="4">
        <v>15500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x14ac:dyDescent="0.3">
      <c r="A23" t="s">
        <v>843</v>
      </c>
      <c r="B23" s="4">
        <v>15000</v>
      </c>
      <c r="C23" s="4">
        <v>0</v>
      </c>
      <c r="D23" s="4">
        <v>0</v>
      </c>
      <c r="E23" s="4">
        <v>0</v>
      </c>
      <c r="F23" s="4">
        <v>24000</v>
      </c>
      <c r="G23" s="4">
        <v>0</v>
      </c>
      <c r="H23" s="4">
        <v>0</v>
      </c>
    </row>
    <row r="24" spans="1:8" x14ac:dyDescent="0.3">
      <c r="A24" t="s">
        <v>844</v>
      </c>
      <c r="B24" s="4">
        <v>1500</v>
      </c>
      <c r="C24" s="4">
        <v>5325</v>
      </c>
      <c r="D24" s="4">
        <v>6400</v>
      </c>
      <c r="E24" s="4">
        <v>1000</v>
      </c>
      <c r="F24" s="4">
        <v>0</v>
      </c>
      <c r="G24" s="4">
        <v>2400</v>
      </c>
      <c r="H24" s="4">
        <v>13000</v>
      </c>
    </row>
    <row r="25" spans="1:8" x14ac:dyDescent="0.3">
      <c r="A25" t="s">
        <v>845</v>
      </c>
      <c r="B25" s="4">
        <v>10000</v>
      </c>
      <c r="C25" s="4">
        <v>0</v>
      </c>
      <c r="D25" s="4">
        <v>36750</v>
      </c>
      <c r="E25" s="4">
        <v>0</v>
      </c>
      <c r="F25" s="4">
        <v>0</v>
      </c>
      <c r="G25" s="4">
        <v>8000</v>
      </c>
      <c r="H25" s="4">
        <v>0</v>
      </c>
    </row>
    <row r="26" spans="1:8" x14ac:dyDescent="0.3">
      <c r="A26" t="s">
        <v>846</v>
      </c>
      <c r="B26" s="4">
        <v>14250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3">
      <c r="A27" t="s">
        <v>847</v>
      </c>
      <c r="B27" s="4">
        <v>16000</v>
      </c>
      <c r="C27" s="4">
        <v>16000</v>
      </c>
      <c r="D27" s="4">
        <v>16000</v>
      </c>
      <c r="E27" s="4">
        <v>16000</v>
      </c>
      <c r="F27" s="4">
        <v>0</v>
      </c>
      <c r="G27" s="4">
        <v>12000</v>
      </c>
      <c r="H27" s="4">
        <v>0</v>
      </c>
    </row>
    <row r="28" spans="1:8" x14ac:dyDescent="0.3">
      <c r="A28" t="s">
        <v>848</v>
      </c>
      <c r="B28" s="4">
        <v>41500</v>
      </c>
      <c r="C28" s="4">
        <v>1000</v>
      </c>
      <c r="D28" s="4">
        <v>0</v>
      </c>
      <c r="E28" s="4">
        <v>0</v>
      </c>
      <c r="F28" s="4">
        <v>2000</v>
      </c>
      <c r="G28" s="4">
        <v>0</v>
      </c>
      <c r="H28" s="4">
        <v>10000</v>
      </c>
    </row>
    <row r="29" spans="1:8" x14ac:dyDescent="0.3">
      <c r="A29" t="s">
        <v>849</v>
      </c>
      <c r="B29" s="4">
        <v>85000</v>
      </c>
      <c r="C29" s="4">
        <v>16000</v>
      </c>
      <c r="D29" s="4">
        <v>25500</v>
      </c>
      <c r="E29" s="4">
        <v>0</v>
      </c>
      <c r="F29" s="4">
        <v>0</v>
      </c>
      <c r="G29" s="4">
        <v>12000</v>
      </c>
      <c r="H29" s="4">
        <v>0</v>
      </c>
    </row>
    <row r="30" spans="1:8" x14ac:dyDescent="0.3">
      <c r="A30" t="s">
        <v>850</v>
      </c>
      <c r="B30" s="4">
        <v>30000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3">
      <c r="A31" t="s">
        <v>851</v>
      </c>
      <c r="B31" s="4">
        <v>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3">
      <c r="A32" t="s">
        <v>852</v>
      </c>
      <c r="B32" s="4">
        <v>25000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t="s">
        <v>853</v>
      </c>
      <c r="B33" s="4">
        <v>57000</v>
      </c>
      <c r="C33" s="4">
        <v>43000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3">
      <c r="A34" t="s">
        <v>854</v>
      </c>
      <c r="B34" s="4">
        <v>10000</v>
      </c>
      <c r="C34" s="4">
        <v>7989</v>
      </c>
      <c r="D34" s="4">
        <v>10000</v>
      </c>
      <c r="E34" s="4">
        <v>3400</v>
      </c>
      <c r="F34" s="4">
        <v>0</v>
      </c>
      <c r="G34" s="4">
        <v>10000</v>
      </c>
      <c r="H34" s="4">
        <v>10000</v>
      </c>
    </row>
    <row r="35" spans="1:8" x14ac:dyDescent="0.3">
      <c r="A35" t="s">
        <v>855</v>
      </c>
      <c r="B35" s="4">
        <v>41000</v>
      </c>
      <c r="C35" s="4">
        <v>8000</v>
      </c>
      <c r="D35" s="4">
        <v>27000</v>
      </c>
      <c r="E35" s="4">
        <v>19000</v>
      </c>
      <c r="F35" s="4">
        <v>12000</v>
      </c>
      <c r="G35" s="4">
        <v>0</v>
      </c>
      <c r="H35" s="4">
        <v>12000</v>
      </c>
    </row>
    <row r="36" spans="1:8" x14ac:dyDescent="0.3">
      <c r="A36" t="s">
        <v>856</v>
      </c>
      <c r="B36" s="4">
        <v>0</v>
      </c>
      <c r="C36" s="4">
        <v>24750</v>
      </c>
      <c r="D36" s="4">
        <v>0</v>
      </c>
      <c r="E36" s="4">
        <v>16000</v>
      </c>
      <c r="F36" s="4">
        <v>37000</v>
      </c>
      <c r="G36" s="4">
        <v>75500</v>
      </c>
      <c r="H36" s="4">
        <v>0</v>
      </c>
    </row>
    <row r="37" spans="1:8" x14ac:dyDescent="0.3">
      <c r="A37" t="s">
        <v>857</v>
      </c>
      <c r="B37" s="4">
        <v>0</v>
      </c>
      <c r="C37" s="4">
        <v>242500</v>
      </c>
      <c r="D37" s="4">
        <v>269000</v>
      </c>
      <c r="E37" s="4">
        <v>157000</v>
      </c>
      <c r="F37" s="4">
        <v>173000</v>
      </c>
      <c r="G37" s="4">
        <v>208000</v>
      </c>
      <c r="H37" s="4">
        <v>112000</v>
      </c>
    </row>
    <row r="38" spans="1:8" x14ac:dyDescent="0.3">
      <c r="A38" t="s">
        <v>858</v>
      </c>
      <c r="B38" s="4">
        <v>0</v>
      </c>
      <c r="C38" s="4">
        <v>7250</v>
      </c>
      <c r="D38" s="4">
        <v>5000</v>
      </c>
      <c r="E38" s="4">
        <v>20000</v>
      </c>
      <c r="F38" s="4">
        <v>1000</v>
      </c>
      <c r="G38" s="4">
        <v>0</v>
      </c>
      <c r="H38" s="4">
        <v>0</v>
      </c>
    </row>
    <row r="39" spans="1:8" x14ac:dyDescent="0.3">
      <c r="A39" t="s">
        <v>859</v>
      </c>
      <c r="B39" s="4">
        <v>0</v>
      </c>
      <c r="C39" s="4">
        <v>20000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3">
      <c r="A40" t="s">
        <v>860</v>
      </c>
      <c r="B40" s="4">
        <v>0</v>
      </c>
      <c r="C40" s="4">
        <v>10000</v>
      </c>
      <c r="D40" s="4">
        <v>12000</v>
      </c>
      <c r="E40" s="4">
        <v>28000</v>
      </c>
      <c r="F40" s="4">
        <v>21000</v>
      </c>
      <c r="G40" s="4">
        <v>5000</v>
      </c>
      <c r="H40" s="4">
        <v>0</v>
      </c>
    </row>
    <row r="41" spans="1:8" x14ac:dyDescent="0.3">
      <c r="A41" t="s">
        <v>861</v>
      </c>
      <c r="B41" s="4">
        <v>0</v>
      </c>
      <c r="C41" s="4">
        <v>10000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3">
      <c r="A42" t="s">
        <v>862</v>
      </c>
      <c r="B42" s="4">
        <v>0</v>
      </c>
      <c r="C42" s="4">
        <v>56000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3">
      <c r="A43" t="s">
        <v>863</v>
      </c>
      <c r="B43" s="4">
        <v>0</v>
      </c>
      <c r="C43" s="4">
        <v>2500</v>
      </c>
      <c r="D43" s="4">
        <v>500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3">
      <c r="A44" t="s">
        <v>864</v>
      </c>
      <c r="B44" s="4">
        <v>0</v>
      </c>
      <c r="C44" s="4">
        <v>20000</v>
      </c>
      <c r="D44" s="4">
        <v>25000</v>
      </c>
      <c r="E44" s="4">
        <v>14500</v>
      </c>
      <c r="F44" s="4">
        <v>55700</v>
      </c>
      <c r="G44" s="4">
        <v>89925</v>
      </c>
      <c r="H44" s="4">
        <v>62000</v>
      </c>
    </row>
    <row r="45" spans="1:8" x14ac:dyDescent="0.3">
      <c r="A45" t="s">
        <v>865</v>
      </c>
      <c r="B45" s="4">
        <v>0</v>
      </c>
      <c r="C45" s="4">
        <v>56000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3">
      <c r="A46" t="s">
        <v>866</v>
      </c>
      <c r="B46" s="4">
        <v>0</v>
      </c>
      <c r="C46" s="4">
        <v>5000</v>
      </c>
      <c r="D46" s="4">
        <v>137500</v>
      </c>
      <c r="E46" s="4">
        <v>0</v>
      </c>
      <c r="F46" s="4">
        <v>0</v>
      </c>
      <c r="G46" s="4">
        <v>10000</v>
      </c>
      <c r="H46" s="4">
        <v>12000</v>
      </c>
    </row>
    <row r="47" spans="1:8" x14ac:dyDescent="0.3">
      <c r="A47" t="s">
        <v>867</v>
      </c>
      <c r="B47" s="4">
        <v>0</v>
      </c>
      <c r="C47" s="4">
        <v>10000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3">
      <c r="A48" t="s">
        <v>868</v>
      </c>
      <c r="B48" s="4">
        <v>0</v>
      </c>
      <c r="C48" s="4">
        <v>15000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">
      <c r="A49" t="s">
        <v>869</v>
      </c>
      <c r="B49" s="4">
        <v>0</v>
      </c>
      <c r="C49" s="4">
        <v>11000</v>
      </c>
      <c r="D49" s="4">
        <v>0</v>
      </c>
      <c r="E49" s="4">
        <v>0</v>
      </c>
      <c r="F49" s="4">
        <v>0</v>
      </c>
      <c r="G49" s="4">
        <v>17000</v>
      </c>
      <c r="H49" s="4">
        <v>0</v>
      </c>
    </row>
    <row r="50" spans="1:8" x14ac:dyDescent="0.3">
      <c r="A50" t="s">
        <v>870</v>
      </c>
      <c r="B50" s="4">
        <v>0</v>
      </c>
      <c r="C50" s="4">
        <v>13000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3">
      <c r="A51" t="s">
        <v>871</v>
      </c>
      <c r="B51" s="4">
        <v>0</v>
      </c>
      <c r="C51" s="4">
        <v>0</v>
      </c>
      <c r="D51" s="4">
        <v>4000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3">
      <c r="A52" t="s">
        <v>872</v>
      </c>
      <c r="B52" s="4">
        <v>0</v>
      </c>
      <c r="C52" s="4">
        <v>0</v>
      </c>
      <c r="D52" s="4">
        <v>21000</v>
      </c>
      <c r="E52" s="4">
        <v>10000</v>
      </c>
      <c r="F52" s="4">
        <v>23750</v>
      </c>
      <c r="G52" s="4">
        <v>20000</v>
      </c>
      <c r="H52" s="4">
        <v>10000</v>
      </c>
    </row>
    <row r="53" spans="1:8" x14ac:dyDescent="0.3">
      <c r="A53" t="s">
        <v>873</v>
      </c>
      <c r="B53" s="4">
        <v>0</v>
      </c>
      <c r="C53" s="4">
        <v>0</v>
      </c>
      <c r="D53" s="4">
        <v>20000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3">
      <c r="A54" t="s">
        <v>874</v>
      </c>
      <c r="B54" s="4">
        <v>0</v>
      </c>
      <c r="C54" s="4">
        <v>0</v>
      </c>
      <c r="D54" s="4">
        <v>50000</v>
      </c>
      <c r="E54" s="4">
        <v>25000</v>
      </c>
      <c r="F54" s="4">
        <v>0</v>
      </c>
      <c r="G54" s="4">
        <v>23125</v>
      </c>
      <c r="H54" s="4">
        <v>25000</v>
      </c>
    </row>
    <row r="55" spans="1:8" x14ac:dyDescent="0.3">
      <c r="A55" t="s">
        <v>875</v>
      </c>
      <c r="B55" s="4">
        <v>0</v>
      </c>
      <c r="C55" s="4">
        <v>0</v>
      </c>
      <c r="D55" s="4">
        <v>1000</v>
      </c>
      <c r="E55" s="4">
        <v>7025</v>
      </c>
      <c r="F55" s="4">
        <v>0</v>
      </c>
      <c r="G55" s="4">
        <v>0</v>
      </c>
      <c r="H55" s="4">
        <v>0</v>
      </c>
    </row>
    <row r="56" spans="1:8" x14ac:dyDescent="0.3">
      <c r="A56" t="s">
        <v>876</v>
      </c>
      <c r="B56" s="4">
        <v>0</v>
      </c>
      <c r="C56" s="4">
        <v>0</v>
      </c>
      <c r="D56" s="4">
        <v>29500</v>
      </c>
      <c r="E56" s="4">
        <v>25000</v>
      </c>
      <c r="F56" s="4">
        <v>0</v>
      </c>
      <c r="G56" s="4">
        <v>0</v>
      </c>
      <c r="H56" s="4">
        <v>16000</v>
      </c>
    </row>
    <row r="57" spans="1:8" x14ac:dyDescent="0.3">
      <c r="A57" t="s">
        <v>877</v>
      </c>
      <c r="B57" s="4">
        <v>0</v>
      </c>
      <c r="C57" s="4">
        <v>0</v>
      </c>
      <c r="D57" s="4">
        <v>25000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3">
      <c r="A58" t="s">
        <v>878</v>
      </c>
      <c r="B58" s="4">
        <v>0</v>
      </c>
      <c r="C58" s="4">
        <v>0</v>
      </c>
      <c r="D58" s="4">
        <v>25000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3">
      <c r="A59" t="s">
        <v>879</v>
      </c>
      <c r="B59" s="4">
        <v>0</v>
      </c>
      <c r="C59" s="4">
        <v>0</v>
      </c>
      <c r="D59" s="4">
        <v>0</v>
      </c>
      <c r="E59" s="4">
        <v>12000</v>
      </c>
      <c r="F59" s="4">
        <v>0</v>
      </c>
      <c r="G59" s="4">
        <v>0</v>
      </c>
      <c r="H59" s="4">
        <v>0</v>
      </c>
    </row>
    <row r="60" spans="1:8" x14ac:dyDescent="0.3">
      <c r="A60" t="s">
        <v>880</v>
      </c>
      <c r="B60" s="4">
        <v>0</v>
      </c>
      <c r="C60" s="4">
        <v>0</v>
      </c>
      <c r="D60" s="4">
        <v>0</v>
      </c>
      <c r="E60" s="4">
        <v>100000</v>
      </c>
      <c r="F60" s="4">
        <v>135000</v>
      </c>
      <c r="G60" s="4">
        <v>0</v>
      </c>
      <c r="H60" s="4">
        <v>115000</v>
      </c>
    </row>
    <row r="61" spans="1:8" x14ac:dyDescent="0.3">
      <c r="A61" t="s">
        <v>881</v>
      </c>
      <c r="B61" s="4">
        <v>0</v>
      </c>
      <c r="C61" s="4">
        <v>0</v>
      </c>
      <c r="D61" s="4">
        <v>0</v>
      </c>
      <c r="E61" s="4">
        <v>24000</v>
      </c>
      <c r="F61" s="4">
        <v>0</v>
      </c>
      <c r="G61" s="4">
        <v>0</v>
      </c>
      <c r="H61" s="4">
        <v>0</v>
      </c>
    </row>
    <row r="62" spans="1:8" x14ac:dyDescent="0.3">
      <c r="A62" t="s">
        <v>882</v>
      </c>
      <c r="B62" s="4">
        <v>0</v>
      </c>
      <c r="C62" s="4">
        <v>0</v>
      </c>
      <c r="D62" s="4">
        <v>0</v>
      </c>
      <c r="E62" s="4">
        <v>1000</v>
      </c>
      <c r="F62" s="4">
        <v>0</v>
      </c>
      <c r="G62" s="4">
        <v>0</v>
      </c>
      <c r="H62" s="4">
        <v>0</v>
      </c>
    </row>
    <row r="63" spans="1:8" x14ac:dyDescent="0.3">
      <c r="A63" t="s">
        <v>883</v>
      </c>
      <c r="B63" s="4">
        <v>0</v>
      </c>
      <c r="C63" s="4">
        <v>0</v>
      </c>
      <c r="D63" s="4">
        <v>0</v>
      </c>
      <c r="E63" s="4">
        <v>25500</v>
      </c>
      <c r="F63" s="4">
        <v>25500</v>
      </c>
      <c r="G63" s="4">
        <v>25500</v>
      </c>
      <c r="H63" s="4">
        <v>0</v>
      </c>
    </row>
    <row r="64" spans="1:8" x14ac:dyDescent="0.3">
      <c r="A64" t="s">
        <v>884</v>
      </c>
      <c r="B64" s="4">
        <v>0</v>
      </c>
      <c r="C64" s="4">
        <v>0</v>
      </c>
      <c r="D64" s="4">
        <v>0</v>
      </c>
      <c r="E64" s="4">
        <v>350</v>
      </c>
      <c r="F64" s="4">
        <v>0</v>
      </c>
      <c r="G64" s="4">
        <v>0</v>
      </c>
      <c r="H64" s="4">
        <v>0</v>
      </c>
    </row>
    <row r="65" spans="1:8" x14ac:dyDescent="0.3">
      <c r="A65" t="s">
        <v>885</v>
      </c>
      <c r="B65" s="4">
        <v>0</v>
      </c>
      <c r="C65" s="4">
        <v>0</v>
      </c>
      <c r="D65" s="4">
        <v>0</v>
      </c>
      <c r="E65" s="4">
        <v>0</v>
      </c>
      <c r="F65" s="4">
        <v>12000</v>
      </c>
      <c r="G65" s="4">
        <v>0</v>
      </c>
      <c r="H65" s="4">
        <v>12000</v>
      </c>
    </row>
    <row r="66" spans="1:8" x14ac:dyDescent="0.3">
      <c r="A66" t="s">
        <v>886</v>
      </c>
      <c r="B66" s="4">
        <v>0</v>
      </c>
      <c r="C66" s="4">
        <v>0</v>
      </c>
      <c r="D66" s="4">
        <v>0</v>
      </c>
      <c r="E66" s="4">
        <v>0</v>
      </c>
      <c r="F66" s="4">
        <v>8000</v>
      </c>
      <c r="G66" s="4">
        <v>50</v>
      </c>
      <c r="H66" s="4">
        <v>0</v>
      </c>
    </row>
    <row r="67" spans="1:8" x14ac:dyDescent="0.3">
      <c r="A67" t="s">
        <v>887</v>
      </c>
      <c r="B67" s="4">
        <v>0</v>
      </c>
      <c r="C67" s="4">
        <v>0</v>
      </c>
      <c r="D67" s="4">
        <v>0</v>
      </c>
      <c r="E67" s="4">
        <v>0</v>
      </c>
      <c r="F67" s="4">
        <v>500</v>
      </c>
      <c r="G67" s="4">
        <v>0</v>
      </c>
      <c r="H67" s="4">
        <v>0</v>
      </c>
    </row>
    <row r="68" spans="1:8" x14ac:dyDescent="0.3">
      <c r="A68" t="s">
        <v>888</v>
      </c>
      <c r="B68" s="4">
        <v>0</v>
      </c>
      <c r="C68" s="4">
        <v>0</v>
      </c>
      <c r="D68" s="4">
        <v>0</v>
      </c>
      <c r="E68" s="4">
        <v>0</v>
      </c>
      <c r="F68" s="4">
        <v>1000</v>
      </c>
      <c r="G68" s="4">
        <v>0</v>
      </c>
      <c r="H68" s="4">
        <v>0</v>
      </c>
    </row>
    <row r="69" spans="1:8" x14ac:dyDescent="0.3">
      <c r="A69" t="s">
        <v>889</v>
      </c>
      <c r="B69" s="4">
        <v>0</v>
      </c>
      <c r="C69" s="4">
        <v>0</v>
      </c>
      <c r="D69" s="4">
        <v>0</v>
      </c>
      <c r="E69" s="4">
        <v>0</v>
      </c>
      <c r="F69" s="4">
        <v>375</v>
      </c>
      <c r="G69" s="4">
        <v>0</v>
      </c>
      <c r="H69" s="4">
        <v>400</v>
      </c>
    </row>
    <row r="70" spans="1:8" x14ac:dyDescent="0.3">
      <c r="A70" t="s">
        <v>890</v>
      </c>
      <c r="B70" s="4">
        <v>0</v>
      </c>
      <c r="C70" s="4">
        <v>0</v>
      </c>
      <c r="D70" s="4">
        <v>0</v>
      </c>
      <c r="E70" s="4">
        <v>0</v>
      </c>
      <c r="F70" s="4">
        <v>2200</v>
      </c>
      <c r="G70" s="4">
        <v>3300</v>
      </c>
      <c r="H70" s="4">
        <v>2200</v>
      </c>
    </row>
    <row r="71" spans="1:8" x14ac:dyDescent="0.3">
      <c r="A71" t="s">
        <v>891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1950</v>
      </c>
      <c r="H71" s="4">
        <v>3000</v>
      </c>
    </row>
    <row r="72" spans="1:8" x14ac:dyDescent="0.3">
      <c r="A72" t="s">
        <v>892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20000</v>
      </c>
      <c r="H72" s="4">
        <v>0</v>
      </c>
    </row>
    <row r="73" spans="1:8" x14ac:dyDescent="0.3">
      <c r="A73" t="s">
        <v>1352</v>
      </c>
      <c r="B73" s="4">
        <v>0</v>
      </c>
      <c r="C73" s="4">
        <v>0</v>
      </c>
      <c r="D73" s="4">
        <v>0</v>
      </c>
      <c r="E73" s="4">
        <v>33000</v>
      </c>
      <c r="F73" s="4">
        <v>0</v>
      </c>
      <c r="G73" s="4">
        <v>0</v>
      </c>
      <c r="H73" s="4">
        <v>0</v>
      </c>
    </row>
    <row r="74" spans="1:8" x14ac:dyDescent="0.3">
      <c r="A74" t="s">
        <v>1353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1000</v>
      </c>
      <c r="H74" s="4">
        <v>0</v>
      </c>
    </row>
    <row r="75" spans="1:8" x14ac:dyDescent="0.3">
      <c r="A75" t="s">
        <v>1354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50</v>
      </c>
      <c r="H75" s="4">
        <v>0</v>
      </c>
    </row>
    <row r="76" spans="1:8" x14ac:dyDescent="0.3">
      <c r="A76" t="s">
        <v>1355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24750</v>
      </c>
      <c r="H76" s="4">
        <v>0</v>
      </c>
    </row>
    <row r="77" spans="1:8" x14ac:dyDescent="0.3">
      <c r="A77" t="s">
        <v>1646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24750</v>
      </c>
      <c r="H77" s="4">
        <v>12000</v>
      </c>
    </row>
    <row r="78" spans="1:8" x14ac:dyDescent="0.3">
      <c r="A78" t="s">
        <v>1356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24750</v>
      </c>
      <c r="H78" s="4">
        <v>30000</v>
      </c>
    </row>
  </sheetData>
  <autoFilter ref="A2:M78" xr:uid="{819A937D-46A5-48D0-BAE4-80C815614E4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9344-71C0-4D13-A738-0A12C6C07F51}">
  <dimension ref="A1:D73"/>
  <sheetViews>
    <sheetView workbookViewId="0">
      <selection activeCell="B1" sqref="B1"/>
    </sheetView>
  </sheetViews>
  <sheetFormatPr defaultRowHeight="14.4" x14ac:dyDescent="0.3"/>
  <cols>
    <col min="1" max="1" width="50.44140625" bestFit="1" customWidth="1"/>
    <col min="2" max="2" width="14" bestFit="1" customWidth="1"/>
    <col min="3" max="3" width="17" style="4" bestFit="1" customWidth="1"/>
    <col min="4" max="4" width="8" bestFit="1" customWidth="1"/>
  </cols>
  <sheetData>
    <row r="1" spans="1:4" x14ac:dyDescent="0.3">
      <c r="A1" s="10" t="s">
        <v>1329</v>
      </c>
      <c r="B1" s="7">
        <v>45931</v>
      </c>
    </row>
    <row r="2" spans="1:4" x14ac:dyDescent="0.3">
      <c r="A2" s="10"/>
      <c r="B2" s="7"/>
    </row>
    <row r="3" spans="1:4" x14ac:dyDescent="0.3">
      <c r="A3" s="10" t="s">
        <v>28</v>
      </c>
      <c r="B3" s="10" t="s">
        <v>1349</v>
      </c>
      <c r="C3" s="35" t="s">
        <v>1350</v>
      </c>
      <c r="D3" s="10" t="s">
        <v>13</v>
      </c>
    </row>
    <row r="4" spans="1:4" x14ac:dyDescent="0.3">
      <c r="A4" t="s">
        <v>824</v>
      </c>
      <c r="B4" s="4">
        <f>VLOOKUP(A4,'As per Zoho'!$A:$M,MATCH('Master Check'!$B$1,'As per Zoho'!$A$2:$M$2),)</f>
        <v>28775</v>
      </c>
      <c r="C4" s="4">
        <f>SUMIFS('&lt;&lt; Working &gt;&gt;'!$J:$J, '&lt;&lt; Working &gt;&gt;'!$G:$G, 'Master Check'!$B$1, '&lt;&lt; Working &gt;&gt;'!$D:$D, 'Master Check'!$A4)</f>
        <v>28775</v>
      </c>
      <c r="D4" s="37">
        <f>B4-C4</f>
        <v>0</v>
      </c>
    </row>
    <row r="5" spans="1:4" x14ac:dyDescent="0.3">
      <c r="A5" t="s">
        <v>825</v>
      </c>
      <c r="B5" s="4">
        <f>VLOOKUP(A5,'As per Zoho'!$A:$M,MATCH('Master Check'!$B$1,'As per Zoho'!$A$2:$M$2),)</f>
        <v>0</v>
      </c>
      <c r="C5" s="4">
        <f>SUMIFS('&lt;&lt; Working &gt;&gt;'!$J:$J, '&lt;&lt; Working &gt;&gt;'!$G:$G, 'Master Check'!$B$1, '&lt;&lt; Working &gt;&gt;'!$D:$D, 'Master Check'!$A5)</f>
        <v>0</v>
      </c>
      <c r="D5" s="37">
        <f t="shared" ref="D5:D68" si="0">B5-C5</f>
        <v>0</v>
      </c>
    </row>
    <row r="6" spans="1:4" x14ac:dyDescent="0.3">
      <c r="A6" t="s">
        <v>826</v>
      </c>
      <c r="B6" s="4">
        <f>VLOOKUP(A6,'As per Zoho'!$A:$M,MATCH('Master Check'!$B$1,'As per Zoho'!$A$2:$M$2),)</f>
        <v>25000</v>
      </c>
      <c r="C6" s="4">
        <f>SUMIFS('&lt;&lt; Working &gt;&gt;'!$J:$J, '&lt;&lt; Working &gt;&gt;'!$G:$G, 'Master Check'!$B$1, '&lt;&lt; Working &gt;&gt;'!$D:$D, 'Master Check'!$A6)</f>
        <v>25000</v>
      </c>
      <c r="D6" s="37">
        <f t="shared" si="0"/>
        <v>0</v>
      </c>
    </row>
    <row r="7" spans="1:4" x14ac:dyDescent="0.3">
      <c r="A7" t="s">
        <v>827</v>
      </c>
      <c r="B7" s="4">
        <f>VLOOKUP(A7,'As per Zoho'!$A:$M,MATCH('Master Check'!$B$1,'As per Zoho'!$A$2:$M$2),)</f>
        <v>0</v>
      </c>
      <c r="C7" s="4">
        <f>SUMIFS('&lt;&lt; Working &gt;&gt;'!$J:$J, '&lt;&lt; Working &gt;&gt;'!$G:$G, 'Master Check'!$B$1, '&lt;&lt; Working &gt;&gt;'!$D:$D, 'Master Check'!$A7)</f>
        <v>0</v>
      </c>
      <c r="D7" s="37">
        <f t="shared" si="0"/>
        <v>0</v>
      </c>
    </row>
    <row r="8" spans="1:4" x14ac:dyDescent="0.3">
      <c r="A8" t="s">
        <v>828</v>
      </c>
      <c r="B8" s="4">
        <f>VLOOKUP(A8,'As per Zoho'!$A:$M,MATCH('Master Check'!$B$1,'As per Zoho'!$A$2:$M$2),)</f>
        <v>0</v>
      </c>
      <c r="C8" s="4">
        <f>SUMIFS('&lt;&lt; Working &gt;&gt;'!$J:$J, '&lt;&lt; Working &gt;&gt;'!$G:$G, 'Master Check'!$B$1, '&lt;&lt; Working &gt;&gt;'!$D:$D, 'Master Check'!$A8)</f>
        <v>0</v>
      </c>
      <c r="D8" s="37">
        <f t="shared" si="0"/>
        <v>0</v>
      </c>
    </row>
    <row r="9" spans="1:4" x14ac:dyDescent="0.3">
      <c r="A9" t="s">
        <v>48</v>
      </c>
      <c r="B9" s="4">
        <f>VLOOKUP(A9,'As per Zoho'!$A:$M,MATCH('Master Check'!$B$1,'As per Zoho'!$A$2:$M$2),)</f>
        <v>220750</v>
      </c>
      <c r="C9" s="4">
        <f>SUMIFS('&lt;&lt; Working &gt;&gt;'!$J:$J, '&lt;&lt; Working &gt;&gt;'!$G:$G, 'Master Check'!$B$1, '&lt;&lt; Working &gt;&gt;'!$D:$D, 'Master Check'!$A9)</f>
        <v>220750</v>
      </c>
      <c r="D9" s="37">
        <f t="shared" si="0"/>
        <v>0</v>
      </c>
    </row>
    <row r="10" spans="1:4" x14ac:dyDescent="0.3">
      <c r="A10" t="s">
        <v>829</v>
      </c>
      <c r="B10" s="4">
        <f>VLOOKUP(A10,'As per Zoho'!$A:$M,MATCH('Master Check'!$B$1,'As per Zoho'!$A$2:$M$2),)</f>
        <v>0</v>
      </c>
      <c r="C10" s="4">
        <f>SUMIFS('&lt;&lt; Working &gt;&gt;'!$J:$J, '&lt;&lt; Working &gt;&gt;'!$G:$G, 'Master Check'!$B$1, '&lt;&lt; Working &gt;&gt;'!$D:$D, 'Master Check'!$A10)</f>
        <v>0</v>
      </c>
      <c r="D10" s="37">
        <f t="shared" si="0"/>
        <v>0</v>
      </c>
    </row>
    <row r="11" spans="1:4" x14ac:dyDescent="0.3">
      <c r="A11" t="s">
        <v>830</v>
      </c>
      <c r="B11" s="4">
        <f>VLOOKUP(A11,'As per Zoho'!$A:$M,MATCH('Master Check'!$B$1,'As per Zoho'!$A$2:$M$2),)</f>
        <v>0</v>
      </c>
      <c r="C11" s="4">
        <f>SUMIFS('&lt;&lt; Working &gt;&gt;'!$J:$J, '&lt;&lt; Working &gt;&gt;'!$G:$G, 'Master Check'!$B$1, '&lt;&lt; Working &gt;&gt;'!$D:$D, 'Master Check'!$A11)</f>
        <v>0</v>
      </c>
      <c r="D11" s="37">
        <f t="shared" si="0"/>
        <v>0</v>
      </c>
    </row>
    <row r="12" spans="1:4" x14ac:dyDescent="0.3">
      <c r="A12" t="s">
        <v>831</v>
      </c>
      <c r="B12" s="4">
        <f>VLOOKUP(A12,'As per Zoho'!$A:$M,MATCH('Master Check'!$B$1,'As per Zoho'!$A$2:$M$2),)</f>
        <v>0</v>
      </c>
      <c r="C12" s="4">
        <f>SUMIFS('&lt;&lt; Working &gt;&gt;'!$J:$J, '&lt;&lt; Working &gt;&gt;'!$G:$G, 'Master Check'!$B$1, '&lt;&lt; Working &gt;&gt;'!$D:$D, 'Master Check'!$A12)</f>
        <v>0</v>
      </c>
      <c r="D12" s="37">
        <f t="shared" si="0"/>
        <v>0</v>
      </c>
    </row>
    <row r="13" spans="1:4" x14ac:dyDescent="0.3">
      <c r="A13" t="s">
        <v>832</v>
      </c>
      <c r="B13" s="4">
        <f>VLOOKUP(A13,'As per Zoho'!$A:$M,MATCH('Master Check'!$B$1,'As per Zoho'!$A$2:$M$2),)</f>
        <v>0</v>
      </c>
      <c r="C13" s="4">
        <f>SUMIFS('&lt;&lt; Working &gt;&gt;'!$J:$J, '&lt;&lt; Working &gt;&gt;'!$G:$G, 'Master Check'!$B$1, '&lt;&lt; Working &gt;&gt;'!$D:$D, 'Master Check'!$A13)</f>
        <v>0</v>
      </c>
      <c r="D13" s="37">
        <f t="shared" si="0"/>
        <v>0</v>
      </c>
    </row>
    <row r="14" spans="1:4" x14ac:dyDescent="0.3">
      <c r="A14" t="s">
        <v>833</v>
      </c>
      <c r="B14" s="4">
        <f>VLOOKUP(A14,'As per Zoho'!$A:$M,MATCH('Master Check'!$B$1,'As per Zoho'!$A$2:$M$2),)</f>
        <v>0</v>
      </c>
      <c r="C14" s="4">
        <f>SUMIFS('&lt;&lt; Working &gt;&gt;'!$J:$J, '&lt;&lt; Working &gt;&gt;'!$G:$G, 'Master Check'!$B$1, '&lt;&lt; Working &gt;&gt;'!$D:$D, 'Master Check'!$A14)</f>
        <v>0</v>
      </c>
      <c r="D14" s="37">
        <f t="shared" si="0"/>
        <v>0</v>
      </c>
    </row>
    <row r="15" spans="1:4" x14ac:dyDescent="0.3">
      <c r="A15" t="s">
        <v>834</v>
      </c>
      <c r="B15" s="4">
        <f>VLOOKUP(A15,'As per Zoho'!$A:$M,MATCH('Master Check'!$B$1,'As per Zoho'!$A$2:$M$2),)</f>
        <v>17000</v>
      </c>
      <c r="C15" s="4">
        <f>SUMIFS('&lt;&lt; Working &gt;&gt;'!$J:$J, '&lt;&lt; Working &gt;&gt;'!$G:$G, 'Master Check'!$B$1, '&lt;&lt; Working &gt;&gt;'!$D:$D, 'Master Check'!$A15)</f>
        <v>17000</v>
      </c>
      <c r="D15" s="37">
        <f t="shared" si="0"/>
        <v>0</v>
      </c>
    </row>
    <row r="16" spans="1:4" x14ac:dyDescent="0.3">
      <c r="A16" t="s">
        <v>835</v>
      </c>
      <c r="B16" s="4">
        <f>VLOOKUP(A16,'As per Zoho'!$A:$M,MATCH('Master Check'!$B$1,'As per Zoho'!$A$2:$M$2),)</f>
        <v>0</v>
      </c>
      <c r="C16" s="4">
        <f>SUMIFS('&lt;&lt; Working &gt;&gt;'!$J:$J, '&lt;&lt; Working &gt;&gt;'!$G:$G, 'Master Check'!$B$1, '&lt;&lt; Working &gt;&gt;'!$D:$D, 'Master Check'!$A16)</f>
        <v>0</v>
      </c>
      <c r="D16" s="37">
        <f t="shared" si="0"/>
        <v>0</v>
      </c>
    </row>
    <row r="17" spans="1:4" x14ac:dyDescent="0.3">
      <c r="A17" t="s">
        <v>836</v>
      </c>
      <c r="B17" s="4">
        <f>VLOOKUP(A17,'As per Zoho'!$A:$M,MATCH('Master Check'!$B$1,'As per Zoho'!$A$2:$M$2),)</f>
        <v>30000</v>
      </c>
      <c r="C17" s="4">
        <f>SUMIFS('&lt;&lt; Working &gt;&gt;'!$J:$J, '&lt;&lt; Working &gt;&gt;'!$G:$G, 'Master Check'!$B$1, '&lt;&lt; Working &gt;&gt;'!$D:$D, 'Master Check'!$A17)</f>
        <v>30000</v>
      </c>
      <c r="D17" s="37">
        <f t="shared" si="0"/>
        <v>0</v>
      </c>
    </row>
    <row r="18" spans="1:4" x14ac:dyDescent="0.3">
      <c r="A18" t="s">
        <v>837</v>
      </c>
      <c r="B18" s="4">
        <f>VLOOKUP(A18,'As per Zoho'!$A:$M,MATCH('Master Check'!$B$1,'As per Zoho'!$A$2:$M$2),)</f>
        <v>175750</v>
      </c>
      <c r="C18" s="4">
        <f>SUMIFS('&lt;&lt; Working &gt;&gt;'!$J:$J, '&lt;&lt; Working &gt;&gt;'!$G:$G, 'Master Check'!$B$1, '&lt;&lt; Working &gt;&gt;'!$D:$D, 'Master Check'!$A18)</f>
        <v>175750</v>
      </c>
      <c r="D18" s="37">
        <f t="shared" si="0"/>
        <v>0</v>
      </c>
    </row>
    <row r="19" spans="1:4" x14ac:dyDescent="0.3">
      <c r="A19" t="s">
        <v>838</v>
      </c>
      <c r="B19" s="4">
        <f>VLOOKUP(A19,'As per Zoho'!$A:$M,MATCH('Master Check'!$B$1,'As per Zoho'!$A$2:$M$2),)</f>
        <v>25000</v>
      </c>
      <c r="C19" s="4">
        <f>SUMIFS('&lt;&lt; Working &gt;&gt;'!$J:$J, '&lt;&lt; Working &gt;&gt;'!$G:$G, 'Master Check'!$B$1, '&lt;&lt; Working &gt;&gt;'!$D:$D, 'Master Check'!$A19)</f>
        <v>25000</v>
      </c>
      <c r="D19" s="37">
        <f t="shared" si="0"/>
        <v>0</v>
      </c>
    </row>
    <row r="20" spans="1:4" x14ac:dyDescent="0.3">
      <c r="A20" t="s">
        <v>839</v>
      </c>
      <c r="B20" s="4">
        <f>VLOOKUP(A20,'As per Zoho'!$A:$M,MATCH('Master Check'!$B$1,'As per Zoho'!$A$2:$M$2),)</f>
        <v>0</v>
      </c>
      <c r="C20" s="4">
        <f>SUMIFS('&lt;&lt; Working &gt;&gt;'!$J:$J, '&lt;&lt; Working &gt;&gt;'!$G:$G, 'Master Check'!$B$1, '&lt;&lt; Working &gt;&gt;'!$D:$D, 'Master Check'!$A20)</f>
        <v>0</v>
      </c>
      <c r="D20" s="37">
        <f t="shared" si="0"/>
        <v>0</v>
      </c>
    </row>
    <row r="21" spans="1:4" x14ac:dyDescent="0.3">
      <c r="A21" t="s">
        <v>840</v>
      </c>
      <c r="B21" s="4">
        <f>VLOOKUP(A21,'As per Zoho'!$A:$M,MATCH('Master Check'!$B$1,'As per Zoho'!$A$2:$M$2),)</f>
        <v>0</v>
      </c>
      <c r="C21" s="4">
        <f>SUMIFS('&lt;&lt; Working &gt;&gt;'!$J:$J, '&lt;&lt; Working &gt;&gt;'!$G:$G, 'Master Check'!$B$1, '&lt;&lt; Working &gt;&gt;'!$D:$D, 'Master Check'!$A21)</f>
        <v>0</v>
      </c>
      <c r="D21" s="37">
        <f t="shared" si="0"/>
        <v>0</v>
      </c>
    </row>
    <row r="22" spans="1:4" x14ac:dyDescent="0.3">
      <c r="A22" t="s">
        <v>841</v>
      </c>
      <c r="B22" s="4">
        <f>VLOOKUP(A22,'As per Zoho'!$A:$M,MATCH('Master Check'!$B$1,'As per Zoho'!$A$2:$M$2),)</f>
        <v>0</v>
      </c>
      <c r="C22" s="4">
        <f>SUMIFS('&lt;&lt; Working &gt;&gt;'!$J:$J, '&lt;&lt; Working &gt;&gt;'!$G:$G, 'Master Check'!$B$1, '&lt;&lt; Working &gt;&gt;'!$D:$D, 'Master Check'!$A22)</f>
        <v>0</v>
      </c>
      <c r="D22" s="37">
        <f t="shared" si="0"/>
        <v>0</v>
      </c>
    </row>
    <row r="23" spans="1:4" x14ac:dyDescent="0.3">
      <c r="A23" t="s">
        <v>842</v>
      </c>
      <c r="B23" s="4">
        <f>VLOOKUP(A23,'As per Zoho'!$A:$M,MATCH('Master Check'!$B$1,'As per Zoho'!$A$2:$M$2),)</f>
        <v>0</v>
      </c>
      <c r="C23" s="4">
        <f>SUMIFS('&lt;&lt; Working &gt;&gt;'!$J:$J, '&lt;&lt; Working &gt;&gt;'!$G:$G, 'Master Check'!$B$1, '&lt;&lt; Working &gt;&gt;'!$D:$D, 'Master Check'!$A23)</f>
        <v>0</v>
      </c>
      <c r="D23" s="37">
        <f t="shared" si="0"/>
        <v>0</v>
      </c>
    </row>
    <row r="24" spans="1:4" x14ac:dyDescent="0.3">
      <c r="A24" t="s">
        <v>843</v>
      </c>
      <c r="B24" s="4">
        <f>VLOOKUP(A24,'As per Zoho'!$A:$M,MATCH('Master Check'!$B$1,'As per Zoho'!$A$2:$M$2),)</f>
        <v>0</v>
      </c>
      <c r="C24" s="4">
        <f>SUMIFS('&lt;&lt; Working &gt;&gt;'!$J:$J, '&lt;&lt; Working &gt;&gt;'!$G:$G, 'Master Check'!$B$1, '&lt;&lt; Working &gt;&gt;'!$D:$D, 'Master Check'!$A24)</f>
        <v>0</v>
      </c>
      <c r="D24" s="37">
        <f t="shared" si="0"/>
        <v>0</v>
      </c>
    </row>
    <row r="25" spans="1:4" x14ac:dyDescent="0.3">
      <c r="A25" t="s">
        <v>844</v>
      </c>
      <c r="B25" s="4">
        <f>VLOOKUP(A25,'As per Zoho'!$A:$M,MATCH('Master Check'!$B$1,'As per Zoho'!$A$2:$M$2),)</f>
        <v>13000</v>
      </c>
      <c r="C25" s="4">
        <f>SUMIFS('&lt;&lt; Working &gt;&gt;'!$J:$J, '&lt;&lt; Working &gt;&gt;'!$G:$G, 'Master Check'!$B$1, '&lt;&lt; Working &gt;&gt;'!$D:$D, 'Master Check'!$A25)</f>
        <v>13000</v>
      </c>
      <c r="D25" s="37">
        <f t="shared" si="0"/>
        <v>0</v>
      </c>
    </row>
    <row r="26" spans="1:4" x14ac:dyDescent="0.3">
      <c r="A26" t="s">
        <v>845</v>
      </c>
      <c r="B26" s="4">
        <f>VLOOKUP(A26,'As per Zoho'!$A:$M,MATCH('Master Check'!$B$1,'As per Zoho'!$A$2:$M$2),)</f>
        <v>0</v>
      </c>
      <c r="C26" s="4">
        <f>SUMIFS('&lt;&lt; Working &gt;&gt;'!$J:$J, '&lt;&lt; Working &gt;&gt;'!$G:$G, 'Master Check'!$B$1, '&lt;&lt; Working &gt;&gt;'!$D:$D, 'Master Check'!$A26)</f>
        <v>0</v>
      </c>
      <c r="D26" s="37">
        <f t="shared" si="0"/>
        <v>0</v>
      </c>
    </row>
    <row r="27" spans="1:4" x14ac:dyDescent="0.3">
      <c r="A27" t="s">
        <v>846</v>
      </c>
      <c r="B27" s="4">
        <f>VLOOKUP(A27,'As per Zoho'!$A:$M,MATCH('Master Check'!$B$1,'As per Zoho'!$A$2:$M$2),)</f>
        <v>0</v>
      </c>
      <c r="C27" s="4">
        <f>SUMIFS('&lt;&lt; Working &gt;&gt;'!$J:$J, '&lt;&lt; Working &gt;&gt;'!$G:$G, 'Master Check'!$B$1, '&lt;&lt; Working &gt;&gt;'!$D:$D, 'Master Check'!$A27)</f>
        <v>0</v>
      </c>
      <c r="D27" s="37">
        <f t="shared" si="0"/>
        <v>0</v>
      </c>
    </row>
    <row r="28" spans="1:4" x14ac:dyDescent="0.3">
      <c r="A28" t="s">
        <v>847</v>
      </c>
      <c r="B28" s="4">
        <f>VLOOKUP(A28,'As per Zoho'!$A:$M,MATCH('Master Check'!$B$1,'As per Zoho'!$A$2:$M$2),)</f>
        <v>0</v>
      </c>
      <c r="C28" s="4">
        <f>SUMIFS('&lt;&lt; Working &gt;&gt;'!$J:$J, '&lt;&lt; Working &gt;&gt;'!$G:$G, 'Master Check'!$B$1, '&lt;&lt; Working &gt;&gt;'!$D:$D, 'Master Check'!$A28)</f>
        <v>0</v>
      </c>
      <c r="D28" s="37">
        <f t="shared" si="0"/>
        <v>0</v>
      </c>
    </row>
    <row r="29" spans="1:4" x14ac:dyDescent="0.3">
      <c r="A29" t="s">
        <v>848</v>
      </c>
      <c r="B29" s="4">
        <f>VLOOKUP(A29,'As per Zoho'!$A:$M,MATCH('Master Check'!$B$1,'As per Zoho'!$A$2:$M$2),)</f>
        <v>10000</v>
      </c>
      <c r="C29" s="4">
        <f>SUMIFS('&lt;&lt; Working &gt;&gt;'!$J:$J, '&lt;&lt; Working &gt;&gt;'!$G:$G, 'Master Check'!$B$1, '&lt;&lt; Working &gt;&gt;'!$D:$D, 'Master Check'!$A29)</f>
        <v>10000</v>
      </c>
      <c r="D29" s="37">
        <f t="shared" si="0"/>
        <v>0</v>
      </c>
    </row>
    <row r="30" spans="1:4" x14ac:dyDescent="0.3">
      <c r="A30" t="s">
        <v>849</v>
      </c>
      <c r="B30" s="4">
        <f>VLOOKUP(A30,'As per Zoho'!$A:$M,MATCH('Master Check'!$B$1,'As per Zoho'!$A$2:$M$2),)</f>
        <v>0</v>
      </c>
      <c r="C30" s="4">
        <f>SUMIFS('&lt;&lt; Working &gt;&gt;'!$J:$J, '&lt;&lt; Working &gt;&gt;'!$G:$G, 'Master Check'!$B$1, '&lt;&lt; Working &gt;&gt;'!$D:$D, 'Master Check'!$A30)</f>
        <v>0</v>
      </c>
      <c r="D30" s="37">
        <f t="shared" si="0"/>
        <v>0</v>
      </c>
    </row>
    <row r="31" spans="1:4" x14ac:dyDescent="0.3">
      <c r="A31" t="s">
        <v>850</v>
      </c>
      <c r="B31" s="4">
        <f>VLOOKUP(A31,'As per Zoho'!$A:$M,MATCH('Master Check'!$B$1,'As per Zoho'!$A$2:$M$2),)</f>
        <v>0</v>
      </c>
      <c r="C31" s="4">
        <f>SUMIFS('&lt;&lt; Working &gt;&gt;'!$J:$J, '&lt;&lt; Working &gt;&gt;'!$G:$G, 'Master Check'!$B$1, '&lt;&lt; Working &gt;&gt;'!$D:$D, 'Master Check'!$A31)</f>
        <v>0</v>
      </c>
      <c r="D31" s="37">
        <f t="shared" si="0"/>
        <v>0</v>
      </c>
    </row>
    <row r="32" spans="1:4" x14ac:dyDescent="0.3">
      <c r="A32" t="s">
        <v>851</v>
      </c>
      <c r="B32" s="4">
        <f>VLOOKUP(A32,'As per Zoho'!$A:$M,MATCH('Master Check'!$B$1,'As per Zoho'!$A$2:$M$2),)</f>
        <v>0</v>
      </c>
      <c r="C32" s="4">
        <f>SUMIFS('&lt;&lt; Working &gt;&gt;'!$J:$J, '&lt;&lt; Working &gt;&gt;'!$G:$G, 'Master Check'!$B$1, '&lt;&lt; Working &gt;&gt;'!$D:$D, 'Master Check'!$A32)</f>
        <v>0</v>
      </c>
      <c r="D32" s="37">
        <f t="shared" si="0"/>
        <v>0</v>
      </c>
    </row>
    <row r="33" spans="1:4" x14ac:dyDescent="0.3">
      <c r="A33" t="s">
        <v>852</v>
      </c>
      <c r="B33" s="4">
        <f>VLOOKUP(A33,'As per Zoho'!$A:$M,MATCH('Master Check'!$B$1,'As per Zoho'!$A$2:$M$2),)</f>
        <v>0</v>
      </c>
      <c r="C33" s="4">
        <f>SUMIFS('&lt;&lt; Working &gt;&gt;'!$J:$J, '&lt;&lt; Working &gt;&gt;'!$G:$G, 'Master Check'!$B$1, '&lt;&lt; Working &gt;&gt;'!$D:$D, 'Master Check'!$A33)</f>
        <v>0</v>
      </c>
      <c r="D33" s="37">
        <f t="shared" si="0"/>
        <v>0</v>
      </c>
    </row>
    <row r="34" spans="1:4" x14ac:dyDescent="0.3">
      <c r="A34" t="s">
        <v>853</v>
      </c>
      <c r="B34" s="4">
        <f>VLOOKUP(A34,'As per Zoho'!$A:$M,MATCH('Master Check'!$B$1,'As per Zoho'!$A$2:$M$2),)</f>
        <v>0</v>
      </c>
      <c r="C34" s="4">
        <f>SUMIFS('&lt;&lt; Working &gt;&gt;'!$J:$J, '&lt;&lt; Working &gt;&gt;'!$G:$G, 'Master Check'!$B$1, '&lt;&lt; Working &gt;&gt;'!$D:$D, 'Master Check'!$A34)</f>
        <v>0</v>
      </c>
      <c r="D34" s="37">
        <f t="shared" si="0"/>
        <v>0</v>
      </c>
    </row>
    <row r="35" spans="1:4" x14ac:dyDescent="0.3">
      <c r="A35" t="s">
        <v>854</v>
      </c>
      <c r="B35" s="4">
        <f>VLOOKUP(A35,'As per Zoho'!$A:$M,MATCH('Master Check'!$B$1,'As per Zoho'!$A$2:$M$2),)</f>
        <v>10000</v>
      </c>
      <c r="C35" s="4">
        <f>SUMIFS('&lt;&lt; Working &gt;&gt;'!$J:$J, '&lt;&lt; Working &gt;&gt;'!$G:$G, 'Master Check'!$B$1, '&lt;&lt; Working &gt;&gt;'!$D:$D, 'Master Check'!$A35)</f>
        <v>10000</v>
      </c>
      <c r="D35" s="37">
        <f t="shared" si="0"/>
        <v>0</v>
      </c>
    </row>
    <row r="36" spans="1:4" x14ac:dyDescent="0.3">
      <c r="A36" t="s">
        <v>855</v>
      </c>
      <c r="B36" s="4">
        <f>VLOOKUP(A36,'As per Zoho'!$A:$M,MATCH('Master Check'!$B$1,'As per Zoho'!$A$2:$M$2),)</f>
        <v>12000</v>
      </c>
      <c r="C36" s="4">
        <f>SUMIFS('&lt;&lt; Working &gt;&gt;'!$J:$J, '&lt;&lt; Working &gt;&gt;'!$G:$G, 'Master Check'!$B$1, '&lt;&lt; Working &gt;&gt;'!$D:$D, 'Master Check'!$A36)</f>
        <v>12000</v>
      </c>
      <c r="D36" s="37">
        <f t="shared" si="0"/>
        <v>0</v>
      </c>
    </row>
    <row r="37" spans="1:4" x14ac:dyDescent="0.3">
      <c r="A37" t="s">
        <v>856</v>
      </c>
      <c r="B37" s="4">
        <f>VLOOKUP(A37,'As per Zoho'!$A:$M,MATCH('Master Check'!$B$1,'As per Zoho'!$A$2:$M$2),)</f>
        <v>0</v>
      </c>
      <c r="C37" s="4">
        <f>SUMIFS('&lt;&lt; Working &gt;&gt;'!$J:$J, '&lt;&lt; Working &gt;&gt;'!$G:$G, 'Master Check'!$B$1, '&lt;&lt; Working &gt;&gt;'!$D:$D, 'Master Check'!$A37)</f>
        <v>0</v>
      </c>
      <c r="D37" s="37">
        <f t="shared" si="0"/>
        <v>0</v>
      </c>
    </row>
    <row r="38" spans="1:4" x14ac:dyDescent="0.3">
      <c r="A38" t="s">
        <v>857</v>
      </c>
      <c r="B38" s="4">
        <f>VLOOKUP(A38,'As per Zoho'!$A:$M,MATCH('Master Check'!$B$1,'As per Zoho'!$A$2:$M$2),)</f>
        <v>112000</v>
      </c>
      <c r="C38" s="4">
        <f>SUMIFS('&lt;&lt; Working &gt;&gt;'!$J:$J, '&lt;&lt; Working &gt;&gt;'!$G:$G, 'Master Check'!$B$1, '&lt;&lt; Working &gt;&gt;'!$D:$D, 'Master Check'!$A38)</f>
        <v>112000</v>
      </c>
      <c r="D38" s="37">
        <f t="shared" si="0"/>
        <v>0</v>
      </c>
    </row>
    <row r="39" spans="1:4" x14ac:dyDescent="0.3">
      <c r="A39" t="s">
        <v>858</v>
      </c>
      <c r="B39" s="4">
        <f>VLOOKUP(A39,'As per Zoho'!$A:$M,MATCH('Master Check'!$B$1,'As per Zoho'!$A$2:$M$2),)</f>
        <v>0</v>
      </c>
      <c r="C39" s="4">
        <f>SUMIFS('&lt;&lt; Working &gt;&gt;'!$J:$J, '&lt;&lt; Working &gt;&gt;'!$G:$G, 'Master Check'!$B$1, '&lt;&lt; Working &gt;&gt;'!$D:$D, 'Master Check'!$A39)</f>
        <v>0</v>
      </c>
      <c r="D39" s="37">
        <f t="shared" si="0"/>
        <v>0</v>
      </c>
    </row>
    <row r="40" spans="1:4" x14ac:dyDescent="0.3">
      <c r="A40" t="s">
        <v>859</v>
      </c>
      <c r="B40" s="4">
        <f>VLOOKUP(A40,'As per Zoho'!$A:$M,MATCH('Master Check'!$B$1,'As per Zoho'!$A$2:$M$2),)</f>
        <v>0</v>
      </c>
      <c r="C40" s="4">
        <f>SUMIFS('&lt;&lt; Working &gt;&gt;'!$J:$J, '&lt;&lt; Working &gt;&gt;'!$G:$G, 'Master Check'!$B$1, '&lt;&lt; Working &gt;&gt;'!$D:$D, 'Master Check'!$A40)</f>
        <v>0</v>
      </c>
      <c r="D40" s="37">
        <f t="shared" si="0"/>
        <v>0</v>
      </c>
    </row>
    <row r="41" spans="1:4" x14ac:dyDescent="0.3">
      <c r="A41" t="s">
        <v>860</v>
      </c>
      <c r="B41" s="4">
        <f>VLOOKUP(A41,'As per Zoho'!$A:$M,MATCH('Master Check'!$B$1,'As per Zoho'!$A$2:$M$2),)</f>
        <v>0</v>
      </c>
      <c r="C41" s="4">
        <f>SUMIFS('&lt;&lt; Working &gt;&gt;'!$J:$J, '&lt;&lt; Working &gt;&gt;'!$G:$G, 'Master Check'!$B$1, '&lt;&lt; Working &gt;&gt;'!$D:$D, 'Master Check'!$A41)</f>
        <v>0</v>
      </c>
      <c r="D41" s="37">
        <f t="shared" si="0"/>
        <v>0</v>
      </c>
    </row>
    <row r="42" spans="1:4" x14ac:dyDescent="0.3">
      <c r="A42" t="s">
        <v>861</v>
      </c>
      <c r="B42" s="4">
        <f>VLOOKUP(A42,'As per Zoho'!$A:$M,MATCH('Master Check'!$B$1,'As per Zoho'!$A$2:$M$2),)</f>
        <v>0</v>
      </c>
      <c r="C42" s="4">
        <f>SUMIFS('&lt;&lt; Working &gt;&gt;'!$J:$J, '&lt;&lt; Working &gt;&gt;'!$G:$G, 'Master Check'!$B$1, '&lt;&lt; Working &gt;&gt;'!$D:$D, 'Master Check'!$A42)</f>
        <v>0</v>
      </c>
      <c r="D42" s="37">
        <f t="shared" si="0"/>
        <v>0</v>
      </c>
    </row>
    <row r="43" spans="1:4" x14ac:dyDescent="0.3">
      <c r="A43" t="s">
        <v>862</v>
      </c>
      <c r="B43" s="4">
        <f>VLOOKUP(A43,'As per Zoho'!$A:$M,MATCH('Master Check'!$B$1,'As per Zoho'!$A$2:$M$2),)</f>
        <v>0</v>
      </c>
      <c r="C43" s="4">
        <f>SUMIFS('&lt;&lt; Working &gt;&gt;'!$J:$J, '&lt;&lt; Working &gt;&gt;'!$G:$G, 'Master Check'!$B$1, '&lt;&lt; Working &gt;&gt;'!$D:$D, 'Master Check'!$A43)</f>
        <v>0</v>
      </c>
      <c r="D43" s="37">
        <f t="shared" si="0"/>
        <v>0</v>
      </c>
    </row>
    <row r="44" spans="1:4" x14ac:dyDescent="0.3">
      <c r="A44" t="s">
        <v>863</v>
      </c>
      <c r="B44" s="4">
        <f>VLOOKUP(A44,'As per Zoho'!$A:$M,MATCH('Master Check'!$B$1,'As per Zoho'!$A$2:$M$2),)</f>
        <v>0</v>
      </c>
      <c r="C44" s="4">
        <f>SUMIFS('&lt;&lt; Working &gt;&gt;'!$J:$J, '&lt;&lt; Working &gt;&gt;'!$G:$G, 'Master Check'!$B$1, '&lt;&lt; Working &gt;&gt;'!$D:$D, 'Master Check'!$A44)</f>
        <v>0</v>
      </c>
      <c r="D44" s="37">
        <f t="shared" si="0"/>
        <v>0</v>
      </c>
    </row>
    <row r="45" spans="1:4" x14ac:dyDescent="0.3">
      <c r="A45" t="s">
        <v>864</v>
      </c>
      <c r="B45" s="4">
        <f>VLOOKUP(A45,'As per Zoho'!$A:$M,MATCH('Master Check'!$B$1,'As per Zoho'!$A$2:$M$2),)</f>
        <v>62000</v>
      </c>
      <c r="C45" s="4">
        <f>SUMIFS('&lt;&lt; Working &gt;&gt;'!$J:$J, '&lt;&lt; Working &gt;&gt;'!$G:$G, 'Master Check'!$B$1, '&lt;&lt; Working &gt;&gt;'!$D:$D, 'Master Check'!$A45)</f>
        <v>62000</v>
      </c>
      <c r="D45" s="37">
        <f t="shared" si="0"/>
        <v>0</v>
      </c>
    </row>
    <row r="46" spans="1:4" x14ac:dyDescent="0.3">
      <c r="A46" t="s">
        <v>865</v>
      </c>
      <c r="B46" s="4">
        <f>VLOOKUP(A46,'As per Zoho'!$A:$M,MATCH('Master Check'!$B$1,'As per Zoho'!$A$2:$M$2),)</f>
        <v>0</v>
      </c>
      <c r="C46" s="4">
        <f>SUMIFS('&lt;&lt; Working &gt;&gt;'!$J:$J, '&lt;&lt; Working &gt;&gt;'!$G:$G, 'Master Check'!$B$1, '&lt;&lt; Working &gt;&gt;'!$D:$D, 'Master Check'!$A46)</f>
        <v>0</v>
      </c>
      <c r="D46" s="37">
        <f t="shared" si="0"/>
        <v>0</v>
      </c>
    </row>
    <row r="47" spans="1:4" x14ac:dyDescent="0.3">
      <c r="A47" t="s">
        <v>866</v>
      </c>
      <c r="B47" s="4">
        <f>VLOOKUP(A47,'As per Zoho'!$A:$M,MATCH('Master Check'!$B$1,'As per Zoho'!$A$2:$M$2),)</f>
        <v>12000</v>
      </c>
      <c r="C47" s="4">
        <f>SUMIFS('&lt;&lt; Working &gt;&gt;'!$J:$J, '&lt;&lt; Working &gt;&gt;'!$G:$G, 'Master Check'!$B$1, '&lt;&lt; Working &gt;&gt;'!$D:$D, 'Master Check'!$A47)</f>
        <v>12000</v>
      </c>
      <c r="D47" s="37">
        <f t="shared" si="0"/>
        <v>0</v>
      </c>
    </row>
    <row r="48" spans="1:4" x14ac:dyDescent="0.3">
      <c r="A48" t="s">
        <v>867</v>
      </c>
      <c r="B48" s="4">
        <f>VLOOKUP(A48,'As per Zoho'!$A:$M,MATCH('Master Check'!$B$1,'As per Zoho'!$A$2:$M$2),)</f>
        <v>0</v>
      </c>
      <c r="C48" s="4">
        <f>SUMIFS('&lt;&lt; Working &gt;&gt;'!$J:$J, '&lt;&lt; Working &gt;&gt;'!$G:$G, 'Master Check'!$B$1, '&lt;&lt; Working &gt;&gt;'!$D:$D, 'Master Check'!$A48)</f>
        <v>0</v>
      </c>
      <c r="D48" s="37">
        <f t="shared" si="0"/>
        <v>0</v>
      </c>
    </row>
    <row r="49" spans="1:4" x14ac:dyDescent="0.3">
      <c r="A49" t="s">
        <v>868</v>
      </c>
      <c r="B49" s="4">
        <f>VLOOKUP(A49,'As per Zoho'!$A:$M,MATCH('Master Check'!$B$1,'As per Zoho'!$A$2:$M$2),)</f>
        <v>0</v>
      </c>
      <c r="C49" s="4">
        <f>SUMIFS('&lt;&lt; Working &gt;&gt;'!$J:$J, '&lt;&lt; Working &gt;&gt;'!$G:$G, 'Master Check'!$B$1, '&lt;&lt; Working &gt;&gt;'!$D:$D, 'Master Check'!$A49)</f>
        <v>0</v>
      </c>
      <c r="D49" s="37">
        <f t="shared" si="0"/>
        <v>0</v>
      </c>
    </row>
    <row r="50" spans="1:4" x14ac:dyDescent="0.3">
      <c r="A50" t="s">
        <v>869</v>
      </c>
      <c r="B50" s="4">
        <f>VLOOKUP(A50,'As per Zoho'!$A:$M,MATCH('Master Check'!$B$1,'As per Zoho'!$A$2:$M$2),)</f>
        <v>0</v>
      </c>
      <c r="C50" s="4">
        <f>SUMIFS('&lt;&lt; Working &gt;&gt;'!$J:$J, '&lt;&lt; Working &gt;&gt;'!$G:$G, 'Master Check'!$B$1, '&lt;&lt; Working &gt;&gt;'!$D:$D, 'Master Check'!$A50)</f>
        <v>0</v>
      </c>
      <c r="D50" s="37">
        <f t="shared" si="0"/>
        <v>0</v>
      </c>
    </row>
    <row r="51" spans="1:4" x14ac:dyDescent="0.3">
      <c r="A51" t="s">
        <v>870</v>
      </c>
      <c r="B51" s="4">
        <f>VLOOKUP(A51,'As per Zoho'!$A:$M,MATCH('Master Check'!$B$1,'As per Zoho'!$A$2:$M$2),)</f>
        <v>0</v>
      </c>
      <c r="C51" s="4">
        <f>SUMIFS('&lt;&lt; Working &gt;&gt;'!$J:$J, '&lt;&lt; Working &gt;&gt;'!$G:$G, 'Master Check'!$B$1, '&lt;&lt; Working &gt;&gt;'!$D:$D, 'Master Check'!$A51)</f>
        <v>0</v>
      </c>
      <c r="D51" s="37">
        <f t="shared" si="0"/>
        <v>0</v>
      </c>
    </row>
    <row r="52" spans="1:4" x14ac:dyDescent="0.3">
      <c r="A52" t="s">
        <v>871</v>
      </c>
      <c r="B52" s="4">
        <f>VLOOKUP(A52,'As per Zoho'!$A:$M,MATCH('Master Check'!$B$1,'As per Zoho'!$A$2:$M$2),)</f>
        <v>0</v>
      </c>
      <c r="C52" s="4">
        <f>SUMIFS('&lt;&lt; Working &gt;&gt;'!$J:$J, '&lt;&lt; Working &gt;&gt;'!$G:$G, 'Master Check'!$B$1, '&lt;&lt; Working &gt;&gt;'!$D:$D, 'Master Check'!$A52)</f>
        <v>0</v>
      </c>
      <c r="D52" s="37">
        <f t="shared" si="0"/>
        <v>0</v>
      </c>
    </row>
    <row r="53" spans="1:4" x14ac:dyDescent="0.3">
      <c r="A53" t="s">
        <v>872</v>
      </c>
      <c r="B53" s="4">
        <f>VLOOKUP(A53,'As per Zoho'!$A:$M,MATCH('Master Check'!$B$1,'As per Zoho'!$A$2:$M$2),)</f>
        <v>10000</v>
      </c>
      <c r="C53" s="4">
        <f>SUMIFS('&lt;&lt; Working &gt;&gt;'!$J:$J, '&lt;&lt; Working &gt;&gt;'!$G:$G, 'Master Check'!$B$1, '&lt;&lt; Working &gt;&gt;'!$D:$D, 'Master Check'!$A53)</f>
        <v>10000</v>
      </c>
      <c r="D53" s="37">
        <f t="shared" si="0"/>
        <v>0</v>
      </c>
    </row>
    <row r="54" spans="1:4" x14ac:dyDescent="0.3">
      <c r="A54" t="s">
        <v>873</v>
      </c>
      <c r="B54" s="4">
        <f>VLOOKUP(A54,'As per Zoho'!$A:$M,MATCH('Master Check'!$B$1,'As per Zoho'!$A$2:$M$2),)</f>
        <v>0</v>
      </c>
      <c r="C54" s="4">
        <f>SUMIFS('&lt;&lt; Working &gt;&gt;'!$J:$J, '&lt;&lt; Working &gt;&gt;'!$G:$G, 'Master Check'!$B$1, '&lt;&lt; Working &gt;&gt;'!$D:$D, 'Master Check'!$A54)</f>
        <v>0</v>
      </c>
      <c r="D54" s="37">
        <f t="shared" si="0"/>
        <v>0</v>
      </c>
    </row>
    <row r="55" spans="1:4" x14ac:dyDescent="0.3">
      <c r="A55" t="s">
        <v>874</v>
      </c>
      <c r="B55" s="4">
        <f>VLOOKUP(A55,'As per Zoho'!$A:$M,MATCH('Master Check'!$B$1,'As per Zoho'!$A$2:$M$2),)</f>
        <v>25000</v>
      </c>
      <c r="C55" s="4">
        <f>SUMIFS('&lt;&lt; Working &gt;&gt;'!$J:$J, '&lt;&lt; Working &gt;&gt;'!$G:$G, 'Master Check'!$B$1, '&lt;&lt; Working &gt;&gt;'!$D:$D, 'Master Check'!$A55)</f>
        <v>25000</v>
      </c>
      <c r="D55" s="37">
        <f t="shared" si="0"/>
        <v>0</v>
      </c>
    </row>
    <row r="56" spans="1:4" x14ac:dyDescent="0.3">
      <c r="A56" t="s">
        <v>875</v>
      </c>
      <c r="B56" s="4">
        <f>VLOOKUP(A56,'As per Zoho'!$A:$M,MATCH('Master Check'!$B$1,'As per Zoho'!$A$2:$M$2),)</f>
        <v>0</v>
      </c>
      <c r="C56" s="4">
        <f>SUMIFS('&lt;&lt; Working &gt;&gt;'!$J:$J, '&lt;&lt; Working &gt;&gt;'!$G:$G, 'Master Check'!$B$1, '&lt;&lt; Working &gt;&gt;'!$D:$D, 'Master Check'!$A56)</f>
        <v>0</v>
      </c>
      <c r="D56" s="37">
        <f t="shared" si="0"/>
        <v>0</v>
      </c>
    </row>
    <row r="57" spans="1:4" x14ac:dyDescent="0.3">
      <c r="A57" t="s">
        <v>876</v>
      </c>
      <c r="B57" s="4">
        <f>VLOOKUP(A57,'As per Zoho'!$A:$M,MATCH('Master Check'!$B$1,'As per Zoho'!$A$2:$M$2),)</f>
        <v>16000</v>
      </c>
      <c r="C57" s="4">
        <f>SUMIFS('&lt;&lt; Working &gt;&gt;'!$J:$J, '&lt;&lt; Working &gt;&gt;'!$G:$G, 'Master Check'!$B$1, '&lt;&lt; Working &gt;&gt;'!$D:$D, 'Master Check'!$A57)</f>
        <v>16000</v>
      </c>
      <c r="D57" s="37">
        <f t="shared" si="0"/>
        <v>0</v>
      </c>
    </row>
    <row r="58" spans="1:4" x14ac:dyDescent="0.3">
      <c r="A58" t="s">
        <v>877</v>
      </c>
      <c r="B58" s="4">
        <f>VLOOKUP(A58,'As per Zoho'!$A:$M,MATCH('Master Check'!$B$1,'As per Zoho'!$A$2:$M$2),)</f>
        <v>0</v>
      </c>
      <c r="C58" s="4">
        <f>SUMIFS('&lt;&lt; Working &gt;&gt;'!$J:$J, '&lt;&lt; Working &gt;&gt;'!$G:$G, 'Master Check'!$B$1, '&lt;&lt; Working &gt;&gt;'!$D:$D, 'Master Check'!$A58)</f>
        <v>0</v>
      </c>
      <c r="D58" s="37">
        <f t="shared" si="0"/>
        <v>0</v>
      </c>
    </row>
    <row r="59" spans="1:4" x14ac:dyDescent="0.3">
      <c r="A59" t="s">
        <v>878</v>
      </c>
      <c r="B59" s="4">
        <f>VLOOKUP(A59,'As per Zoho'!$A:$M,MATCH('Master Check'!$B$1,'As per Zoho'!$A$2:$M$2),)</f>
        <v>0</v>
      </c>
      <c r="C59" s="4">
        <f>SUMIFS('&lt;&lt; Working &gt;&gt;'!$J:$J, '&lt;&lt; Working &gt;&gt;'!$G:$G, 'Master Check'!$B$1, '&lt;&lt; Working &gt;&gt;'!$D:$D, 'Master Check'!$A59)</f>
        <v>0</v>
      </c>
      <c r="D59" s="37">
        <f t="shared" si="0"/>
        <v>0</v>
      </c>
    </row>
    <row r="60" spans="1:4" x14ac:dyDescent="0.3">
      <c r="A60" t="s">
        <v>879</v>
      </c>
      <c r="B60" s="4">
        <f>VLOOKUP(A60,'As per Zoho'!$A:$M,MATCH('Master Check'!$B$1,'As per Zoho'!$A$2:$M$2),)</f>
        <v>0</v>
      </c>
      <c r="C60" s="4">
        <f>SUMIFS('&lt;&lt; Working &gt;&gt;'!$J:$J, '&lt;&lt; Working &gt;&gt;'!$G:$G, 'Master Check'!$B$1, '&lt;&lt; Working &gt;&gt;'!$D:$D, 'Master Check'!$A60)</f>
        <v>0</v>
      </c>
      <c r="D60" s="37">
        <f t="shared" si="0"/>
        <v>0</v>
      </c>
    </row>
    <row r="61" spans="1:4" x14ac:dyDescent="0.3">
      <c r="A61" t="s">
        <v>880</v>
      </c>
      <c r="B61" s="4">
        <f>VLOOKUP(A61,'As per Zoho'!$A:$M,MATCH('Master Check'!$B$1,'As per Zoho'!$A$2:$M$2),)</f>
        <v>115000</v>
      </c>
      <c r="C61" s="4">
        <f>SUMIFS('&lt;&lt; Working &gt;&gt;'!$J:$J, '&lt;&lt; Working &gt;&gt;'!$G:$G, 'Master Check'!$B$1, '&lt;&lt; Working &gt;&gt;'!$D:$D, 'Master Check'!$A61)</f>
        <v>115000</v>
      </c>
      <c r="D61" s="37">
        <f t="shared" si="0"/>
        <v>0</v>
      </c>
    </row>
    <row r="62" spans="1:4" x14ac:dyDescent="0.3">
      <c r="A62" t="s">
        <v>881</v>
      </c>
      <c r="B62" s="4">
        <f>VLOOKUP(A62,'As per Zoho'!$A:$M,MATCH('Master Check'!$B$1,'As per Zoho'!$A$2:$M$2),)</f>
        <v>0</v>
      </c>
      <c r="C62" s="4">
        <f>SUMIFS('&lt;&lt; Working &gt;&gt;'!$J:$J, '&lt;&lt; Working &gt;&gt;'!$G:$G, 'Master Check'!$B$1, '&lt;&lt; Working &gt;&gt;'!$D:$D, 'Master Check'!$A62)</f>
        <v>0</v>
      </c>
      <c r="D62" s="37">
        <f t="shared" si="0"/>
        <v>0</v>
      </c>
    </row>
    <row r="63" spans="1:4" x14ac:dyDescent="0.3">
      <c r="A63" t="s">
        <v>882</v>
      </c>
      <c r="B63" s="4">
        <f>VLOOKUP(A63,'As per Zoho'!$A:$M,MATCH('Master Check'!$B$1,'As per Zoho'!$A$2:$M$2),)</f>
        <v>0</v>
      </c>
      <c r="C63" s="4">
        <f>SUMIFS('&lt;&lt; Working &gt;&gt;'!$J:$J, '&lt;&lt; Working &gt;&gt;'!$G:$G, 'Master Check'!$B$1, '&lt;&lt; Working &gt;&gt;'!$D:$D, 'Master Check'!$A63)</f>
        <v>0</v>
      </c>
      <c r="D63" s="37">
        <f t="shared" si="0"/>
        <v>0</v>
      </c>
    </row>
    <row r="64" spans="1:4" x14ac:dyDescent="0.3">
      <c r="A64" t="s">
        <v>883</v>
      </c>
      <c r="B64" s="4">
        <f>VLOOKUP(A64,'As per Zoho'!$A:$M,MATCH('Master Check'!$B$1,'As per Zoho'!$A$2:$M$2),)</f>
        <v>0</v>
      </c>
      <c r="C64" s="4">
        <f>SUMIFS('&lt;&lt; Working &gt;&gt;'!$J:$J, '&lt;&lt; Working &gt;&gt;'!$G:$G, 'Master Check'!$B$1, '&lt;&lt; Working &gt;&gt;'!$D:$D, 'Master Check'!$A64)</f>
        <v>0</v>
      </c>
      <c r="D64" s="37">
        <f t="shared" si="0"/>
        <v>0</v>
      </c>
    </row>
    <row r="65" spans="1:4" x14ac:dyDescent="0.3">
      <c r="A65" t="s">
        <v>884</v>
      </c>
      <c r="B65" s="4">
        <f>VLOOKUP(A65,'As per Zoho'!$A:$M,MATCH('Master Check'!$B$1,'As per Zoho'!$A$2:$M$2),)</f>
        <v>0</v>
      </c>
      <c r="C65" s="4">
        <f>SUMIFS('&lt;&lt; Working &gt;&gt;'!$J:$J, '&lt;&lt; Working &gt;&gt;'!$G:$G, 'Master Check'!$B$1, '&lt;&lt; Working &gt;&gt;'!$D:$D, 'Master Check'!$A65)</f>
        <v>0</v>
      </c>
      <c r="D65" s="37">
        <f t="shared" si="0"/>
        <v>0</v>
      </c>
    </row>
    <row r="66" spans="1:4" x14ac:dyDescent="0.3">
      <c r="A66" t="s">
        <v>885</v>
      </c>
      <c r="B66" s="4">
        <f>VLOOKUP(A66,'As per Zoho'!$A:$M,MATCH('Master Check'!$B$1,'As per Zoho'!$A$2:$M$2),)</f>
        <v>12000</v>
      </c>
      <c r="C66" s="4">
        <f>SUMIFS('&lt;&lt; Working &gt;&gt;'!$J:$J, '&lt;&lt; Working &gt;&gt;'!$G:$G, 'Master Check'!$B$1, '&lt;&lt; Working &gt;&gt;'!$D:$D, 'Master Check'!$A66)</f>
        <v>12000</v>
      </c>
      <c r="D66" s="37">
        <f t="shared" si="0"/>
        <v>0</v>
      </c>
    </row>
    <row r="67" spans="1:4" x14ac:dyDescent="0.3">
      <c r="A67" t="s">
        <v>886</v>
      </c>
      <c r="B67" s="4">
        <f>VLOOKUP(A67,'As per Zoho'!$A:$M,MATCH('Master Check'!$B$1,'As per Zoho'!$A$2:$M$2),)</f>
        <v>0</v>
      </c>
      <c r="C67" s="4">
        <f>SUMIFS('&lt;&lt; Working &gt;&gt;'!$J:$J, '&lt;&lt; Working &gt;&gt;'!$G:$G, 'Master Check'!$B$1, '&lt;&lt; Working &gt;&gt;'!$D:$D, 'Master Check'!$A67)</f>
        <v>0</v>
      </c>
      <c r="D67" s="37">
        <f t="shared" si="0"/>
        <v>0</v>
      </c>
    </row>
    <row r="68" spans="1:4" x14ac:dyDescent="0.3">
      <c r="A68" t="s">
        <v>887</v>
      </c>
      <c r="B68" s="4">
        <f>VLOOKUP(A68,'As per Zoho'!$A:$M,MATCH('Master Check'!$B$1,'As per Zoho'!$A$2:$M$2),)</f>
        <v>0</v>
      </c>
      <c r="C68" s="4">
        <f>SUMIFS('&lt;&lt; Working &gt;&gt;'!$J:$J, '&lt;&lt; Working &gt;&gt;'!$G:$G, 'Master Check'!$B$1, '&lt;&lt; Working &gt;&gt;'!$D:$D, 'Master Check'!$A68)</f>
        <v>0</v>
      </c>
      <c r="D68" s="37">
        <f t="shared" si="0"/>
        <v>0</v>
      </c>
    </row>
    <row r="69" spans="1:4" x14ac:dyDescent="0.3">
      <c r="A69" t="s">
        <v>888</v>
      </c>
      <c r="B69" s="4">
        <f>VLOOKUP(A69,'As per Zoho'!$A:$M,MATCH('Master Check'!$B$1,'As per Zoho'!$A$2:$M$2),)</f>
        <v>0</v>
      </c>
      <c r="C69" s="4">
        <f>SUMIFS('&lt;&lt; Working &gt;&gt;'!$J:$J, '&lt;&lt; Working &gt;&gt;'!$G:$G, 'Master Check'!$B$1, '&lt;&lt; Working &gt;&gt;'!$D:$D, 'Master Check'!$A69)</f>
        <v>0</v>
      </c>
      <c r="D69" s="37">
        <f t="shared" ref="D69:D73" si="1">B69-C69</f>
        <v>0</v>
      </c>
    </row>
    <row r="70" spans="1:4" x14ac:dyDescent="0.3">
      <c r="A70" t="s">
        <v>889</v>
      </c>
      <c r="B70" s="4">
        <f>VLOOKUP(A70,'As per Zoho'!$A:$M,MATCH('Master Check'!$B$1,'As per Zoho'!$A$2:$M$2),)</f>
        <v>400</v>
      </c>
      <c r="C70" s="4">
        <f>SUMIFS('&lt;&lt; Working &gt;&gt;'!$J:$J, '&lt;&lt; Working &gt;&gt;'!$G:$G, 'Master Check'!$B$1, '&lt;&lt; Working &gt;&gt;'!$D:$D, 'Master Check'!$A70)</f>
        <v>400</v>
      </c>
      <c r="D70" s="37">
        <f t="shared" si="1"/>
        <v>0</v>
      </c>
    </row>
    <row r="71" spans="1:4" x14ac:dyDescent="0.3">
      <c r="A71" t="s">
        <v>890</v>
      </c>
      <c r="B71" s="4">
        <f>VLOOKUP(A71,'As per Zoho'!$A:$M,MATCH('Master Check'!$B$1,'As per Zoho'!$A$2:$M$2),)</f>
        <v>2200</v>
      </c>
      <c r="C71" s="4">
        <f>SUMIFS('&lt;&lt; Working &gt;&gt;'!$J:$J, '&lt;&lt; Working &gt;&gt;'!$G:$G, 'Master Check'!$B$1, '&lt;&lt; Working &gt;&gt;'!$D:$D, 'Master Check'!$A71)</f>
        <v>2200</v>
      </c>
      <c r="D71" s="37">
        <f t="shared" si="1"/>
        <v>0</v>
      </c>
    </row>
    <row r="72" spans="1:4" x14ac:dyDescent="0.3">
      <c r="A72" t="s">
        <v>891</v>
      </c>
      <c r="B72" s="4">
        <f>VLOOKUP(A72,'As per Zoho'!$A:$M,MATCH('Master Check'!$B$1,'As per Zoho'!$A$2:$M$2),)</f>
        <v>3000</v>
      </c>
      <c r="C72" s="4">
        <f>SUMIFS('&lt;&lt; Working &gt;&gt;'!$J:$J, '&lt;&lt; Working &gt;&gt;'!$G:$G, 'Master Check'!$B$1, '&lt;&lt; Working &gt;&gt;'!$D:$D, 'Master Check'!$A72)</f>
        <v>3000</v>
      </c>
      <c r="D72" s="37">
        <f t="shared" si="1"/>
        <v>0</v>
      </c>
    </row>
    <row r="73" spans="1:4" x14ac:dyDescent="0.3">
      <c r="A73" t="s">
        <v>892</v>
      </c>
      <c r="B73" s="4">
        <f>VLOOKUP(A73,'As per Zoho'!$A:$M,MATCH('Master Check'!$B$1,'As per Zoho'!$A$2:$M$2),)</f>
        <v>0</v>
      </c>
      <c r="C73" s="4">
        <f>SUMIFS('&lt;&lt; Working &gt;&gt;'!$J:$J, '&lt;&lt; Working &gt;&gt;'!$G:$G, 'Master Check'!$B$1, '&lt;&lt; Working &gt;&gt;'!$D:$D, 'Master Check'!$A73)</f>
        <v>0</v>
      </c>
      <c r="D73" s="37">
        <f t="shared" si="1"/>
        <v>0</v>
      </c>
    </row>
  </sheetData>
  <autoFilter ref="A3:D73" xr:uid="{2D0C9344-71C0-4D13-A738-0A12C6C07F51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509740-79C8-439F-B2AC-5B46E9835152}">
          <x14:formula1>
            <xm:f>Dropdown!$C$2:$C$13</xm:f>
          </x14:formula1>
          <xm:sqref>B1:B2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34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6.6640625" bestFit="1" customWidth="1"/>
    <col min="2" max="2" width="14.33203125" style="5" bestFit="1" customWidth="1"/>
    <col min="3" max="3" width="13.109375" customWidth="1"/>
    <col min="4" max="4" width="50.44140625" customWidth="1"/>
    <col min="5" max="5" width="50.44140625" bestFit="1" customWidth="1"/>
    <col min="6" max="6" width="13.109375" bestFit="1" customWidth="1"/>
    <col min="7" max="7" width="13.109375" customWidth="1"/>
    <col min="8" max="8" width="21.33203125" bestFit="1" customWidth="1"/>
    <col min="9" max="9" width="9.33203125" style="25" customWidth="1"/>
    <col min="10" max="10" width="12.5546875" style="4" bestFit="1" customWidth="1"/>
    <col min="11" max="11" width="30.21875" customWidth="1"/>
    <col min="12" max="12" width="10" customWidth="1"/>
    <col min="13" max="13" width="11.77734375" customWidth="1"/>
    <col min="14" max="14" width="20.21875" bestFit="1" customWidth="1"/>
    <col min="15" max="15" width="19.88671875" customWidth="1"/>
    <col min="16" max="16" width="0.5546875" customWidth="1"/>
    <col min="17" max="17" width="12.88671875" bestFit="1" customWidth="1"/>
    <col min="18" max="18" width="15" customWidth="1"/>
    <col min="19" max="19" width="5.88671875" bestFit="1" customWidth="1"/>
    <col min="20" max="20" width="5.44140625" bestFit="1" customWidth="1"/>
    <col min="21" max="21" width="7.88671875" customWidth="1"/>
    <col min="22" max="22" width="0.44140625" customWidth="1"/>
    <col min="23" max="23" width="31.5546875" style="25" bestFit="1" customWidth="1"/>
    <col min="24" max="24" width="22.109375" style="25" customWidth="1"/>
    <col min="25" max="25" width="17.33203125" style="25" bestFit="1" customWidth="1"/>
    <col min="26" max="26" width="11.33203125" style="25" bestFit="1" customWidth="1"/>
    <col min="27" max="27" width="0.77734375" customWidth="1"/>
    <col min="28" max="28" width="8.5546875" style="8" customWidth="1"/>
    <col min="29" max="37" width="10.109375" style="8" customWidth="1"/>
    <col min="38" max="38" width="14.33203125" style="8" bestFit="1" customWidth="1"/>
    <col min="39" max="39" width="14.33203125" style="8" customWidth="1"/>
    <col min="40" max="40" width="7.44140625" style="8" bestFit="1" customWidth="1"/>
    <col min="41" max="41" width="0.77734375" customWidth="1"/>
    <col min="43" max="43" width="15.109375" bestFit="1" customWidth="1"/>
    <col min="44" max="44" width="35.33203125" bestFit="1" customWidth="1"/>
  </cols>
  <sheetData>
    <row r="1" spans="1:44" x14ac:dyDescent="0.3">
      <c r="J1" s="35">
        <f>SUBTOTAL(9, J3:J1048576)</f>
        <v>8728791</v>
      </c>
      <c r="W1" s="32" t="s">
        <v>1337</v>
      </c>
      <c r="X1" s="49" t="s">
        <v>1313</v>
      </c>
      <c r="Y1" s="49"/>
      <c r="Z1" s="49"/>
      <c r="AA1" s="18"/>
      <c r="AB1" s="50" t="s">
        <v>33</v>
      </c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18"/>
      <c r="AP1" s="21"/>
    </row>
    <row r="2" spans="1:44" x14ac:dyDescent="0.3">
      <c r="A2" s="13" t="s">
        <v>27</v>
      </c>
      <c r="B2" s="52" t="s">
        <v>1677</v>
      </c>
      <c r="C2" s="17" t="s">
        <v>30</v>
      </c>
      <c r="D2" s="14" t="s">
        <v>28</v>
      </c>
      <c r="E2" s="12" t="s">
        <v>1338</v>
      </c>
      <c r="F2" s="1" t="s">
        <v>6</v>
      </c>
      <c r="G2" s="12" t="s">
        <v>29</v>
      </c>
      <c r="H2" s="2" t="s">
        <v>5</v>
      </c>
      <c r="I2" s="26" t="s">
        <v>11</v>
      </c>
      <c r="J2" s="15" t="s">
        <v>0</v>
      </c>
      <c r="K2" s="15" t="s">
        <v>1</v>
      </c>
      <c r="L2" s="31" t="s">
        <v>2</v>
      </c>
      <c r="M2" s="31" t="s">
        <v>3</v>
      </c>
      <c r="N2" s="17" t="s">
        <v>4</v>
      </c>
      <c r="O2" s="1" t="s">
        <v>1600</v>
      </c>
      <c r="P2" s="16"/>
      <c r="Q2" s="3" t="s">
        <v>7</v>
      </c>
      <c r="R2" s="12" t="s">
        <v>10</v>
      </c>
      <c r="S2" s="17" t="s">
        <v>8</v>
      </c>
      <c r="T2" s="17" t="s">
        <v>9</v>
      </c>
      <c r="U2" s="17" t="s">
        <v>12</v>
      </c>
      <c r="W2" s="33" t="s">
        <v>1311</v>
      </c>
      <c r="X2" s="33" t="s">
        <v>1312</v>
      </c>
      <c r="Y2" s="36" t="s">
        <v>31</v>
      </c>
      <c r="Z2" s="33" t="s">
        <v>32</v>
      </c>
      <c r="AA2" s="19"/>
      <c r="AB2" s="20" t="s">
        <v>15</v>
      </c>
      <c r="AC2" s="20" t="s">
        <v>34</v>
      </c>
      <c r="AD2" s="20" t="s">
        <v>8</v>
      </c>
      <c r="AE2" s="20" t="s">
        <v>1318</v>
      </c>
      <c r="AF2" s="20" t="s">
        <v>35</v>
      </c>
      <c r="AG2" s="20" t="s">
        <v>36</v>
      </c>
      <c r="AH2" s="20" t="s">
        <v>14</v>
      </c>
      <c r="AI2" s="20" t="s">
        <v>1319</v>
      </c>
      <c r="AJ2" s="20" t="s">
        <v>16</v>
      </c>
      <c r="AK2" s="20" t="s">
        <v>1309</v>
      </c>
      <c r="AL2" s="20" t="s">
        <v>1314</v>
      </c>
      <c r="AM2" s="20" t="s">
        <v>1645</v>
      </c>
      <c r="AN2" s="20" t="s">
        <v>37</v>
      </c>
      <c r="AO2" s="19"/>
      <c r="AP2" s="22" t="s">
        <v>13</v>
      </c>
      <c r="AQ2" s="34" t="s">
        <v>1315</v>
      </c>
      <c r="AR2" s="34" t="s">
        <v>1321</v>
      </c>
    </row>
    <row r="3" spans="1:44" x14ac:dyDescent="0.3">
      <c r="A3" s="11">
        <v>1</v>
      </c>
      <c r="B3" s="5" t="s">
        <v>1675</v>
      </c>
      <c r="C3" s="11" t="s">
        <v>893</v>
      </c>
      <c r="D3" s="24" t="s">
        <v>824</v>
      </c>
      <c r="E3" s="24" t="str">
        <f>IFERROR(VLOOKUP(D3,Dropdown!A:B,2,0),D3)</f>
        <v>Paragon</v>
      </c>
      <c r="F3" s="6">
        <v>45748</v>
      </c>
      <c r="G3" s="6" t="str">
        <f>TEXT(F3, "MMM-YY")</f>
        <v>Apr-25</v>
      </c>
      <c r="H3" s="5" t="s">
        <v>50</v>
      </c>
      <c r="I3" s="27">
        <v>120.5</v>
      </c>
      <c r="J3" s="4">
        <v>2500</v>
      </c>
      <c r="K3" s="4" t="s">
        <v>895</v>
      </c>
      <c r="L3" s="4" t="str">
        <f>VLOOKUP(K3, 'Items Master'!A:E,5,0)</f>
        <v>RIL</v>
      </c>
      <c r="M3" s="4" t="str">
        <f>VLOOKUP(K3, 'Items Master'!A:D,4,0)</f>
        <v>LDPE</v>
      </c>
      <c r="N3" s="4" t="s">
        <v>24</v>
      </c>
      <c r="P3" s="4"/>
      <c r="Q3" s="6">
        <v>45748</v>
      </c>
      <c r="R3" s="6" t="str">
        <f>TEXT(Q3, "MMM-YY")</f>
        <v>Apr-25</v>
      </c>
      <c r="S3" s="6"/>
      <c r="T3" s="6"/>
      <c r="W3" s="25">
        <v>120.5</v>
      </c>
      <c r="Y3" s="8"/>
      <c r="Z3" s="8"/>
      <c r="AA3" s="8"/>
      <c r="AN3" s="9">
        <f>SUM(AB3:AM3)</f>
        <v>0</v>
      </c>
      <c r="AO3" s="8"/>
      <c r="AP3" s="9">
        <f>I3-W3-X3-AN3</f>
        <v>0</v>
      </c>
      <c r="AQ3" t="s">
        <v>1316</v>
      </c>
    </row>
    <row r="4" spans="1:44" x14ac:dyDescent="0.3">
      <c r="A4" s="11">
        <f>A3+1</f>
        <v>2</v>
      </c>
      <c r="B4" s="5" t="s">
        <v>1675</v>
      </c>
      <c r="C4" s="11" t="s">
        <v>893</v>
      </c>
      <c r="D4" s="24" t="s">
        <v>825</v>
      </c>
      <c r="E4" s="24" t="str">
        <f>IFERROR(VLOOKUP(D4,Dropdown!A:B,2,0),D4)</f>
        <v>HARISHREE POLYMERS PRIVATE LIMITED</v>
      </c>
      <c r="F4" s="6">
        <v>45749</v>
      </c>
      <c r="G4" s="6" t="str">
        <f>TEXT(F4, "MMM-YY")</f>
        <v>Apr-25</v>
      </c>
      <c r="H4" s="5" t="s">
        <v>51</v>
      </c>
      <c r="I4" s="27">
        <v>91</v>
      </c>
      <c r="J4" s="4">
        <v>7000</v>
      </c>
      <c r="K4" s="4" t="s">
        <v>896</v>
      </c>
      <c r="L4" s="4" t="str">
        <f>VLOOKUP(K4, 'Items Master'!A:E,5,0)</f>
        <v>OPAL</v>
      </c>
      <c r="M4" s="4" t="str">
        <f>VLOOKUP(K4, 'Items Master'!A:D,4,0)</f>
        <v>HDPE</v>
      </c>
      <c r="N4" s="4" t="s">
        <v>24</v>
      </c>
      <c r="P4" s="4"/>
      <c r="Q4" s="6">
        <v>45749</v>
      </c>
      <c r="R4" s="6" t="str">
        <f>TEXT(Q4, "MMM-YY")</f>
        <v>Apr-25</v>
      </c>
      <c r="S4" s="6"/>
      <c r="T4" s="6"/>
      <c r="W4" s="25">
        <v>91</v>
      </c>
      <c r="Y4" s="8"/>
      <c r="Z4" s="8"/>
      <c r="AA4" s="8"/>
      <c r="AN4" s="9">
        <f t="shared" ref="AN4:AN67" si="0">SUM(AB4:AM4)</f>
        <v>0</v>
      </c>
      <c r="AO4" s="8"/>
      <c r="AP4" s="9">
        <f>I4-W4-X4-AN4</f>
        <v>0</v>
      </c>
      <c r="AQ4" t="s">
        <v>1316</v>
      </c>
    </row>
    <row r="5" spans="1:44" x14ac:dyDescent="0.3">
      <c r="A5" s="11">
        <f>A4+1</f>
        <v>3</v>
      </c>
      <c r="B5" s="5" t="s">
        <v>1675</v>
      </c>
      <c r="C5" s="11" t="s">
        <v>893</v>
      </c>
      <c r="D5" s="24" t="s">
        <v>825</v>
      </c>
      <c r="E5" s="24" t="str">
        <f>IFERROR(VLOOKUP(D5,Dropdown!A:B,2,0),D5)</f>
        <v>HARISHREE POLYMERS PRIVATE LIMITED</v>
      </c>
      <c r="F5" s="6">
        <v>45749</v>
      </c>
      <c r="G5" s="6" t="str">
        <f>TEXT(F5, "MMM-YY")</f>
        <v>Apr-25</v>
      </c>
      <c r="H5" s="5" t="s">
        <v>51</v>
      </c>
      <c r="I5" s="27">
        <v>95.5</v>
      </c>
      <c r="J5" s="4">
        <v>5000</v>
      </c>
      <c r="K5" s="4" t="s">
        <v>897</v>
      </c>
      <c r="L5" s="4" t="str">
        <f>VLOOKUP(K5, 'Items Master'!A:E,5,0)</f>
        <v>OPAL</v>
      </c>
      <c r="M5" s="4" t="str">
        <f>VLOOKUP(K5, 'Items Master'!A:D,4,0)</f>
        <v>LLDPE</v>
      </c>
      <c r="N5" s="4" t="s">
        <v>24</v>
      </c>
      <c r="P5" s="4"/>
      <c r="Q5" s="6">
        <v>45749</v>
      </c>
      <c r="R5" s="6" t="str">
        <f>TEXT(Q5, "MMM-YY")</f>
        <v>Apr-25</v>
      </c>
      <c r="S5" s="6"/>
      <c r="T5" s="6"/>
      <c r="W5" s="25">
        <v>95.5</v>
      </c>
      <c r="Y5" s="8"/>
      <c r="Z5" s="8"/>
      <c r="AA5" s="8"/>
      <c r="AN5" s="9">
        <f t="shared" si="0"/>
        <v>0</v>
      </c>
      <c r="AO5" s="8"/>
      <c r="AP5" s="9">
        <f>I5-W5-X5-AN5</f>
        <v>0</v>
      </c>
      <c r="AQ5" t="s">
        <v>1316</v>
      </c>
    </row>
    <row r="6" spans="1:44" x14ac:dyDescent="0.3">
      <c r="A6" s="11">
        <f t="shared" ref="A6:A69" si="1">A5+1</f>
        <v>4</v>
      </c>
      <c r="B6" s="5" t="s">
        <v>1675</v>
      </c>
      <c r="C6" s="11" t="s">
        <v>893</v>
      </c>
      <c r="D6" s="24" t="s">
        <v>825</v>
      </c>
      <c r="E6" s="24" t="str">
        <f>IFERROR(VLOOKUP(D6,Dropdown!A:B,2,0),D6)</f>
        <v>HARISHREE POLYMERS PRIVATE LIMITED</v>
      </c>
      <c r="F6" s="6">
        <v>45749</v>
      </c>
      <c r="G6" s="6" t="str">
        <f>TEXT(F6, "MMM-YY")</f>
        <v>Apr-25</v>
      </c>
      <c r="H6" s="5" t="s">
        <v>52</v>
      </c>
      <c r="I6" s="27">
        <v>95.5</v>
      </c>
      <c r="J6" s="4">
        <v>10000</v>
      </c>
      <c r="K6" s="4" t="s">
        <v>898</v>
      </c>
      <c r="L6" s="4" t="str">
        <f>VLOOKUP(K6, 'Items Master'!A:E,5,0)</f>
        <v>OPAL</v>
      </c>
      <c r="M6" s="4" t="str">
        <f>VLOOKUP(K6, 'Items Master'!A:D,4,0)</f>
        <v>LLDPE</v>
      </c>
      <c r="N6" s="4" t="s">
        <v>24</v>
      </c>
      <c r="P6" s="4"/>
      <c r="Q6" s="6">
        <v>45749</v>
      </c>
      <c r="R6" s="6" t="str">
        <f>TEXT(Q6, "MMM-YY")</f>
        <v>Apr-25</v>
      </c>
      <c r="S6" s="6"/>
      <c r="T6" s="6"/>
      <c r="W6" s="25">
        <v>95.5</v>
      </c>
      <c r="Y6" s="8"/>
      <c r="Z6" s="8"/>
      <c r="AA6" s="8"/>
      <c r="AN6" s="9">
        <f t="shared" si="0"/>
        <v>0</v>
      </c>
      <c r="AO6" s="8"/>
      <c r="AP6" s="9">
        <f>I6-W6-X6-AN6</f>
        <v>0</v>
      </c>
      <c r="AQ6" t="s">
        <v>1316</v>
      </c>
    </row>
    <row r="7" spans="1:44" x14ac:dyDescent="0.3">
      <c r="A7" s="11">
        <f t="shared" si="1"/>
        <v>5</v>
      </c>
      <c r="B7" s="5" t="s">
        <v>1675</v>
      </c>
      <c r="C7" s="11" t="s">
        <v>893</v>
      </c>
      <c r="D7" s="24" t="s">
        <v>826</v>
      </c>
      <c r="E7" s="24" t="str">
        <f>IFERROR(VLOOKUP(D7,Dropdown!A:B,2,0),D7)</f>
        <v>Kamakya</v>
      </c>
      <c r="F7" s="6">
        <v>45749</v>
      </c>
      <c r="G7" s="6" t="str">
        <f>TEXT(F7, "MMM-YY")</f>
        <v>Apr-25</v>
      </c>
      <c r="H7" s="5" t="s">
        <v>53</v>
      </c>
      <c r="I7" s="27">
        <v>98.9</v>
      </c>
      <c r="J7" s="4">
        <v>10100</v>
      </c>
      <c r="K7" s="4" t="s">
        <v>899</v>
      </c>
      <c r="L7" s="4" t="str">
        <f>VLOOKUP(K7, 'Items Master'!A:E,5,0)</f>
        <v>MRPL</v>
      </c>
      <c r="M7" s="4" t="str">
        <f>VLOOKUP(K7, 'Items Master'!A:D,4,0)</f>
        <v>PP</v>
      </c>
      <c r="N7" s="4" t="s">
        <v>49</v>
      </c>
      <c r="P7" s="4"/>
      <c r="Q7" s="6">
        <v>45747</v>
      </c>
      <c r="R7" s="6" t="str">
        <f>TEXT(Q7, "MMM-YY")</f>
        <v>Mar-25</v>
      </c>
      <c r="S7" s="6"/>
      <c r="T7" s="6"/>
      <c r="W7" s="8"/>
      <c r="X7" s="8">
        <v>98.9</v>
      </c>
      <c r="Y7" t="s">
        <v>1304</v>
      </c>
      <c r="Z7" t="s">
        <v>1305</v>
      </c>
      <c r="AA7" s="8"/>
      <c r="AN7" s="9">
        <f t="shared" si="0"/>
        <v>0</v>
      </c>
      <c r="AO7" s="8"/>
      <c r="AP7" s="9">
        <f>I7-W7-X7-AN7</f>
        <v>0</v>
      </c>
      <c r="AQ7" t="s">
        <v>1316</v>
      </c>
    </row>
    <row r="8" spans="1:44" x14ac:dyDescent="0.3">
      <c r="A8" s="11">
        <f t="shared" si="1"/>
        <v>6</v>
      </c>
      <c r="B8" s="5" t="s">
        <v>1675</v>
      </c>
      <c r="C8" t="s">
        <v>893</v>
      </c>
      <c r="D8" s="24" t="s">
        <v>827</v>
      </c>
      <c r="E8" s="24" t="str">
        <f>IFERROR(VLOOKUP(D8,Dropdown!A:B,2,0),D8)</f>
        <v>RAGHUSHARAN OVERSEAS PRIVATE LIMITED</v>
      </c>
      <c r="F8" s="6">
        <v>45749</v>
      </c>
      <c r="G8" s="6" t="str">
        <f>TEXT(F8, "MMM-YY")</f>
        <v>Apr-25</v>
      </c>
      <c r="H8" t="s">
        <v>54</v>
      </c>
      <c r="I8" s="25">
        <v>67.8</v>
      </c>
      <c r="J8" s="4">
        <v>30000</v>
      </c>
      <c r="K8" t="s">
        <v>900</v>
      </c>
      <c r="L8" s="4" t="str">
        <f>VLOOKUP(K8, 'Items Master'!A:E,5,0)</f>
        <v>HANWHA</v>
      </c>
      <c r="M8" s="4" t="str">
        <f>VLOOKUP(K8, 'Items Master'!A:D,4,0)</f>
        <v>PVC</v>
      </c>
      <c r="N8" s="4" t="s">
        <v>24</v>
      </c>
      <c r="Q8" s="6">
        <v>45749</v>
      </c>
      <c r="R8" s="6" t="str">
        <f>TEXT(Q8, "MMM-YY")</f>
        <v>Apr-25</v>
      </c>
      <c r="W8" s="25">
        <v>67.8</v>
      </c>
      <c r="Y8"/>
      <c r="Z8"/>
      <c r="AB8"/>
      <c r="AC8"/>
      <c r="AD8"/>
      <c r="AE8"/>
      <c r="AF8"/>
      <c r="AG8"/>
      <c r="AH8"/>
      <c r="AI8"/>
      <c r="AJ8"/>
      <c r="AK8"/>
      <c r="AL8"/>
      <c r="AM8"/>
      <c r="AN8" s="9">
        <f t="shared" si="0"/>
        <v>0</v>
      </c>
      <c r="AO8" s="8"/>
      <c r="AP8" s="9">
        <f>I8-W8-X8-AN8</f>
        <v>0</v>
      </c>
      <c r="AQ8" t="s">
        <v>1316</v>
      </c>
    </row>
    <row r="9" spans="1:44" x14ac:dyDescent="0.3">
      <c r="A9" s="11">
        <f t="shared" si="1"/>
        <v>7</v>
      </c>
      <c r="B9" s="5" t="s">
        <v>1675</v>
      </c>
      <c r="C9" t="s">
        <v>894</v>
      </c>
      <c r="D9" s="24" t="s">
        <v>828</v>
      </c>
      <c r="E9" s="24" t="str">
        <f>IFERROR(VLOOKUP(D9,Dropdown!A:B,2,0),D9)</f>
        <v>SHUBHAM INTERNATIONAL PRIVATE LIMITED</v>
      </c>
      <c r="F9" s="6">
        <v>45750</v>
      </c>
      <c r="G9" s="6" t="str">
        <f>TEXT(F9, "MMM-YY")</f>
        <v>Apr-25</v>
      </c>
      <c r="H9" t="s">
        <v>55</v>
      </c>
      <c r="I9" s="25">
        <v>98.5</v>
      </c>
      <c r="J9" s="4">
        <v>3000</v>
      </c>
      <c r="K9" t="s">
        <v>901</v>
      </c>
      <c r="L9" s="4" t="str">
        <f>VLOOKUP(K9, 'Items Master'!A:E,5,0)</f>
        <v>MRPL</v>
      </c>
      <c r="M9" s="4" t="str">
        <f>VLOOKUP(K9, 'Items Master'!A:D,4,0)</f>
        <v>PP</v>
      </c>
      <c r="N9" s="4" t="s">
        <v>24</v>
      </c>
      <c r="Q9" s="6">
        <v>45750</v>
      </c>
      <c r="R9" s="6" t="str">
        <f>TEXT(Q9, "MMM-YY")</f>
        <v>Apr-25</v>
      </c>
      <c r="W9" s="25">
        <v>98.5</v>
      </c>
      <c r="Y9"/>
      <c r="Z9"/>
      <c r="AB9"/>
      <c r="AC9"/>
      <c r="AD9"/>
      <c r="AE9"/>
      <c r="AF9"/>
      <c r="AG9"/>
      <c r="AH9"/>
      <c r="AI9"/>
      <c r="AJ9"/>
      <c r="AK9"/>
      <c r="AL9"/>
      <c r="AM9"/>
      <c r="AN9" s="9">
        <f t="shared" si="0"/>
        <v>0</v>
      </c>
      <c r="AO9" s="8"/>
      <c r="AP9" s="9">
        <f>I9-W9-X9-AN9</f>
        <v>0</v>
      </c>
      <c r="AQ9" t="s">
        <v>1316</v>
      </c>
    </row>
    <row r="10" spans="1:44" x14ac:dyDescent="0.3">
      <c r="A10" s="11">
        <f t="shared" si="1"/>
        <v>8</v>
      </c>
      <c r="B10" s="5" t="s">
        <v>1675</v>
      </c>
      <c r="C10" t="s">
        <v>893</v>
      </c>
      <c r="D10" s="24" t="s">
        <v>48</v>
      </c>
      <c r="E10" s="24" t="str">
        <f>IFERROR(VLOOKUP(D10,Dropdown!A:B,2,0),D10)</f>
        <v>CVPL</v>
      </c>
      <c r="F10" s="6">
        <v>45751</v>
      </c>
      <c r="G10" s="6" t="str">
        <f>TEXT(F10, "MMM-YY")</f>
        <v>Apr-25</v>
      </c>
      <c r="H10" t="s">
        <v>56</v>
      </c>
      <c r="I10" s="25">
        <v>97.75</v>
      </c>
      <c r="J10" s="4">
        <v>1400</v>
      </c>
      <c r="K10" t="s">
        <v>902</v>
      </c>
      <c r="L10" s="4" t="str">
        <f>VLOOKUP(K10, 'Items Master'!A:E,5,0)</f>
        <v>GAIL</v>
      </c>
      <c r="M10" s="4" t="str">
        <f>VLOOKUP(K10, 'Items Master'!A:D,4,0)</f>
        <v>LLDPE</v>
      </c>
      <c r="N10" s="4" t="s">
        <v>24</v>
      </c>
      <c r="Q10" s="6">
        <v>45751</v>
      </c>
      <c r="R10" s="6" t="str">
        <f>TEXT(Q10, "MMM-YY")</f>
        <v>Apr-25</v>
      </c>
      <c r="W10" s="25">
        <v>97.75</v>
      </c>
      <c r="Y10"/>
      <c r="Z10"/>
      <c r="AB10"/>
      <c r="AC10"/>
      <c r="AD10"/>
      <c r="AE10"/>
      <c r="AF10"/>
      <c r="AG10"/>
      <c r="AH10"/>
      <c r="AI10"/>
      <c r="AJ10"/>
      <c r="AK10"/>
      <c r="AL10"/>
      <c r="AM10"/>
      <c r="AN10" s="9">
        <f t="shared" si="0"/>
        <v>0</v>
      </c>
      <c r="AO10" s="8"/>
      <c r="AP10" s="9">
        <f>I10-W10-X10-AN10</f>
        <v>0</v>
      </c>
      <c r="AQ10" t="s">
        <v>1316</v>
      </c>
    </row>
    <row r="11" spans="1:44" x14ac:dyDescent="0.3">
      <c r="A11" s="11">
        <f t="shared" si="1"/>
        <v>9</v>
      </c>
      <c r="B11" s="5" t="s">
        <v>1675</v>
      </c>
      <c r="C11" t="s">
        <v>893</v>
      </c>
      <c r="D11" s="24" t="s">
        <v>48</v>
      </c>
      <c r="E11" s="24" t="str">
        <f>IFERROR(VLOOKUP(D11,Dropdown!A:B,2,0),D11)</f>
        <v>CVPL</v>
      </c>
      <c r="F11" s="6">
        <v>45751</v>
      </c>
      <c r="G11" s="6" t="str">
        <f>TEXT(F11, "MMM-YY")</f>
        <v>Apr-25</v>
      </c>
      <c r="H11" t="s">
        <v>56</v>
      </c>
      <c r="I11" s="25">
        <v>120.75</v>
      </c>
      <c r="J11" s="4">
        <v>100</v>
      </c>
      <c r="K11" t="s">
        <v>895</v>
      </c>
      <c r="L11" s="4" t="str">
        <f>VLOOKUP(K11, 'Items Master'!A:E,5,0)</f>
        <v>RIL</v>
      </c>
      <c r="M11" s="4" t="str">
        <f>VLOOKUP(K11, 'Items Master'!A:D,4,0)</f>
        <v>LDPE</v>
      </c>
      <c r="N11" s="4" t="s">
        <v>24</v>
      </c>
      <c r="Q11" s="6">
        <v>45751</v>
      </c>
      <c r="R11" s="6" t="str">
        <f>TEXT(Q11, "MMM-YY")</f>
        <v>Apr-25</v>
      </c>
      <c r="W11" s="25">
        <v>120.75</v>
      </c>
      <c r="Y11"/>
      <c r="Z11"/>
      <c r="AB11"/>
      <c r="AC11"/>
      <c r="AD11"/>
      <c r="AE11"/>
      <c r="AF11"/>
      <c r="AG11"/>
      <c r="AH11"/>
      <c r="AI11"/>
      <c r="AJ11"/>
      <c r="AK11"/>
      <c r="AL11"/>
      <c r="AM11"/>
      <c r="AN11" s="9">
        <f t="shared" si="0"/>
        <v>0</v>
      </c>
      <c r="AO11" s="8"/>
      <c r="AP11" s="9">
        <f>I11-W11-X11-AN11</f>
        <v>0</v>
      </c>
      <c r="AQ11" t="s">
        <v>1316</v>
      </c>
    </row>
    <row r="12" spans="1:44" x14ac:dyDescent="0.3">
      <c r="A12" s="11">
        <f t="shared" si="1"/>
        <v>10</v>
      </c>
      <c r="B12" s="5" t="s">
        <v>1675</v>
      </c>
      <c r="C12" t="s">
        <v>893</v>
      </c>
      <c r="D12" s="24" t="s">
        <v>48</v>
      </c>
      <c r="E12" s="24" t="str">
        <f>IFERROR(VLOOKUP(D12,Dropdown!A:B,2,0),D12)</f>
        <v>CVPL</v>
      </c>
      <c r="F12" s="6">
        <v>45751</v>
      </c>
      <c r="G12" s="6" t="str">
        <f>TEXT(F12, "MMM-YY")</f>
        <v>Apr-25</v>
      </c>
      <c r="H12" t="s">
        <v>57</v>
      </c>
      <c r="I12" s="25">
        <v>97</v>
      </c>
      <c r="J12" s="4">
        <v>3000</v>
      </c>
      <c r="K12" t="s">
        <v>903</v>
      </c>
      <c r="L12" s="4" t="str">
        <f>VLOOKUP(K12, 'Items Master'!A:E,5,0)</f>
        <v>GAIL</v>
      </c>
      <c r="M12" s="4" t="str">
        <f>VLOOKUP(K12, 'Items Master'!A:D,4,0)</f>
        <v>LLDPE</v>
      </c>
      <c r="N12" s="4" t="s">
        <v>24</v>
      </c>
      <c r="Q12" s="6">
        <v>45751</v>
      </c>
      <c r="R12" s="6" t="str">
        <f>TEXT(Q12, "MMM-YY")</f>
        <v>Apr-25</v>
      </c>
      <c r="W12" s="25">
        <v>97</v>
      </c>
      <c r="Y12"/>
      <c r="Z12"/>
      <c r="AB12"/>
      <c r="AC12"/>
      <c r="AD12"/>
      <c r="AE12"/>
      <c r="AF12"/>
      <c r="AG12"/>
      <c r="AH12"/>
      <c r="AI12"/>
      <c r="AJ12"/>
      <c r="AK12"/>
      <c r="AL12"/>
      <c r="AM12"/>
      <c r="AN12" s="9">
        <f t="shared" si="0"/>
        <v>0</v>
      </c>
      <c r="AO12" s="8"/>
      <c r="AP12" s="9">
        <f>I12-W12-X12-AN12</f>
        <v>0</v>
      </c>
      <c r="AQ12" t="s">
        <v>1316</v>
      </c>
    </row>
    <row r="13" spans="1:44" x14ac:dyDescent="0.3">
      <c r="A13" s="11">
        <f t="shared" si="1"/>
        <v>11</v>
      </c>
      <c r="B13" s="5" t="s">
        <v>1675</v>
      </c>
      <c r="C13" t="s">
        <v>893</v>
      </c>
      <c r="D13" s="24" t="s">
        <v>825</v>
      </c>
      <c r="E13" s="24" t="str">
        <f>IFERROR(VLOOKUP(D13,Dropdown!A:B,2,0),D13)</f>
        <v>HARISHREE POLYMERS PRIVATE LIMITED</v>
      </c>
      <c r="F13" s="6">
        <v>45751</v>
      </c>
      <c r="G13" s="6" t="str">
        <f>TEXT(F13, "MMM-YY")</f>
        <v>Apr-25</v>
      </c>
      <c r="H13" t="s">
        <v>58</v>
      </c>
      <c r="I13" s="25">
        <v>91</v>
      </c>
      <c r="J13" s="4">
        <v>12000</v>
      </c>
      <c r="K13" t="s">
        <v>896</v>
      </c>
      <c r="L13" s="4" t="str">
        <f>VLOOKUP(K13, 'Items Master'!A:E,5,0)</f>
        <v>OPAL</v>
      </c>
      <c r="M13" s="4" t="str">
        <f>VLOOKUP(K13, 'Items Master'!A:D,4,0)</f>
        <v>HDPE</v>
      </c>
      <c r="N13" s="4" t="s">
        <v>24</v>
      </c>
      <c r="Q13" s="6">
        <v>45751</v>
      </c>
      <c r="R13" s="6" t="str">
        <f>TEXT(Q13, "MMM-YY")</f>
        <v>Apr-25</v>
      </c>
      <c r="W13" s="25">
        <v>91</v>
      </c>
      <c r="Y13"/>
      <c r="Z13"/>
      <c r="AB13"/>
      <c r="AC13"/>
      <c r="AD13"/>
      <c r="AE13"/>
      <c r="AF13"/>
      <c r="AG13"/>
      <c r="AH13"/>
      <c r="AI13"/>
      <c r="AJ13"/>
      <c r="AK13"/>
      <c r="AL13"/>
      <c r="AM13"/>
      <c r="AN13" s="9">
        <f t="shared" si="0"/>
        <v>0</v>
      </c>
      <c r="AO13" s="8"/>
      <c r="AP13" s="9">
        <f>I13-W13-X13-AN13</f>
        <v>0</v>
      </c>
      <c r="AQ13" t="s">
        <v>1316</v>
      </c>
    </row>
    <row r="14" spans="1:44" x14ac:dyDescent="0.3">
      <c r="A14" s="11">
        <f t="shared" si="1"/>
        <v>12</v>
      </c>
      <c r="B14" s="5" t="s">
        <v>1675</v>
      </c>
      <c r="C14" t="s">
        <v>893</v>
      </c>
      <c r="D14" s="24" t="s">
        <v>825</v>
      </c>
      <c r="E14" s="24" t="str">
        <f>IFERROR(VLOOKUP(D14,Dropdown!A:B,2,0),D14)</f>
        <v>HARISHREE POLYMERS PRIVATE LIMITED</v>
      </c>
      <c r="F14" s="6">
        <v>45751</v>
      </c>
      <c r="G14" s="6" t="str">
        <f>TEXT(F14, "MMM-YY")</f>
        <v>Apr-25</v>
      </c>
      <c r="H14" t="s">
        <v>59</v>
      </c>
      <c r="I14" s="25">
        <v>95.75</v>
      </c>
      <c r="J14" s="4">
        <v>12000</v>
      </c>
      <c r="K14" t="s">
        <v>17</v>
      </c>
      <c r="L14" s="4" t="str">
        <f>VLOOKUP(K14, 'Items Master'!A:E,5,0)</f>
        <v>OPAL</v>
      </c>
      <c r="M14" s="4" t="str">
        <f>VLOOKUP(K14, 'Items Master'!A:D,4,0)</f>
        <v>LLDPE</v>
      </c>
      <c r="N14" s="4" t="s">
        <v>24</v>
      </c>
      <c r="Q14" s="6">
        <v>45751</v>
      </c>
      <c r="R14" s="6" t="str">
        <f>TEXT(Q14, "MMM-YY")</f>
        <v>Apr-25</v>
      </c>
      <c r="W14" s="25">
        <v>95.75</v>
      </c>
      <c r="Y14"/>
      <c r="Z14"/>
      <c r="AB14"/>
      <c r="AC14"/>
      <c r="AD14"/>
      <c r="AE14"/>
      <c r="AF14"/>
      <c r="AG14"/>
      <c r="AH14"/>
      <c r="AI14"/>
      <c r="AJ14"/>
      <c r="AK14"/>
      <c r="AL14"/>
      <c r="AM14"/>
      <c r="AN14" s="9">
        <f t="shared" si="0"/>
        <v>0</v>
      </c>
      <c r="AO14" s="8"/>
      <c r="AP14" s="9">
        <f>I14-W14-X14-AN14</f>
        <v>0</v>
      </c>
      <c r="AQ14" t="s">
        <v>1316</v>
      </c>
    </row>
    <row r="15" spans="1:44" x14ac:dyDescent="0.3">
      <c r="A15" s="11">
        <f t="shared" si="1"/>
        <v>13</v>
      </c>
      <c r="B15" s="5" t="s">
        <v>1675</v>
      </c>
      <c r="C15" t="s">
        <v>893</v>
      </c>
      <c r="D15" s="24" t="s">
        <v>828</v>
      </c>
      <c r="E15" s="24" t="str">
        <f>IFERROR(VLOOKUP(D15,Dropdown!A:B,2,0),D15)</f>
        <v>SHUBHAM INTERNATIONAL PRIVATE LIMITED</v>
      </c>
      <c r="F15" s="6">
        <v>45751</v>
      </c>
      <c r="G15" s="6" t="str">
        <f>TEXT(F15, "MMM-YY")</f>
        <v>Apr-25</v>
      </c>
      <c r="H15" t="s">
        <v>60</v>
      </c>
      <c r="I15" s="25">
        <v>120.75</v>
      </c>
      <c r="J15" s="4">
        <v>3500</v>
      </c>
      <c r="K15" t="s">
        <v>895</v>
      </c>
      <c r="L15" s="4" t="str">
        <f>VLOOKUP(K15, 'Items Master'!A:E,5,0)</f>
        <v>RIL</v>
      </c>
      <c r="M15" s="4" t="str">
        <f>VLOOKUP(K15, 'Items Master'!A:D,4,0)</f>
        <v>LDPE</v>
      </c>
      <c r="N15" s="4" t="s">
        <v>24</v>
      </c>
      <c r="Q15" s="6">
        <v>45751</v>
      </c>
      <c r="R15" s="6" t="str">
        <f>TEXT(Q15, "MMM-YY")</f>
        <v>Apr-25</v>
      </c>
      <c r="W15" s="25">
        <v>120.75</v>
      </c>
      <c r="Y15"/>
      <c r="Z15"/>
      <c r="AB15"/>
      <c r="AC15"/>
      <c r="AD15"/>
      <c r="AE15"/>
      <c r="AF15"/>
      <c r="AG15"/>
      <c r="AH15"/>
      <c r="AI15"/>
      <c r="AJ15"/>
      <c r="AK15"/>
      <c r="AL15"/>
      <c r="AM15"/>
      <c r="AN15" s="9">
        <f t="shared" si="0"/>
        <v>0</v>
      </c>
      <c r="AO15" s="8"/>
      <c r="AP15" s="9">
        <f>I15-W15-X15-AN15</f>
        <v>0</v>
      </c>
      <c r="AQ15" t="s">
        <v>1316</v>
      </c>
    </row>
    <row r="16" spans="1:44" x14ac:dyDescent="0.3">
      <c r="A16" s="11">
        <f t="shared" si="1"/>
        <v>14</v>
      </c>
      <c r="B16" s="5" t="s">
        <v>1675</v>
      </c>
      <c r="C16" t="s">
        <v>893</v>
      </c>
      <c r="D16" s="24" t="s">
        <v>829</v>
      </c>
      <c r="E16" s="24" t="str">
        <f>IFERROR(VLOOKUP(D16,Dropdown!A:B,2,0),D16)</f>
        <v>NAGASHREE INDUSTRIES</v>
      </c>
      <c r="F16" s="6">
        <v>45751</v>
      </c>
      <c r="G16" s="6" t="str">
        <f>TEXT(F16, "MMM-YY")</f>
        <v>Apr-25</v>
      </c>
      <c r="H16" t="s">
        <v>61</v>
      </c>
      <c r="I16" s="25">
        <v>107</v>
      </c>
      <c r="J16" s="4">
        <v>350</v>
      </c>
      <c r="K16" t="s">
        <v>904</v>
      </c>
      <c r="L16" s="4" t="str">
        <f>VLOOKUP(K16, 'Items Master'!A:E,5,0)</f>
        <v>BOROUGE</v>
      </c>
      <c r="M16" s="4" t="str">
        <f>VLOOKUP(K16, 'Items Master'!A:D,4,0)</f>
        <v>PP RCP</v>
      </c>
      <c r="N16" s="4" t="s">
        <v>24</v>
      </c>
      <c r="Q16" s="6">
        <v>45751</v>
      </c>
      <c r="R16" s="6" t="str">
        <f>TEXT(Q16, "MMM-YY")</f>
        <v>Apr-25</v>
      </c>
      <c r="W16" s="25">
        <v>107</v>
      </c>
      <c r="Y16"/>
      <c r="Z16"/>
      <c r="AB16"/>
      <c r="AC16"/>
      <c r="AD16"/>
      <c r="AE16"/>
      <c r="AF16"/>
      <c r="AG16"/>
      <c r="AH16"/>
      <c r="AI16"/>
      <c r="AJ16"/>
      <c r="AK16"/>
      <c r="AL16"/>
      <c r="AM16"/>
      <c r="AN16" s="9">
        <f t="shared" si="0"/>
        <v>0</v>
      </c>
      <c r="AO16" s="8"/>
      <c r="AP16" s="9">
        <f>I16-W16-X16-AN16</f>
        <v>0</v>
      </c>
      <c r="AQ16" t="s">
        <v>1316</v>
      </c>
    </row>
    <row r="17" spans="1:43" x14ac:dyDescent="0.3">
      <c r="A17" s="11">
        <f t="shared" si="1"/>
        <v>15</v>
      </c>
      <c r="B17" s="5" t="s">
        <v>1675</v>
      </c>
      <c r="C17" t="s">
        <v>893</v>
      </c>
      <c r="D17" s="24" t="s">
        <v>828</v>
      </c>
      <c r="E17" s="24" t="str">
        <f>IFERROR(VLOOKUP(D17,Dropdown!A:B,2,0),D17)</f>
        <v>SHUBHAM INTERNATIONAL PRIVATE LIMITED</v>
      </c>
      <c r="F17" s="6">
        <v>45752</v>
      </c>
      <c r="G17" s="6" t="str">
        <f>TEXT(F17, "MMM-YY")</f>
        <v>Apr-25</v>
      </c>
      <c r="H17" t="s">
        <v>62</v>
      </c>
      <c r="I17" s="25">
        <v>120.75</v>
      </c>
      <c r="J17" s="4">
        <v>1500</v>
      </c>
      <c r="K17" t="s">
        <v>895</v>
      </c>
      <c r="L17" s="4" t="str">
        <f>VLOOKUP(K17, 'Items Master'!A:E,5,0)</f>
        <v>RIL</v>
      </c>
      <c r="M17" s="4" t="str">
        <f>VLOOKUP(K17, 'Items Master'!A:D,4,0)</f>
        <v>LDPE</v>
      </c>
      <c r="N17" s="4" t="s">
        <v>24</v>
      </c>
      <c r="Q17" s="6">
        <v>45752</v>
      </c>
      <c r="R17" s="6" t="str">
        <f>TEXT(Q17, "MMM-YY")</f>
        <v>Apr-25</v>
      </c>
      <c r="W17" s="25">
        <v>120.75</v>
      </c>
      <c r="Y17"/>
      <c r="Z17"/>
      <c r="AB17"/>
      <c r="AC17"/>
      <c r="AD17"/>
      <c r="AE17"/>
      <c r="AF17"/>
      <c r="AG17"/>
      <c r="AH17"/>
      <c r="AI17"/>
      <c r="AJ17"/>
      <c r="AK17"/>
      <c r="AL17"/>
      <c r="AM17"/>
      <c r="AN17" s="9">
        <f t="shared" si="0"/>
        <v>0</v>
      </c>
      <c r="AO17" s="8"/>
      <c r="AP17" s="9">
        <f>I17-W17-X17-AN17</f>
        <v>0</v>
      </c>
      <c r="AQ17" t="s">
        <v>1316</v>
      </c>
    </row>
    <row r="18" spans="1:43" x14ac:dyDescent="0.3">
      <c r="A18" s="11">
        <f t="shared" si="1"/>
        <v>16</v>
      </c>
      <c r="B18" s="5" t="s">
        <v>1675</v>
      </c>
      <c r="C18" t="s">
        <v>893</v>
      </c>
      <c r="D18" s="24" t="s">
        <v>830</v>
      </c>
      <c r="E18" s="24" t="str">
        <f>IFERROR(VLOOKUP(D18,Dropdown!A:B,2,0),D18)</f>
        <v>BULK LIQUID SOLUTIONS PVT LTD</v>
      </c>
      <c r="F18" s="6">
        <v>45752</v>
      </c>
      <c r="G18" s="6" t="str">
        <f>TEXT(F18, "MMM-YY")</f>
        <v>Apr-25</v>
      </c>
      <c r="H18" t="s">
        <v>63</v>
      </c>
      <c r="I18" s="25">
        <v>95</v>
      </c>
      <c r="J18" s="4">
        <v>10000</v>
      </c>
      <c r="K18" t="s">
        <v>905</v>
      </c>
      <c r="L18" s="4" t="str">
        <f>VLOOKUP(K18, 'Items Master'!A:E,5,0)</f>
        <v>SINOPEC</v>
      </c>
      <c r="M18" s="4" t="str">
        <f>VLOOKUP(K18, 'Items Master'!A:D,4,0)</f>
        <v>PP</v>
      </c>
      <c r="N18" s="4" t="s">
        <v>24</v>
      </c>
      <c r="Q18" s="6">
        <v>45752</v>
      </c>
      <c r="R18" s="6" t="str">
        <f>TEXT(Q18, "MMM-YY")</f>
        <v>Apr-25</v>
      </c>
      <c r="W18" s="25">
        <v>95</v>
      </c>
      <c r="Y18"/>
      <c r="Z18"/>
      <c r="AB18"/>
      <c r="AC18"/>
      <c r="AD18"/>
      <c r="AE18"/>
      <c r="AF18"/>
      <c r="AG18"/>
      <c r="AH18"/>
      <c r="AI18"/>
      <c r="AJ18"/>
      <c r="AK18"/>
      <c r="AL18"/>
      <c r="AM18"/>
      <c r="AN18" s="9">
        <f t="shared" si="0"/>
        <v>0</v>
      </c>
      <c r="AO18" s="8"/>
      <c r="AP18" s="9">
        <f>I18-W18-X18-AN18</f>
        <v>0</v>
      </c>
      <c r="AQ18" t="s">
        <v>1316</v>
      </c>
    </row>
    <row r="19" spans="1:43" x14ac:dyDescent="0.3">
      <c r="A19" s="11">
        <f t="shared" si="1"/>
        <v>17</v>
      </c>
      <c r="B19" s="5" t="s">
        <v>1675</v>
      </c>
      <c r="C19" t="s">
        <v>893</v>
      </c>
      <c r="D19" s="24" t="s">
        <v>831</v>
      </c>
      <c r="E19" s="24" t="str">
        <f>IFERROR(VLOOKUP(D19,Dropdown!A:B,2,0),D19)</f>
        <v>TRIMURTI POLYCHEM PRIVATE LIMITED</v>
      </c>
      <c r="F19" s="6">
        <v>45752</v>
      </c>
      <c r="G19" s="6" t="str">
        <f>TEXT(F19, "MMM-YY")</f>
        <v>Apr-25</v>
      </c>
      <c r="H19" t="s">
        <v>64</v>
      </c>
      <c r="I19" s="25">
        <v>91.5</v>
      </c>
      <c r="J19" s="4">
        <v>24750</v>
      </c>
      <c r="K19" t="s">
        <v>906</v>
      </c>
      <c r="L19" s="4" t="str">
        <f>VLOOKUP(K19, 'Items Master'!A:E,5,0)</f>
        <v>EQUATE</v>
      </c>
      <c r="M19" s="4" t="str">
        <f>VLOOKUP(K19, 'Items Master'!A:D,4,0)</f>
        <v>HDPE</v>
      </c>
      <c r="N19" s="4" t="s">
        <v>24</v>
      </c>
      <c r="Q19" s="6">
        <v>45752</v>
      </c>
      <c r="R19" s="6" t="str">
        <f>TEXT(Q19, "MMM-YY")</f>
        <v>Apr-25</v>
      </c>
      <c r="W19" s="25">
        <v>91.5</v>
      </c>
      <c r="Y19"/>
      <c r="Z19"/>
      <c r="AB19"/>
      <c r="AC19"/>
      <c r="AD19"/>
      <c r="AE19"/>
      <c r="AF19"/>
      <c r="AG19"/>
      <c r="AH19"/>
      <c r="AI19"/>
      <c r="AJ19"/>
      <c r="AK19"/>
      <c r="AL19"/>
      <c r="AM19"/>
      <c r="AN19" s="9">
        <f t="shared" si="0"/>
        <v>0</v>
      </c>
      <c r="AO19" s="8"/>
      <c r="AP19" s="9">
        <f>I19-W19-X19-AN19</f>
        <v>0</v>
      </c>
      <c r="AQ19" t="s">
        <v>1316</v>
      </c>
    </row>
    <row r="20" spans="1:43" x14ac:dyDescent="0.3">
      <c r="A20" s="11">
        <f t="shared" si="1"/>
        <v>18</v>
      </c>
      <c r="B20" s="5" t="s">
        <v>1675</v>
      </c>
      <c r="C20" t="s">
        <v>894</v>
      </c>
      <c r="D20" s="24" t="s">
        <v>832</v>
      </c>
      <c r="E20" s="24" t="str">
        <f>IFERROR(VLOOKUP(D20,Dropdown!A:B,2,0),D20)</f>
        <v>AMBIKA PETROCHEM PRIVATE LIMITED</v>
      </c>
      <c r="F20" s="6">
        <v>45752</v>
      </c>
      <c r="G20" s="6" t="str">
        <f>TEXT(F20, "MMM-YY")</f>
        <v>Apr-25</v>
      </c>
      <c r="H20" t="s">
        <v>65</v>
      </c>
      <c r="I20" s="25">
        <v>91.75</v>
      </c>
      <c r="J20" s="4">
        <v>12000</v>
      </c>
      <c r="K20" t="s">
        <v>907</v>
      </c>
      <c r="L20" s="4" t="str">
        <f>VLOOKUP(K20, 'Items Master'!A:E,5,0)</f>
        <v>MARLEX</v>
      </c>
      <c r="M20" s="4" t="str">
        <f>VLOOKUP(K20, 'Items Master'!A:D,4,0)</f>
        <v>HDPE</v>
      </c>
      <c r="N20" s="4" t="s">
        <v>24</v>
      </c>
      <c r="Q20" s="6">
        <v>45752</v>
      </c>
      <c r="R20" s="6" t="str">
        <f>TEXT(Q20, "MMM-YY")</f>
        <v>Apr-25</v>
      </c>
      <c r="W20" s="25">
        <v>91.75</v>
      </c>
      <c r="Y20"/>
      <c r="Z20"/>
      <c r="AB20"/>
      <c r="AC20"/>
      <c r="AD20"/>
      <c r="AE20"/>
      <c r="AF20"/>
      <c r="AG20"/>
      <c r="AH20"/>
      <c r="AI20"/>
      <c r="AJ20"/>
      <c r="AK20"/>
      <c r="AL20"/>
      <c r="AM20"/>
      <c r="AN20" s="9">
        <f t="shared" si="0"/>
        <v>0</v>
      </c>
      <c r="AO20" s="8"/>
      <c r="AP20" s="9">
        <f>I20-W20-X20-AN20</f>
        <v>0</v>
      </c>
      <c r="AQ20" t="s">
        <v>1316</v>
      </c>
    </row>
    <row r="21" spans="1:43" x14ac:dyDescent="0.3">
      <c r="A21" s="11">
        <f t="shared" si="1"/>
        <v>19</v>
      </c>
      <c r="B21" s="5" t="s">
        <v>1675</v>
      </c>
      <c r="C21" t="s">
        <v>894</v>
      </c>
      <c r="D21" s="24" t="s">
        <v>827</v>
      </c>
      <c r="E21" s="24" t="str">
        <f>IFERROR(VLOOKUP(D21,Dropdown!A:B,2,0),D21)</f>
        <v>RAGHUSHARAN OVERSEAS PRIVATE LIMITED</v>
      </c>
      <c r="F21" s="6">
        <v>45752</v>
      </c>
      <c r="G21" s="6" t="str">
        <f>TEXT(F21, "MMM-YY")</f>
        <v>Apr-25</v>
      </c>
      <c r="H21" t="s">
        <v>66</v>
      </c>
      <c r="I21" s="25">
        <v>67.8</v>
      </c>
      <c r="J21" s="4">
        <v>30000</v>
      </c>
      <c r="K21" t="s">
        <v>900</v>
      </c>
      <c r="L21" s="4" t="str">
        <f>VLOOKUP(K21, 'Items Master'!A:E,5,0)</f>
        <v>HANWHA</v>
      </c>
      <c r="M21" s="4" t="str">
        <f>VLOOKUP(K21, 'Items Master'!A:D,4,0)</f>
        <v>PVC</v>
      </c>
      <c r="N21" s="4" t="s">
        <v>24</v>
      </c>
      <c r="Q21" s="6">
        <v>45752</v>
      </c>
      <c r="R21" s="6" t="str">
        <f>TEXT(Q21, "MMM-YY")</f>
        <v>Apr-25</v>
      </c>
      <c r="W21" s="25">
        <v>67.8</v>
      </c>
      <c r="Y21"/>
      <c r="Z21"/>
      <c r="AB21"/>
      <c r="AC21"/>
      <c r="AD21"/>
      <c r="AE21"/>
      <c r="AF21"/>
      <c r="AG21"/>
      <c r="AH21"/>
      <c r="AI21"/>
      <c r="AJ21"/>
      <c r="AK21"/>
      <c r="AL21"/>
      <c r="AM21"/>
      <c r="AN21" s="9">
        <f t="shared" si="0"/>
        <v>0</v>
      </c>
      <c r="AO21" s="8"/>
      <c r="AP21" s="9">
        <f>I21-W21-X21-AN21</f>
        <v>0</v>
      </c>
      <c r="AQ21" t="s">
        <v>1316</v>
      </c>
    </row>
    <row r="22" spans="1:43" x14ac:dyDescent="0.3">
      <c r="A22" s="11">
        <f t="shared" si="1"/>
        <v>20</v>
      </c>
      <c r="B22" s="5" t="s">
        <v>1675</v>
      </c>
      <c r="C22" t="s">
        <v>894</v>
      </c>
      <c r="D22" s="24" t="s">
        <v>827</v>
      </c>
      <c r="E22" s="24" t="str">
        <f>IFERROR(VLOOKUP(D22,Dropdown!A:B,2,0),D22)</f>
        <v>RAGHUSHARAN OVERSEAS PRIVATE LIMITED</v>
      </c>
      <c r="F22" s="6">
        <v>45752</v>
      </c>
      <c r="G22" s="6" t="str">
        <f>TEXT(F22, "MMM-YY")</f>
        <v>Apr-25</v>
      </c>
      <c r="H22" t="s">
        <v>67</v>
      </c>
      <c r="I22" s="25">
        <v>67.8</v>
      </c>
      <c r="J22" s="4">
        <v>19000</v>
      </c>
      <c r="K22" t="s">
        <v>900</v>
      </c>
      <c r="L22" s="4" t="str">
        <f>VLOOKUP(K22, 'Items Master'!A:E,5,0)</f>
        <v>HANWHA</v>
      </c>
      <c r="M22" s="4" t="str">
        <f>VLOOKUP(K22, 'Items Master'!A:D,4,0)</f>
        <v>PVC</v>
      </c>
      <c r="N22" s="4" t="s">
        <v>24</v>
      </c>
      <c r="Q22" s="6">
        <v>45752</v>
      </c>
      <c r="R22" s="6" t="str">
        <f>TEXT(Q22, "MMM-YY")</f>
        <v>Apr-25</v>
      </c>
      <c r="W22" s="25">
        <v>67.8</v>
      </c>
      <c r="Y22"/>
      <c r="Z22"/>
      <c r="AB22"/>
      <c r="AC22"/>
      <c r="AD22"/>
      <c r="AE22"/>
      <c r="AF22"/>
      <c r="AG22"/>
      <c r="AH22"/>
      <c r="AI22"/>
      <c r="AJ22"/>
      <c r="AK22"/>
      <c r="AL22"/>
      <c r="AM22"/>
      <c r="AN22" s="9">
        <f t="shared" si="0"/>
        <v>0</v>
      </c>
      <c r="AO22" s="8"/>
      <c r="AP22" s="9">
        <f>I22-W22-X22-AN22</f>
        <v>0</v>
      </c>
      <c r="AQ22" t="s">
        <v>1316</v>
      </c>
    </row>
    <row r="23" spans="1:43" x14ac:dyDescent="0.3">
      <c r="A23" s="11">
        <f t="shared" si="1"/>
        <v>21</v>
      </c>
      <c r="B23" s="5" t="s">
        <v>1675</v>
      </c>
      <c r="C23" t="s">
        <v>894</v>
      </c>
      <c r="D23" s="24" t="s">
        <v>48</v>
      </c>
      <c r="E23" s="24" t="str">
        <f>IFERROR(VLOOKUP(D23,Dropdown!A:B,2,0),D23)</f>
        <v>CVPL</v>
      </c>
      <c r="F23" s="6">
        <v>45754</v>
      </c>
      <c r="G23" s="6" t="str">
        <f>TEXT(F23, "MMM-YY")</f>
        <v>Apr-25</v>
      </c>
      <c r="H23" t="s">
        <v>68</v>
      </c>
      <c r="I23" s="25">
        <v>97.25</v>
      </c>
      <c r="J23" s="4">
        <v>1000</v>
      </c>
      <c r="K23" t="s">
        <v>902</v>
      </c>
      <c r="L23" s="4" t="str">
        <f>VLOOKUP(K23, 'Items Master'!A:E,5,0)</f>
        <v>GAIL</v>
      </c>
      <c r="M23" s="4" t="str">
        <f>VLOOKUP(K23, 'Items Master'!A:D,4,0)</f>
        <v>LLDPE</v>
      </c>
      <c r="N23" s="4" t="s">
        <v>24</v>
      </c>
      <c r="Q23" s="6">
        <v>45754</v>
      </c>
      <c r="R23" s="6" t="str">
        <f>TEXT(Q23, "MMM-YY")</f>
        <v>Apr-25</v>
      </c>
      <c r="W23" s="25">
        <v>97.25</v>
      </c>
      <c r="Y23"/>
      <c r="Z23"/>
      <c r="AB23"/>
      <c r="AC23"/>
      <c r="AD23"/>
      <c r="AE23"/>
      <c r="AF23"/>
      <c r="AG23"/>
      <c r="AH23"/>
      <c r="AI23"/>
      <c r="AJ23"/>
      <c r="AK23"/>
      <c r="AL23"/>
      <c r="AM23"/>
      <c r="AN23" s="9">
        <f t="shared" si="0"/>
        <v>0</v>
      </c>
      <c r="AO23" s="8"/>
      <c r="AP23" s="9">
        <f>I23-W23-X23-AN23</f>
        <v>0</v>
      </c>
      <c r="AQ23" t="s">
        <v>1316</v>
      </c>
    </row>
    <row r="24" spans="1:43" x14ac:dyDescent="0.3">
      <c r="A24" s="11">
        <f t="shared" si="1"/>
        <v>22</v>
      </c>
      <c r="B24" s="5" t="s">
        <v>1675</v>
      </c>
      <c r="C24" t="s">
        <v>893</v>
      </c>
      <c r="D24" s="24" t="s">
        <v>48</v>
      </c>
      <c r="E24" s="24" t="str">
        <f>IFERROR(VLOOKUP(D24,Dropdown!A:B,2,0),D24)</f>
        <v>CVPL</v>
      </c>
      <c r="F24" s="6">
        <v>45754</v>
      </c>
      <c r="G24" s="6" t="str">
        <f>TEXT(F24, "MMM-YY")</f>
        <v>Apr-25</v>
      </c>
      <c r="H24" t="s">
        <v>68</v>
      </c>
      <c r="I24" s="25">
        <v>120.75</v>
      </c>
      <c r="J24" s="4">
        <v>100</v>
      </c>
      <c r="K24" t="s">
        <v>895</v>
      </c>
      <c r="L24" s="4" t="str">
        <f>VLOOKUP(K24, 'Items Master'!A:E,5,0)</f>
        <v>RIL</v>
      </c>
      <c r="M24" s="4" t="str">
        <f>VLOOKUP(K24, 'Items Master'!A:D,4,0)</f>
        <v>LDPE</v>
      </c>
      <c r="N24" s="4" t="s">
        <v>24</v>
      </c>
      <c r="Q24" s="6">
        <v>45754</v>
      </c>
      <c r="R24" s="6" t="str">
        <f>TEXT(Q24, "MMM-YY")</f>
        <v>Apr-25</v>
      </c>
      <c r="W24" s="25">
        <v>120.75</v>
      </c>
      <c r="Y24"/>
      <c r="Z24"/>
      <c r="AB24"/>
      <c r="AC24"/>
      <c r="AD24"/>
      <c r="AE24"/>
      <c r="AF24"/>
      <c r="AG24"/>
      <c r="AH24"/>
      <c r="AI24"/>
      <c r="AJ24"/>
      <c r="AK24"/>
      <c r="AL24"/>
      <c r="AM24"/>
      <c r="AN24" s="9">
        <f t="shared" si="0"/>
        <v>0</v>
      </c>
      <c r="AO24" s="8"/>
      <c r="AP24" s="9">
        <f>I24-W24-X24-AN24</f>
        <v>0</v>
      </c>
      <c r="AQ24" t="s">
        <v>1316</v>
      </c>
    </row>
    <row r="25" spans="1:43" x14ac:dyDescent="0.3">
      <c r="A25" s="11">
        <f t="shared" si="1"/>
        <v>23</v>
      </c>
      <c r="B25" s="5" t="s">
        <v>1675</v>
      </c>
      <c r="C25" t="s">
        <v>893</v>
      </c>
      <c r="D25" s="24" t="s">
        <v>830</v>
      </c>
      <c r="E25" s="24" t="str">
        <f>IFERROR(VLOOKUP(D25,Dropdown!A:B,2,0),D25)</f>
        <v>BULK LIQUID SOLUTIONS PVT LTD</v>
      </c>
      <c r="F25" s="6">
        <v>45754</v>
      </c>
      <c r="G25" s="6" t="str">
        <f>TEXT(F25, "MMM-YY")</f>
        <v>Apr-25</v>
      </c>
      <c r="H25" t="s">
        <v>69</v>
      </c>
      <c r="I25" s="25">
        <v>95</v>
      </c>
      <c r="J25" s="4">
        <v>10000</v>
      </c>
      <c r="K25" t="s">
        <v>905</v>
      </c>
      <c r="L25" s="4" t="str">
        <f>VLOOKUP(K25, 'Items Master'!A:E,5,0)</f>
        <v>SINOPEC</v>
      </c>
      <c r="M25" s="4" t="str">
        <f>VLOOKUP(K25, 'Items Master'!A:D,4,0)</f>
        <v>PP</v>
      </c>
      <c r="N25" s="4" t="s">
        <v>24</v>
      </c>
      <c r="Q25" s="6">
        <v>45754</v>
      </c>
      <c r="R25" s="6" t="str">
        <f>TEXT(Q25, "MMM-YY")</f>
        <v>Apr-25</v>
      </c>
      <c r="W25" s="25">
        <v>95</v>
      </c>
      <c r="Y25"/>
      <c r="Z25"/>
      <c r="AB25"/>
      <c r="AC25"/>
      <c r="AD25"/>
      <c r="AE25"/>
      <c r="AF25"/>
      <c r="AG25"/>
      <c r="AH25"/>
      <c r="AI25"/>
      <c r="AJ25"/>
      <c r="AK25"/>
      <c r="AL25"/>
      <c r="AM25"/>
      <c r="AN25" s="9">
        <f t="shared" si="0"/>
        <v>0</v>
      </c>
      <c r="AO25" s="8"/>
      <c r="AP25" s="9">
        <f>I25-W25-X25-AN25</f>
        <v>0</v>
      </c>
      <c r="AQ25" t="s">
        <v>1316</v>
      </c>
    </row>
    <row r="26" spans="1:43" x14ac:dyDescent="0.3">
      <c r="A26" s="11">
        <f t="shared" si="1"/>
        <v>24</v>
      </c>
      <c r="B26" s="5" t="s">
        <v>1675</v>
      </c>
      <c r="C26" t="s">
        <v>893</v>
      </c>
      <c r="D26" s="24" t="s">
        <v>827</v>
      </c>
      <c r="E26" s="24" t="str">
        <f>IFERROR(VLOOKUP(D26,Dropdown!A:B,2,0),D26)</f>
        <v>RAGHUSHARAN OVERSEAS PRIVATE LIMITED</v>
      </c>
      <c r="F26" s="6">
        <v>45754</v>
      </c>
      <c r="G26" s="6" t="str">
        <f>TEXT(F26, "MMM-YY")</f>
        <v>Apr-25</v>
      </c>
      <c r="H26" t="s">
        <v>70</v>
      </c>
      <c r="I26" s="25">
        <v>67.8</v>
      </c>
      <c r="J26" s="4">
        <v>11000</v>
      </c>
      <c r="K26" t="s">
        <v>900</v>
      </c>
      <c r="L26" s="4" t="str">
        <f>VLOOKUP(K26, 'Items Master'!A:E,5,0)</f>
        <v>HANWHA</v>
      </c>
      <c r="M26" s="4" t="str">
        <f>VLOOKUP(K26, 'Items Master'!A:D,4,0)</f>
        <v>PVC</v>
      </c>
      <c r="N26" s="4" t="s">
        <v>24</v>
      </c>
      <c r="Q26" s="6">
        <v>45754</v>
      </c>
      <c r="R26" s="6" t="str">
        <f>TEXT(Q26, "MMM-YY")</f>
        <v>Apr-25</v>
      </c>
      <c r="W26" s="25">
        <v>67.8</v>
      </c>
      <c r="Y26"/>
      <c r="Z26"/>
      <c r="AB26"/>
      <c r="AC26"/>
      <c r="AD26"/>
      <c r="AE26"/>
      <c r="AF26"/>
      <c r="AG26"/>
      <c r="AH26"/>
      <c r="AI26"/>
      <c r="AJ26"/>
      <c r="AK26"/>
      <c r="AL26"/>
      <c r="AM26"/>
      <c r="AN26" s="9">
        <f t="shared" si="0"/>
        <v>0</v>
      </c>
      <c r="AO26" s="8"/>
      <c r="AP26" s="9">
        <f>I26-W26-X26-AN26</f>
        <v>0</v>
      </c>
      <c r="AQ26" t="s">
        <v>1316</v>
      </c>
    </row>
    <row r="27" spans="1:43" x14ac:dyDescent="0.3">
      <c r="A27" s="11">
        <f t="shared" si="1"/>
        <v>25</v>
      </c>
      <c r="B27" s="5" t="s">
        <v>1675</v>
      </c>
      <c r="C27" t="s">
        <v>893</v>
      </c>
      <c r="D27" s="24" t="s">
        <v>827</v>
      </c>
      <c r="E27" s="24" t="str">
        <f>IFERROR(VLOOKUP(D27,Dropdown!A:B,2,0),D27)</f>
        <v>RAGHUSHARAN OVERSEAS PRIVATE LIMITED</v>
      </c>
      <c r="F27" s="6">
        <v>45754</v>
      </c>
      <c r="G27" s="6" t="str">
        <f>TEXT(F27, "MMM-YY")</f>
        <v>Apr-25</v>
      </c>
      <c r="H27" t="s">
        <v>1351</v>
      </c>
      <c r="I27" s="25">
        <v>67.8</v>
      </c>
      <c r="J27" s="4">
        <v>-750</v>
      </c>
      <c r="K27" t="s">
        <v>900</v>
      </c>
      <c r="L27" s="4" t="str">
        <f>VLOOKUP(K27, 'Items Master'!A:E,5,0)</f>
        <v>HANWHA</v>
      </c>
      <c r="M27" s="4" t="str">
        <f>VLOOKUP(K27, 'Items Master'!A:D,4,0)</f>
        <v>PVC</v>
      </c>
      <c r="N27" s="4" t="s">
        <v>24</v>
      </c>
      <c r="Q27" s="6">
        <v>45754</v>
      </c>
      <c r="R27" s="6" t="str">
        <f>TEXT(Q27, "MMM-YY")</f>
        <v>Apr-25</v>
      </c>
      <c r="W27" s="25">
        <v>67.8</v>
      </c>
      <c r="Y27"/>
      <c r="Z27"/>
      <c r="AB27"/>
      <c r="AC27"/>
      <c r="AD27"/>
      <c r="AE27"/>
      <c r="AF27"/>
      <c r="AG27"/>
      <c r="AH27"/>
      <c r="AI27"/>
      <c r="AJ27"/>
      <c r="AK27"/>
      <c r="AL27"/>
      <c r="AM27"/>
      <c r="AN27" s="9">
        <f t="shared" si="0"/>
        <v>0</v>
      </c>
      <c r="AO27" s="8"/>
      <c r="AP27" s="9">
        <f>I27-W27-X27-AN27</f>
        <v>0</v>
      </c>
      <c r="AQ27" t="s">
        <v>1316</v>
      </c>
    </row>
    <row r="28" spans="1:43" x14ac:dyDescent="0.3">
      <c r="A28" s="11">
        <f t="shared" si="1"/>
        <v>26</v>
      </c>
      <c r="B28" s="5" t="s">
        <v>1675</v>
      </c>
      <c r="C28" t="s">
        <v>893</v>
      </c>
      <c r="D28" s="24" t="s">
        <v>827</v>
      </c>
      <c r="E28" s="24" t="str">
        <f>IFERROR(VLOOKUP(D28,Dropdown!A:B,2,0),D28)</f>
        <v>RAGHUSHARAN OVERSEAS PRIVATE LIMITED</v>
      </c>
      <c r="F28" s="6">
        <v>45754</v>
      </c>
      <c r="G28" s="6" t="str">
        <f>TEXT(F28, "MMM-YY")</f>
        <v>Apr-25</v>
      </c>
      <c r="H28" t="s">
        <v>71</v>
      </c>
      <c r="I28" s="25">
        <v>67.8</v>
      </c>
      <c r="J28" s="4">
        <v>25000</v>
      </c>
      <c r="K28" t="s">
        <v>900</v>
      </c>
      <c r="L28" s="4" t="str">
        <f>VLOOKUP(K28, 'Items Master'!A:E,5,0)</f>
        <v>HANWHA</v>
      </c>
      <c r="M28" s="4" t="str">
        <f>VLOOKUP(K28, 'Items Master'!A:D,4,0)</f>
        <v>PVC</v>
      </c>
      <c r="N28" s="4" t="s">
        <v>24</v>
      </c>
      <c r="Q28" s="6">
        <v>45754</v>
      </c>
      <c r="R28" s="6" t="str">
        <f>TEXT(Q28, "MMM-YY")</f>
        <v>Apr-25</v>
      </c>
      <c r="W28" s="25">
        <v>67.8</v>
      </c>
      <c r="Y28"/>
      <c r="Z28"/>
      <c r="AB28"/>
      <c r="AC28"/>
      <c r="AD28"/>
      <c r="AE28"/>
      <c r="AF28"/>
      <c r="AG28"/>
      <c r="AH28"/>
      <c r="AI28"/>
      <c r="AJ28"/>
      <c r="AK28"/>
      <c r="AL28"/>
      <c r="AM28"/>
      <c r="AN28" s="9">
        <f t="shared" si="0"/>
        <v>0</v>
      </c>
      <c r="AO28" s="8"/>
      <c r="AP28" s="9">
        <f>I28-W28-X28-AN28</f>
        <v>0</v>
      </c>
      <c r="AQ28" t="s">
        <v>1316</v>
      </c>
    </row>
    <row r="29" spans="1:43" x14ac:dyDescent="0.3">
      <c r="A29" s="11">
        <f t="shared" si="1"/>
        <v>27</v>
      </c>
      <c r="B29" s="5" t="s">
        <v>1675</v>
      </c>
      <c r="C29" t="s">
        <v>894</v>
      </c>
      <c r="D29" s="24" t="s">
        <v>833</v>
      </c>
      <c r="E29" s="24" t="str">
        <f>IFERROR(VLOOKUP(D29,Dropdown!A:B,2,0),D29)</f>
        <v>SQUAREFLEX PACKAGING PRIVATE LIMITED</v>
      </c>
      <c r="F29" s="6">
        <v>45755</v>
      </c>
      <c r="G29" s="6" t="str">
        <f>TEXT(F29, "MMM-YY")</f>
        <v>Apr-25</v>
      </c>
      <c r="H29" t="s">
        <v>72</v>
      </c>
      <c r="I29" s="25">
        <v>123.5</v>
      </c>
      <c r="J29" s="4">
        <v>10000</v>
      </c>
      <c r="K29" t="s">
        <v>908</v>
      </c>
      <c r="L29" s="4" t="str">
        <f>VLOOKUP(K29, 'Items Master'!A:E,5,0)</f>
        <v>RIL</v>
      </c>
      <c r="M29" s="4" t="str">
        <f>VLOOKUP(K29, 'Items Master'!A:D,4,0)</f>
        <v>LDPE</v>
      </c>
      <c r="N29" s="4" t="s">
        <v>24</v>
      </c>
      <c r="Q29" s="6">
        <v>45755</v>
      </c>
      <c r="R29" s="6" t="str">
        <f>TEXT(Q29, "MMM-YY")</f>
        <v>Apr-25</v>
      </c>
      <c r="W29" s="25">
        <v>123.5</v>
      </c>
      <c r="Y29"/>
      <c r="Z29"/>
      <c r="AB29"/>
      <c r="AC29"/>
      <c r="AD29"/>
      <c r="AE29"/>
      <c r="AF29"/>
      <c r="AG29"/>
      <c r="AH29"/>
      <c r="AI29"/>
      <c r="AJ29"/>
      <c r="AK29"/>
      <c r="AL29"/>
      <c r="AM29"/>
      <c r="AN29" s="9">
        <f t="shared" si="0"/>
        <v>0</v>
      </c>
      <c r="AO29" s="8"/>
      <c r="AP29" s="9">
        <f>I29-W29-X29-AN29</f>
        <v>0</v>
      </c>
      <c r="AQ29" t="s">
        <v>1316</v>
      </c>
    </row>
    <row r="30" spans="1:43" x14ac:dyDescent="0.3">
      <c r="A30" s="11">
        <f t="shared" si="1"/>
        <v>28</v>
      </c>
      <c r="B30" s="5" t="s">
        <v>1675</v>
      </c>
      <c r="C30" t="s">
        <v>893</v>
      </c>
      <c r="D30" s="24" t="s">
        <v>48</v>
      </c>
      <c r="E30" s="24" t="str">
        <f>IFERROR(VLOOKUP(D30,Dropdown!A:B,2,0),D30)</f>
        <v>CVPL</v>
      </c>
      <c r="F30" s="6">
        <v>45755</v>
      </c>
      <c r="G30" s="6" t="str">
        <f>TEXT(F30, "MMM-YY")</f>
        <v>Apr-25</v>
      </c>
      <c r="H30" t="s">
        <v>73</v>
      </c>
      <c r="I30" s="25">
        <v>98.9</v>
      </c>
      <c r="J30" s="4">
        <v>3000</v>
      </c>
      <c r="K30" t="s">
        <v>899</v>
      </c>
      <c r="L30" s="4" t="str">
        <f>VLOOKUP(K30, 'Items Master'!A:E,5,0)</f>
        <v>MRPL</v>
      </c>
      <c r="M30" s="4" t="str">
        <f>VLOOKUP(K30, 'Items Master'!A:D,4,0)</f>
        <v>PP</v>
      </c>
      <c r="N30" s="4" t="s">
        <v>49</v>
      </c>
      <c r="Q30" s="6">
        <v>45755</v>
      </c>
      <c r="R30" s="6" t="str">
        <f>TEXT(Q30, "MMM-YY")</f>
        <v>Apr-25</v>
      </c>
      <c r="X30" s="25">
        <v>98.9</v>
      </c>
      <c r="AB30"/>
      <c r="AC30"/>
      <c r="AD30"/>
      <c r="AE30"/>
      <c r="AF30"/>
      <c r="AG30"/>
      <c r="AH30"/>
      <c r="AI30"/>
      <c r="AJ30"/>
      <c r="AK30"/>
      <c r="AL30"/>
      <c r="AM30"/>
      <c r="AN30" s="9">
        <f t="shared" si="0"/>
        <v>0</v>
      </c>
      <c r="AO30" s="8"/>
      <c r="AP30" s="9">
        <f>I30-W30-X30-AN30</f>
        <v>0</v>
      </c>
      <c r="AQ30" t="s">
        <v>1324</v>
      </c>
    </row>
    <row r="31" spans="1:43" x14ac:dyDescent="0.3">
      <c r="A31" s="11">
        <f t="shared" si="1"/>
        <v>29</v>
      </c>
      <c r="B31" s="5" t="s">
        <v>1675</v>
      </c>
      <c r="C31" t="s">
        <v>893</v>
      </c>
      <c r="D31" s="24" t="s">
        <v>834</v>
      </c>
      <c r="E31" s="24" t="str">
        <f>IFERROR(VLOOKUP(D31,Dropdown!A:B,2,0),D31)</f>
        <v>D R POLYMERS PRIVATE LIMITED</v>
      </c>
      <c r="F31" s="6">
        <v>45755</v>
      </c>
      <c r="G31" s="6" t="str">
        <f>TEXT(F31, "MMM-YY")</f>
        <v>Apr-25</v>
      </c>
      <c r="H31" t="s">
        <v>74</v>
      </c>
      <c r="I31" s="25">
        <v>67.849999999999994</v>
      </c>
      <c r="J31" s="4">
        <v>30000</v>
      </c>
      <c r="K31" t="s">
        <v>900</v>
      </c>
      <c r="L31" s="4" t="str">
        <f>VLOOKUP(K31, 'Items Master'!A:E,5,0)</f>
        <v>HANWHA</v>
      </c>
      <c r="M31" s="4" t="str">
        <f>VLOOKUP(K31, 'Items Master'!A:D,4,0)</f>
        <v>PVC</v>
      </c>
      <c r="N31" s="4" t="s">
        <v>24</v>
      </c>
      <c r="Q31" s="6">
        <v>45755</v>
      </c>
      <c r="R31" s="6" t="str">
        <f>TEXT(Q31, "MMM-YY")</f>
        <v>Apr-25</v>
      </c>
      <c r="W31" s="25">
        <v>67.849999999999994</v>
      </c>
      <c r="Y31"/>
      <c r="Z31"/>
      <c r="AB31"/>
      <c r="AC31"/>
      <c r="AD31"/>
      <c r="AE31"/>
      <c r="AF31"/>
      <c r="AG31"/>
      <c r="AH31"/>
      <c r="AI31"/>
      <c r="AJ31"/>
      <c r="AK31"/>
      <c r="AL31"/>
      <c r="AM31"/>
      <c r="AN31" s="9">
        <f t="shared" si="0"/>
        <v>0</v>
      </c>
      <c r="AO31" s="8"/>
      <c r="AP31" s="9">
        <f>I31-W31-X31-AN31</f>
        <v>0</v>
      </c>
      <c r="AQ31" t="s">
        <v>1316</v>
      </c>
    </row>
    <row r="32" spans="1:43" x14ac:dyDescent="0.3">
      <c r="A32" s="11">
        <f t="shared" si="1"/>
        <v>30</v>
      </c>
      <c r="B32" s="5" t="s">
        <v>1675</v>
      </c>
      <c r="C32" t="s">
        <v>894</v>
      </c>
      <c r="D32" s="24" t="s">
        <v>835</v>
      </c>
      <c r="E32" s="24" t="str">
        <f>IFERROR(VLOOKUP(D32,Dropdown!A:B,2,0),D32)</f>
        <v>IVORY POLYMERS</v>
      </c>
      <c r="F32" s="6">
        <v>45756</v>
      </c>
      <c r="G32" s="6" t="str">
        <f>TEXT(F32, "MMM-YY")</f>
        <v>Apr-25</v>
      </c>
      <c r="H32" t="s">
        <v>55</v>
      </c>
      <c r="I32" s="25">
        <v>105</v>
      </c>
      <c r="J32" s="4">
        <v>6000</v>
      </c>
      <c r="K32" t="s">
        <v>904</v>
      </c>
      <c r="L32" s="4" t="str">
        <f>VLOOKUP(K32, 'Items Master'!A:E,5,0)</f>
        <v>BOROUGE</v>
      </c>
      <c r="M32" s="4" t="str">
        <f>VLOOKUP(K32, 'Items Master'!A:D,4,0)</f>
        <v>PP RCP</v>
      </c>
      <c r="N32" s="4" t="s">
        <v>24</v>
      </c>
      <c r="Q32" s="6">
        <v>45756</v>
      </c>
      <c r="R32" s="6" t="str">
        <f>TEXT(Q32, "MMM-YY")</f>
        <v>Apr-25</v>
      </c>
      <c r="W32" s="25">
        <v>105</v>
      </c>
      <c r="Y32"/>
      <c r="Z32"/>
      <c r="AB32"/>
      <c r="AC32"/>
      <c r="AD32"/>
      <c r="AE32"/>
      <c r="AF32"/>
      <c r="AG32"/>
      <c r="AH32"/>
      <c r="AI32"/>
      <c r="AJ32"/>
      <c r="AK32"/>
      <c r="AL32"/>
      <c r="AM32"/>
      <c r="AN32" s="9">
        <f t="shared" si="0"/>
        <v>0</v>
      </c>
      <c r="AO32" s="8"/>
      <c r="AP32" s="9">
        <f>I32-W32-X32-AN32</f>
        <v>0</v>
      </c>
      <c r="AQ32" t="s">
        <v>1316</v>
      </c>
    </row>
    <row r="33" spans="1:43" x14ac:dyDescent="0.3">
      <c r="A33" s="11">
        <f t="shared" si="1"/>
        <v>31</v>
      </c>
      <c r="B33" s="5" t="s">
        <v>1675</v>
      </c>
      <c r="C33" t="s">
        <v>893</v>
      </c>
      <c r="D33" s="24" t="s">
        <v>836</v>
      </c>
      <c r="E33" s="24" t="str">
        <f>IFERROR(VLOOKUP(D33,Dropdown!A:B,2,0),D33)</f>
        <v>Intime</v>
      </c>
      <c r="F33" s="6">
        <v>45757</v>
      </c>
      <c r="G33" s="6" t="str">
        <f>TEXT(F33, "MMM-YY")</f>
        <v>Apr-25</v>
      </c>
      <c r="H33" t="s">
        <v>75</v>
      </c>
      <c r="I33" s="25">
        <v>100.974</v>
      </c>
      <c r="J33" s="4">
        <v>13000</v>
      </c>
      <c r="K33" t="s">
        <v>903</v>
      </c>
      <c r="L33" s="4" t="str">
        <f>VLOOKUP(K33, 'Items Master'!A:E,5,0)</f>
        <v>GAIL</v>
      </c>
      <c r="M33" s="4" t="str">
        <f>VLOOKUP(K33, 'Items Master'!A:D,4,0)</f>
        <v>LLDPE</v>
      </c>
      <c r="N33" s="4" t="s">
        <v>49</v>
      </c>
      <c r="Q33" s="6">
        <v>45757</v>
      </c>
      <c r="R33" s="6" t="str">
        <f>TEXT(Q33, "MMM-YY")</f>
        <v>Apr-25</v>
      </c>
      <c r="X33" s="25">
        <v>100.974</v>
      </c>
      <c r="AB33"/>
      <c r="AC33"/>
      <c r="AD33"/>
      <c r="AE33"/>
      <c r="AF33"/>
      <c r="AG33"/>
      <c r="AH33"/>
      <c r="AI33"/>
      <c r="AJ33"/>
      <c r="AK33"/>
      <c r="AL33"/>
      <c r="AM33"/>
      <c r="AN33" s="9">
        <f t="shared" si="0"/>
        <v>0</v>
      </c>
      <c r="AO33" s="8"/>
      <c r="AP33" s="9">
        <f>I33-W33-X33-AN33</f>
        <v>0</v>
      </c>
      <c r="AQ33" t="s">
        <v>1324</v>
      </c>
    </row>
    <row r="34" spans="1:43" x14ac:dyDescent="0.3">
      <c r="A34" s="11">
        <f t="shared" si="1"/>
        <v>32</v>
      </c>
      <c r="B34" s="5" t="s">
        <v>1675</v>
      </c>
      <c r="C34" t="s">
        <v>893</v>
      </c>
      <c r="D34" s="24" t="s">
        <v>837</v>
      </c>
      <c r="E34" s="24" t="str">
        <f>IFERROR(VLOOKUP(D34,Dropdown!A:B,2,0),D34)</f>
        <v>SYNTHETIC PACKERS LIMITED</v>
      </c>
      <c r="F34" s="6">
        <v>45757</v>
      </c>
      <c r="G34" s="6" t="str">
        <f>TEXT(F34, "MMM-YY")</f>
        <v>Apr-25</v>
      </c>
      <c r="H34" t="s">
        <v>76</v>
      </c>
      <c r="I34" s="25">
        <v>91.5</v>
      </c>
      <c r="J34" s="4">
        <v>10000</v>
      </c>
      <c r="K34" t="s">
        <v>909</v>
      </c>
      <c r="L34" s="4" t="str">
        <f>VLOOKUP(K34, 'Items Master'!A:E,5,0)</f>
        <v>LUBAN</v>
      </c>
      <c r="M34" s="4" t="str">
        <f>VLOOKUP(K34, 'Items Master'!A:D,4,0)</f>
        <v>HDPE</v>
      </c>
      <c r="N34" s="4" t="s">
        <v>24</v>
      </c>
      <c r="Q34" s="6">
        <v>45757</v>
      </c>
      <c r="R34" s="6" t="str">
        <f>TEXT(Q34, "MMM-YY")</f>
        <v>Apr-25</v>
      </c>
      <c r="W34" s="25">
        <v>91.5</v>
      </c>
      <c r="Y34"/>
      <c r="Z34"/>
      <c r="AB34"/>
      <c r="AC34"/>
      <c r="AD34"/>
      <c r="AE34"/>
      <c r="AF34"/>
      <c r="AG34"/>
      <c r="AH34"/>
      <c r="AI34"/>
      <c r="AJ34"/>
      <c r="AK34"/>
      <c r="AL34"/>
      <c r="AM34"/>
      <c r="AN34" s="9">
        <f t="shared" si="0"/>
        <v>0</v>
      </c>
      <c r="AO34" s="8"/>
      <c r="AP34" s="9">
        <f>I34-W34-X34-AN34</f>
        <v>0</v>
      </c>
      <c r="AQ34" t="s">
        <v>1316</v>
      </c>
    </row>
    <row r="35" spans="1:43" x14ac:dyDescent="0.3">
      <c r="A35" s="11">
        <f t="shared" si="1"/>
        <v>33</v>
      </c>
      <c r="B35" s="5" t="s">
        <v>1675</v>
      </c>
      <c r="C35" t="s">
        <v>894</v>
      </c>
      <c r="D35" s="24" t="s">
        <v>837</v>
      </c>
      <c r="E35" s="24" t="str">
        <f>IFERROR(VLOOKUP(D35,Dropdown!A:B,2,0),D35)</f>
        <v>SYNTHETIC PACKERS LIMITED</v>
      </c>
      <c r="F35" s="6">
        <v>45757</v>
      </c>
      <c r="G35" s="6" t="str">
        <f>TEXT(F35, "MMM-YY")</f>
        <v>Apr-25</v>
      </c>
      <c r="H35" t="s">
        <v>77</v>
      </c>
      <c r="I35" s="25">
        <v>91.5</v>
      </c>
      <c r="J35" s="4">
        <v>12750</v>
      </c>
      <c r="K35" t="s">
        <v>909</v>
      </c>
      <c r="L35" s="4" t="str">
        <f>VLOOKUP(K35, 'Items Master'!A:E,5,0)</f>
        <v>LUBAN</v>
      </c>
      <c r="M35" s="4" t="str">
        <f>VLOOKUP(K35, 'Items Master'!A:D,4,0)</f>
        <v>HDPE</v>
      </c>
      <c r="N35" s="4" t="s">
        <v>24</v>
      </c>
      <c r="Q35" s="6">
        <v>45757</v>
      </c>
      <c r="R35" s="6" t="str">
        <f>TEXT(Q35, "MMM-YY")</f>
        <v>Apr-25</v>
      </c>
      <c r="W35" s="25">
        <v>91.5</v>
      </c>
      <c r="Y35"/>
      <c r="Z35"/>
      <c r="AB35"/>
      <c r="AC35"/>
      <c r="AD35"/>
      <c r="AE35"/>
      <c r="AF35"/>
      <c r="AG35"/>
      <c r="AH35"/>
      <c r="AI35"/>
      <c r="AJ35"/>
      <c r="AK35"/>
      <c r="AL35"/>
      <c r="AM35"/>
      <c r="AN35" s="9">
        <f t="shared" si="0"/>
        <v>0</v>
      </c>
      <c r="AO35" s="8"/>
      <c r="AP35" s="9">
        <f>I35-W35-X35-AN35</f>
        <v>0</v>
      </c>
      <c r="AQ35" t="s">
        <v>1316</v>
      </c>
    </row>
    <row r="36" spans="1:43" x14ac:dyDescent="0.3">
      <c r="A36" s="11">
        <f t="shared" si="1"/>
        <v>34</v>
      </c>
      <c r="B36" s="5" t="s">
        <v>1675</v>
      </c>
      <c r="C36" t="s">
        <v>894</v>
      </c>
      <c r="D36" s="24" t="s">
        <v>48</v>
      </c>
      <c r="E36" s="24" t="str">
        <f>IFERROR(VLOOKUP(D36,Dropdown!A:B,2,0),D36)</f>
        <v>CVPL</v>
      </c>
      <c r="F36" s="6">
        <v>45758</v>
      </c>
      <c r="G36" s="6" t="str">
        <f>TEXT(F36, "MMM-YY")</f>
        <v>Apr-25</v>
      </c>
      <c r="H36" t="s">
        <v>78</v>
      </c>
      <c r="I36" s="25">
        <v>101.486</v>
      </c>
      <c r="J36" s="4">
        <v>1000</v>
      </c>
      <c r="K36" t="s">
        <v>902</v>
      </c>
      <c r="L36" s="4" t="str">
        <f>VLOOKUP(K36, 'Items Master'!A:E,5,0)</f>
        <v>GAIL</v>
      </c>
      <c r="M36" s="4" t="str">
        <f>VLOOKUP(K36, 'Items Master'!A:D,4,0)</f>
        <v>LLDPE</v>
      </c>
      <c r="N36" s="4" t="s">
        <v>49</v>
      </c>
      <c r="O36" t="s">
        <v>1293</v>
      </c>
      <c r="Q36" s="6">
        <v>45758</v>
      </c>
      <c r="R36" s="6" t="str">
        <f>TEXT(Q36, "MMM-YY")</f>
        <v>Apr-25</v>
      </c>
      <c r="X36" s="25">
        <v>100.99</v>
      </c>
      <c r="AB36"/>
      <c r="AC36"/>
      <c r="AD36"/>
      <c r="AE36"/>
      <c r="AF36"/>
      <c r="AG36"/>
      <c r="AH36"/>
      <c r="AI36"/>
      <c r="AJ36"/>
      <c r="AK36"/>
      <c r="AL36"/>
      <c r="AM36"/>
      <c r="AN36" s="9">
        <f t="shared" si="0"/>
        <v>0</v>
      </c>
      <c r="AO36" s="8"/>
      <c r="AP36" s="9">
        <f>I36-W36-X36-AN36</f>
        <v>0.49600000000000932</v>
      </c>
      <c r="AQ36" t="s">
        <v>1324</v>
      </c>
    </row>
    <row r="37" spans="1:43" x14ac:dyDescent="0.3">
      <c r="A37" s="11">
        <f t="shared" si="1"/>
        <v>35</v>
      </c>
      <c r="B37" s="5" t="s">
        <v>1675</v>
      </c>
      <c r="C37" t="s">
        <v>893</v>
      </c>
      <c r="D37" s="24" t="s">
        <v>48</v>
      </c>
      <c r="E37" s="24" t="str">
        <f>IFERROR(VLOOKUP(D37,Dropdown!A:B,2,0),D37)</f>
        <v>CVPL</v>
      </c>
      <c r="F37" s="6">
        <v>45758</v>
      </c>
      <c r="G37" s="6" t="str">
        <f>TEXT(F37, "MMM-YY")</f>
        <v>Apr-25</v>
      </c>
      <c r="H37" t="s">
        <v>78</v>
      </c>
      <c r="I37" s="25">
        <v>120.75</v>
      </c>
      <c r="J37" s="4">
        <v>100</v>
      </c>
      <c r="K37" t="s">
        <v>895</v>
      </c>
      <c r="L37" s="4" t="str">
        <f>VLOOKUP(K37, 'Items Master'!A:E,5,0)</f>
        <v>RIL</v>
      </c>
      <c r="M37" s="4" t="str">
        <f>VLOOKUP(K37, 'Items Master'!A:D,4,0)</f>
        <v>LDPE</v>
      </c>
      <c r="N37" s="4" t="s">
        <v>24</v>
      </c>
      <c r="Q37" s="6">
        <v>45758</v>
      </c>
      <c r="R37" s="6" t="str">
        <f>TEXT(Q37, "MMM-YY")</f>
        <v>Apr-25</v>
      </c>
      <c r="W37" s="25">
        <v>120.75</v>
      </c>
      <c r="Y37"/>
      <c r="Z37"/>
      <c r="AB37"/>
      <c r="AC37"/>
      <c r="AD37"/>
      <c r="AE37"/>
      <c r="AF37"/>
      <c r="AG37"/>
      <c r="AH37"/>
      <c r="AI37"/>
      <c r="AJ37"/>
      <c r="AK37"/>
      <c r="AL37"/>
      <c r="AM37"/>
      <c r="AN37" s="9">
        <f t="shared" si="0"/>
        <v>0</v>
      </c>
      <c r="AO37" s="8"/>
      <c r="AP37" s="9">
        <f>I37-W37-X37-AN37</f>
        <v>0</v>
      </c>
      <c r="AQ37" t="s">
        <v>1316</v>
      </c>
    </row>
    <row r="38" spans="1:43" x14ac:dyDescent="0.3">
      <c r="A38" s="11">
        <f t="shared" si="1"/>
        <v>36</v>
      </c>
      <c r="B38" s="5" t="s">
        <v>1675</v>
      </c>
      <c r="C38" t="s">
        <v>893</v>
      </c>
      <c r="D38" s="24" t="s">
        <v>838</v>
      </c>
      <c r="E38" s="24" t="str">
        <f>IFERROR(VLOOKUP(D38,Dropdown!A:B,2,0),D38)</f>
        <v>Treenity</v>
      </c>
      <c r="F38" s="6">
        <v>45758</v>
      </c>
      <c r="G38" s="6" t="str">
        <f>TEXT(F38, "MMM-YY")</f>
        <v>Apr-25</v>
      </c>
      <c r="H38" t="s">
        <v>79</v>
      </c>
      <c r="I38" s="25">
        <v>100.55</v>
      </c>
      <c r="J38" s="4">
        <v>10000</v>
      </c>
      <c r="K38" t="s">
        <v>899</v>
      </c>
      <c r="L38" s="4" t="str">
        <f>VLOOKUP(K38, 'Items Master'!A:E,5,0)</f>
        <v>MRPL</v>
      </c>
      <c r="M38" s="4" t="str">
        <f>VLOOKUP(K38, 'Items Master'!A:D,4,0)</f>
        <v>PP</v>
      </c>
      <c r="N38" s="4" t="s">
        <v>49</v>
      </c>
      <c r="Q38" s="6">
        <v>45758</v>
      </c>
      <c r="R38" s="6" t="str">
        <f>TEXT(Q38, "MMM-YY")</f>
        <v>Apr-25</v>
      </c>
      <c r="U38" t="s">
        <v>1320</v>
      </c>
      <c r="W38"/>
      <c r="X38" s="8">
        <v>98.9</v>
      </c>
      <c r="Y38" t="s">
        <v>1304</v>
      </c>
      <c r="Z38" t="s">
        <v>1305</v>
      </c>
      <c r="AB38"/>
      <c r="AC38"/>
      <c r="AD38"/>
      <c r="AE38"/>
      <c r="AF38"/>
      <c r="AG38"/>
      <c r="AH38"/>
      <c r="AI38" s="8">
        <v>1.65</v>
      </c>
      <c r="AJ38"/>
      <c r="AK38"/>
      <c r="AL38"/>
      <c r="AM38"/>
      <c r="AN38" s="9">
        <f t="shared" si="0"/>
        <v>1.65</v>
      </c>
      <c r="AO38" s="8"/>
      <c r="AP38" s="9">
        <f>I38-W38-X38-AN38</f>
        <v>-8.4376949871511897E-15</v>
      </c>
      <c r="AQ38" t="s">
        <v>1316</v>
      </c>
    </row>
    <row r="39" spans="1:43" x14ac:dyDescent="0.3">
      <c r="A39" s="11">
        <f t="shared" si="1"/>
        <v>37</v>
      </c>
      <c r="B39" s="5" t="s">
        <v>1675</v>
      </c>
      <c r="C39" t="s">
        <v>893</v>
      </c>
      <c r="D39" s="24" t="s">
        <v>837</v>
      </c>
      <c r="E39" s="24" t="str">
        <f>IFERROR(VLOOKUP(D39,Dropdown!A:B,2,0),D39)</f>
        <v>SYNTHETIC PACKERS LIMITED</v>
      </c>
      <c r="F39" s="6">
        <v>45758</v>
      </c>
      <c r="G39" s="6" t="str">
        <f>TEXT(F39, "MMM-YY")</f>
        <v>Apr-25</v>
      </c>
      <c r="H39" t="s">
        <v>80</v>
      </c>
      <c r="I39" s="25">
        <v>91.5</v>
      </c>
      <c r="J39" s="4">
        <v>24750</v>
      </c>
      <c r="K39" t="s">
        <v>909</v>
      </c>
      <c r="L39" s="4" t="str">
        <f>VLOOKUP(K39, 'Items Master'!A:E,5,0)</f>
        <v>LUBAN</v>
      </c>
      <c r="M39" s="4" t="str">
        <f>VLOOKUP(K39, 'Items Master'!A:D,4,0)</f>
        <v>HDPE</v>
      </c>
      <c r="N39" s="4" t="s">
        <v>24</v>
      </c>
      <c r="Q39" s="6">
        <v>45758</v>
      </c>
      <c r="R39" s="6" t="str">
        <f>TEXT(Q39, "MMM-YY")</f>
        <v>Apr-25</v>
      </c>
      <c r="W39" s="25">
        <v>91.5</v>
      </c>
      <c r="Y39"/>
      <c r="Z39"/>
      <c r="AB39"/>
      <c r="AC39"/>
      <c r="AD39"/>
      <c r="AE39"/>
      <c r="AF39"/>
      <c r="AG39"/>
      <c r="AH39"/>
      <c r="AI39"/>
      <c r="AJ39"/>
      <c r="AK39"/>
      <c r="AL39"/>
      <c r="AM39"/>
      <c r="AN39" s="9">
        <f t="shared" si="0"/>
        <v>0</v>
      </c>
      <c r="AO39" s="8"/>
      <c r="AP39" s="9">
        <f>I39-W39-X39-AN39</f>
        <v>0</v>
      </c>
      <c r="AQ39" t="s">
        <v>1316</v>
      </c>
    </row>
    <row r="40" spans="1:43" x14ac:dyDescent="0.3">
      <c r="A40" s="11">
        <f t="shared" si="1"/>
        <v>38</v>
      </c>
      <c r="B40" s="5" t="s">
        <v>1675</v>
      </c>
      <c r="C40" t="s">
        <v>894</v>
      </c>
      <c r="D40" s="24" t="s">
        <v>837</v>
      </c>
      <c r="E40" s="24" t="str">
        <f>IFERROR(VLOOKUP(D40,Dropdown!A:B,2,0),D40)</f>
        <v>SYNTHETIC PACKERS LIMITED</v>
      </c>
      <c r="F40" s="6">
        <v>45758</v>
      </c>
      <c r="G40" s="6" t="str">
        <f>TEXT(F40, "MMM-YY")</f>
        <v>Apr-25</v>
      </c>
      <c r="H40" t="s">
        <v>81</v>
      </c>
      <c r="I40" s="25">
        <v>91.5</v>
      </c>
      <c r="J40" s="4">
        <v>2000</v>
      </c>
      <c r="K40" t="s">
        <v>909</v>
      </c>
      <c r="L40" s="4" t="str">
        <f>VLOOKUP(K40, 'Items Master'!A:E,5,0)</f>
        <v>LUBAN</v>
      </c>
      <c r="M40" s="4" t="str">
        <f>VLOOKUP(K40, 'Items Master'!A:D,4,0)</f>
        <v>HDPE</v>
      </c>
      <c r="N40" s="4" t="s">
        <v>24</v>
      </c>
      <c r="Q40" s="6">
        <v>45758</v>
      </c>
      <c r="R40" s="6" t="str">
        <f>TEXT(Q40, "MMM-YY")</f>
        <v>Apr-25</v>
      </c>
      <c r="W40" s="25">
        <v>91.5</v>
      </c>
      <c r="Y40"/>
      <c r="Z40"/>
      <c r="AB40"/>
      <c r="AC40"/>
      <c r="AD40"/>
      <c r="AE40"/>
      <c r="AF40"/>
      <c r="AG40"/>
      <c r="AH40"/>
      <c r="AI40"/>
      <c r="AJ40"/>
      <c r="AK40"/>
      <c r="AL40"/>
      <c r="AM40"/>
      <c r="AN40" s="9">
        <f t="shared" si="0"/>
        <v>0</v>
      </c>
      <c r="AO40" s="8"/>
      <c r="AP40" s="9">
        <f>I40-W40-X40-AN40</f>
        <v>0</v>
      </c>
      <c r="AQ40" t="s">
        <v>1316</v>
      </c>
    </row>
    <row r="41" spans="1:43" x14ac:dyDescent="0.3">
      <c r="A41" s="11">
        <f t="shared" si="1"/>
        <v>39</v>
      </c>
      <c r="B41" s="5" t="s">
        <v>1675</v>
      </c>
      <c r="C41" t="s">
        <v>894</v>
      </c>
      <c r="D41" s="24" t="s">
        <v>837</v>
      </c>
      <c r="E41" s="24" t="str">
        <f>IFERROR(VLOOKUP(D41,Dropdown!A:B,2,0),D41)</f>
        <v>SYNTHETIC PACKERS LIMITED</v>
      </c>
      <c r="F41" s="6">
        <v>45758</v>
      </c>
      <c r="G41" s="6" t="str">
        <f>TEXT(F41, "MMM-YY")</f>
        <v>Apr-25</v>
      </c>
      <c r="H41" t="s">
        <v>81</v>
      </c>
      <c r="I41" s="25">
        <v>91.25</v>
      </c>
      <c r="J41" s="4">
        <v>10000</v>
      </c>
      <c r="K41" t="s">
        <v>909</v>
      </c>
      <c r="L41" s="4" t="str">
        <f>VLOOKUP(K41, 'Items Master'!A:E,5,0)</f>
        <v>LUBAN</v>
      </c>
      <c r="M41" s="4" t="str">
        <f>VLOOKUP(K41, 'Items Master'!A:D,4,0)</f>
        <v>HDPE</v>
      </c>
      <c r="N41" s="4" t="s">
        <v>24</v>
      </c>
      <c r="Q41" s="6">
        <v>45758</v>
      </c>
      <c r="R41" s="6" t="str">
        <f>TEXT(Q41, "MMM-YY")</f>
        <v>Apr-25</v>
      </c>
      <c r="W41" s="25">
        <v>91.25</v>
      </c>
      <c r="Y41"/>
      <c r="Z41"/>
      <c r="AB41"/>
      <c r="AC41"/>
      <c r="AD41"/>
      <c r="AE41"/>
      <c r="AF41"/>
      <c r="AG41"/>
      <c r="AH41"/>
      <c r="AI41"/>
      <c r="AJ41"/>
      <c r="AK41"/>
      <c r="AL41"/>
      <c r="AM41"/>
      <c r="AN41" s="9">
        <f t="shared" si="0"/>
        <v>0</v>
      </c>
      <c r="AO41" s="8"/>
      <c r="AP41" s="9">
        <f>I41-W41-X41-AN41</f>
        <v>0</v>
      </c>
      <c r="AQ41" t="s">
        <v>1316</v>
      </c>
    </row>
    <row r="42" spans="1:43" x14ac:dyDescent="0.3">
      <c r="A42" s="11">
        <f t="shared" si="1"/>
        <v>40</v>
      </c>
      <c r="B42" s="5" t="s">
        <v>1675</v>
      </c>
      <c r="C42" t="s">
        <v>893</v>
      </c>
      <c r="D42" s="24" t="s">
        <v>839</v>
      </c>
      <c r="E42" s="24" t="str">
        <f>IFERROR(VLOOKUP(D42,Dropdown!A:B,2,0),D42)</f>
        <v>Prestine</v>
      </c>
      <c r="F42" s="6">
        <v>45759</v>
      </c>
      <c r="G42" s="6" t="str">
        <f>TEXT(F42, "MMM-YY")</f>
        <v>Apr-25</v>
      </c>
      <c r="H42" t="s">
        <v>82</v>
      </c>
      <c r="I42" s="25">
        <v>101.74</v>
      </c>
      <c r="J42" s="4">
        <v>10000</v>
      </c>
      <c r="K42" t="s">
        <v>910</v>
      </c>
      <c r="L42" s="4" t="str">
        <f>VLOOKUP(K42, 'Items Master'!A:E,5,0)</f>
        <v>RIL</v>
      </c>
      <c r="M42" s="4" t="str">
        <f>VLOOKUP(K42, 'Items Master'!A:D,4,0)</f>
        <v>PP</v>
      </c>
      <c r="N42" s="4" t="s">
        <v>49</v>
      </c>
      <c r="Q42" s="6">
        <v>45759</v>
      </c>
      <c r="R42" s="6" t="str">
        <f>TEXT(Q42, "MMM-YY")</f>
        <v>Apr-25</v>
      </c>
      <c r="X42" s="25">
        <v>101.74</v>
      </c>
      <c r="Y42" s="25" t="s">
        <v>1303</v>
      </c>
      <c r="Z42" s="25" t="s">
        <v>1644</v>
      </c>
      <c r="AB42"/>
      <c r="AC42"/>
      <c r="AD42"/>
      <c r="AE42"/>
      <c r="AF42"/>
      <c r="AG42"/>
      <c r="AH42"/>
      <c r="AI42"/>
      <c r="AJ42"/>
      <c r="AK42"/>
      <c r="AL42"/>
      <c r="AM42"/>
      <c r="AN42" s="9">
        <f t="shared" si="0"/>
        <v>0</v>
      </c>
      <c r="AO42" s="8"/>
      <c r="AP42" s="9">
        <f>I42-W42-X42-AN42</f>
        <v>0</v>
      </c>
      <c r="AQ42" t="s">
        <v>1316</v>
      </c>
    </row>
    <row r="43" spans="1:43" x14ac:dyDescent="0.3">
      <c r="A43" s="11">
        <f t="shared" si="1"/>
        <v>41</v>
      </c>
      <c r="B43" s="5" t="s">
        <v>1675</v>
      </c>
      <c r="C43" t="s">
        <v>893</v>
      </c>
      <c r="D43" s="24" t="s">
        <v>824</v>
      </c>
      <c r="E43" s="24" t="str">
        <f>IFERROR(VLOOKUP(D43,Dropdown!A:B,2,0),D43)</f>
        <v>Paragon</v>
      </c>
      <c r="F43" s="6">
        <v>45759</v>
      </c>
      <c r="G43" s="6" t="str">
        <f>TEXT(F43, "MMM-YY")</f>
        <v>Apr-25</v>
      </c>
      <c r="H43" t="s">
        <v>83</v>
      </c>
      <c r="I43" s="25">
        <v>100.28</v>
      </c>
      <c r="J43" s="4">
        <v>25000</v>
      </c>
      <c r="K43" t="s">
        <v>910</v>
      </c>
      <c r="L43" s="4" t="str">
        <f>VLOOKUP(K43, 'Items Master'!A:E,5,0)</f>
        <v>RIL</v>
      </c>
      <c r="M43" s="4" t="str">
        <f>VLOOKUP(K43, 'Items Master'!A:D,4,0)</f>
        <v>PP</v>
      </c>
      <c r="N43" s="4" t="s">
        <v>49</v>
      </c>
      <c r="Q43" s="6">
        <v>45759</v>
      </c>
      <c r="R43" s="6" t="str">
        <f>TEXT(Q43, "MMM-YY")</f>
        <v>Apr-25</v>
      </c>
      <c r="X43" s="25">
        <v>100.28</v>
      </c>
      <c r="AB43"/>
      <c r="AC43"/>
      <c r="AD43"/>
      <c r="AE43"/>
      <c r="AF43"/>
      <c r="AG43"/>
      <c r="AH43"/>
      <c r="AI43"/>
      <c r="AJ43"/>
      <c r="AK43"/>
      <c r="AL43"/>
      <c r="AM43"/>
      <c r="AN43" s="9">
        <f t="shared" si="0"/>
        <v>0</v>
      </c>
      <c r="AO43" s="8"/>
      <c r="AP43" s="9">
        <f>I43-W43-X43-AN43</f>
        <v>0</v>
      </c>
      <c r="AQ43" t="s">
        <v>1324</v>
      </c>
    </row>
    <row r="44" spans="1:43" x14ac:dyDescent="0.3">
      <c r="A44" s="11">
        <f t="shared" si="1"/>
        <v>42</v>
      </c>
      <c r="B44" s="5" t="s">
        <v>1675</v>
      </c>
      <c r="C44" t="s">
        <v>893</v>
      </c>
      <c r="D44" s="24" t="s">
        <v>836</v>
      </c>
      <c r="E44" s="24" t="str">
        <f>IFERROR(VLOOKUP(D44,Dropdown!A:B,2,0),D44)</f>
        <v>Intime</v>
      </c>
      <c r="F44" s="6">
        <v>45759</v>
      </c>
      <c r="G44" s="6" t="str">
        <f>TEXT(F44, "MMM-YY")</f>
        <v>Apr-25</v>
      </c>
      <c r="H44" t="s">
        <v>84</v>
      </c>
      <c r="I44" s="25">
        <v>99.933000000000007</v>
      </c>
      <c r="J44" s="4">
        <v>12000</v>
      </c>
      <c r="K44" t="s">
        <v>911</v>
      </c>
      <c r="L44" s="4" t="str">
        <f>VLOOKUP(K44, 'Items Master'!A:E,5,0)</f>
        <v>BCPL</v>
      </c>
      <c r="M44" s="4" t="str">
        <f>VLOOKUP(K44, 'Items Master'!A:D,4,0)</f>
        <v>LLDPE</v>
      </c>
      <c r="N44" s="4" t="s">
        <v>49</v>
      </c>
      <c r="Q44" s="6">
        <v>45759</v>
      </c>
      <c r="R44" s="6" t="str">
        <f>TEXT(Q44, "MMM-YY")</f>
        <v>Apr-25</v>
      </c>
      <c r="X44" s="25">
        <v>99.933000000000007</v>
      </c>
      <c r="AB44"/>
      <c r="AC44"/>
      <c r="AD44"/>
      <c r="AE44"/>
      <c r="AF44"/>
      <c r="AG44"/>
      <c r="AH44"/>
      <c r="AI44"/>
      <c r="AJ44"/>
      <c r="AK44"/>
      <c r="AL44"/>
      <c r="AM44"/>
      <c r="AN44" s="9">
        <f t="shared" si="0"/>
        <v>0</v>
      </c>
      <c r="AO44" s="8"/>
      <c r="AP44" s="9">
        <f>I44-W44-X44-AN44</f>
        <v>0</v>
      </c>
      <c r="AQ44" t="s">
        <v>1324</v>
      </c>
    </row>
    <row r="45" spans="1:43" x14ac:dyDescent="0.3">
      <c r="A45" s="11">
        <f t="shared" si="1"/>
        <v>43</v>
      </c>
      <c r="B45" s="5" t="s">
        <v>1675</v>
      </c>
      <c r="C45" t="s">
        <v>893</v>
      </c>
      <c r="D45" s="24" t="s">
        <v>824</v>
      </c>
      <c r="E45" s="24" t="str">
        <f>IFERROR(VLOOKUP(D45,Dropdown!A:B,2,0),D45)</f>
        <v>Paragon</v>
      </c>
      <c r="F45" s="6">
        <v>45759</v>
      </c>
      <c r="G45" s="6" t="str">
        <f>TEXT(F45, "MMM-YY")</f>
        <v>Apr-25</v>
      </c>
      <c r="H45" t="s">
        <v>85</v>
      </c>
      <c r="I45" s="25">
        <v>102.8</v>
      </c>
      <c r="J45" s="4">
        <v>1000</v>
      </c>
      <c r="K45" t="s">
        <v>912</v>
      </c>
      <c r="L45" s="4" t="str">
        <f>VLOOKUP(K45, 'Items Master'!A:E,5,0)</f>
        <v>RIL</v>
      </c>
      <c r="M45" s="4" t="str">
        <f>VLOOKUP(K45, 'Items Master'!A:D,4,0)</f>
        <v>PP</v>
      </c>
      <c r="N45" s="4" t="s">
        <v>49</v>
      </c>
      <c r="Q45" s="6">
        <v>45759</v>
      </c>
      <c r="R45" s="6" t="str">
        <f>TEXT(Q45, "MMM-YY")</f>
        <v>Apr-25</v>
      </c>
      <c r="X45" s="25">
        <v>102.8</v>
      </c>
      <c r="AB45"/>
      <c r="AC45"/>
      <c r="AD45"/>
      <c r="AE45"/>
      <c r="AF45"/>
      <c r="AG45"/>
      <c r="AH45"/>
      <c r="AI45"/>
      <c r="AJ45"/>
      <c r="AK45"/>
      <c r="AL45"/>
      <c r="AM45"/>
      <c r="AN45" s="9">
        <f t="shared" si="0"/>
        <v>0</v>
      </c>
      <c r="AO45" s="8"/>
      <c r="AP45" s="9">
        <f>I45-W45-X45-AN45</f>
        <v>0</v>
      </c>
      <c r="AQ45" t="s">
        <v>1324</v>
      </c>
    </row>
    <row r="46" spans="1:43" x14ac:dyDescent="0.3">
      <c r="A46" s="11">
        <f t="shared" si="1"/>
        <v>44</v>
      </c>
      <c r="B46" s="5" t="s">
        <v>1675</v>
      </c>
      <c r="C46" t="s">
        <v>893</v>
      </c>
      <c r="D46" s="24" t="s">
        <v>824</v>
      </c>
      <c r="E46" s="24" t="str">
        <f>IFERROR(VLOOKUP(D46,Dropdown!A:B,2,0),D46)</f>
        <v>Paragon</v>
      </c>
      <c r="F46" s="6">
        <v>45759</v>
      </c>
      <c r="G46" s="6" t="str">
        <f>TEXT(F46, "MMM-YY")</f>
        <v>Apr-25</v>
      </c>
      <c r="H46" t="s">
        <v>86</v>
      </c>
      <c r="I46" s="25">
        <v>102.8</v>
      </c>
      <c r="J46" s="4">
        <v>2000</v>
      </c>
      <c r="K46" t="s">
        <v>913</v>
      </c>
      <c r="L46" s="4" t="str">
        <f>VLOOKUP(K46, 'Items Master'!A:E,5,0)</f>
        <v>RIL</v>
      </c>
      <c r="M46" s="4" t="str">
        <f>VLOOKUP(K46, 'Items Master'!A:D,4,0)</f>
        <v>HDPE</v>
      </c>
      <c r="N46" s="4" t="s">
        <v>49</v>
      </c>
      <c r="Q46" s="6">
        <v>45759</v>
      </c>
      <c r="R46" s="6" t="str">
        <f>TEXT(Q46, "MMM-YY")</f>
        <v>Apr-25</v>
      </c>
      <c r="X46" s="25">
        <v>102.8</v>
      </c>
      <c r="AB46"/>
      <c r="AC46"/>
      <c r="AD46"/>
      <c r="AE46"/>
      <c r="AF46"/>
      <c r="AG46"/>
      <c r="AH46"/>
      <c r="AI46"/>
      <c r="AJ46"/>
      <c r="AK46"/>
      <c r="AL46"/>
      <c r="AM46"/>
      <c r="AN46" s="9">
        <f t="shared" si="0"/>
        <v>0</v>
      </c>
      <c r="AO46" s="8"/>
      <c r="AP46" s="9">
        <f>I46-W46-X46-AN46</f>
        <v>0</v>
      </c>
      <c r="AQ46" t="s">
        <v>1324</v>
      </c>
    </row>
    <row r="47" spans="1:43" x14ac:dyDescent="0.3">
      <c r="A47" s="11">
        <f t="shared" si="1"/>
        <v>45</v>
      </c>
      <c r="B47" s="5" t="s">
        <v>1675</v>
      </c>
      <c r="C47" t="s">
        <v>893</v>
      </c>
      <c r="D47" s="24" t="s">
        <v>840</v>
      </c>
      <c r="E47" s="24" t="str">
        <f>IFERROR(VLOOKUP(D47,Dropdown!A:B,2,0),D47)</f>
        <v>LPB Plastic Private Limited</v>
      </c>
      <c r="F47" s="6">
        <v>45759</v>
      </c>
      <c r="G47" s="6" t="str">
        <f>TEXT(F47, "MMM-YY")</f>
        <v>Apr-25</v>
      </c>
      <c r="H47" t="s">
        <v>87</v>
      </c>
      <c r="I47" s="25">
        <v>98.5</v>
      </c>
      <c r="J47" s="4">
        <v>12000</v>
      </c>
      <c r="K47" t="s">
        <v>914</v>
      </c>
      <c r="L47" s="4" t="str">
        <f>VLOOKUP(K47, 'Items Master'!A:E,5,0)</f>
        <v>HMEL</v>
      </c>
      <c r="M47" s="4" t="str">
        <f>VLOOKUP(K47, 'Items Master'!A:D,4,0)</f>
        <v>LLDPE</v>
      </c>
      <c r="N47" s="4" t="s">
        <v>24</v>
      </c>
      <c r="Q47" s="6">
        <v>45759</v>
      </c>
      <c r="R47" s="6" t="str">
        <f>TEXT(Q47, "MMM-YY")</f>
        <v>Apr-25</v>
      </c>
      <c r="W47" s="25">
        <v>98.5</v>
      </c>
      <c r="Y47"/>
      <c r="Z47"/>
      <c r="AB47"/>
      <c r="AC47"/>
      <c r="AD47"/>
      <c r="AE47"/>
      <c r="AF47"/>
      <c r="AG47"/>
      <c r="AH47"/>
      <c r="AI47"/>
      <c r="AJ47"/>
      <c r="AK47"/>
      <c r="AL47"/>
      <c r="AM47"/>
      <c r="AN47" s="9">
        <f t="shared" si="0"/>
        <v>0</v>
      </c>
      <c r="AO47" s="8"/>
      <c r="AP47" s="9">
        <f>I47-W47-X47-AN47</f>
        <v>0</v>
      </c>
      <c r="AQ47" t="s">
        <v>1316</v>
      </c>
    </row>
    <row r="48" spans="1:43" x14ac:dyDescent="0.3">
      <c r="A48" s="11">
        <f t="shared" si="1"/>
        <v>46</v>
      </c>
      <c r="B48" s="5" t="s">
        <v>1675</v>
      </c>
      <c r="C48" t="s">
        <v>893</v>
      </c>
      <c r="D48" s="24" t="s">
        <v>48</v>
      </c>
      <c r="E48" s="24" t="str">
        <f>IFERROR(VLOOKUP(D48,Dropdown!A:B,2,0),D48)</f>
        <v>CVPL</v>
      </c>
      <c r="F48" s="6">
        <v>45759</v>
      </c>
      <c r="G48" s="6" t="str">
        <f>TEXT(F48, "MMM-YY")</f>
        <v>Apr-25</v>
      </c>
      <c r="H48" t="s">
        <v>88</v>
      </c>
      <c r="I48" s="25">
        <v>97.5</v>
      </c>
      <c r="J48" s="4">
        <v>2000</v>
      </c>
      <c r="K48" t="s">
        <v>915</v>
      </c>
      <c r="L48" s="4" t="str">
        <f>VLOOKUP(K48, 'Items Master'!A:E,5,0)</f>
        <v>RIL</v>
      </c>
      <c r="M48" s="4" t="str">
        <f>VLOOKUP(K48, 'Items Master'!A:D,4,0)</f>
        <v>LLDPE</v>
      </c>
      <c r="N48" s="4" t="s">
        <v>24</v>
      </c>
      <c r="Q48" s="6">
        <v>45759</v>
      </c>
      <c r="R48" s="6" t="str">
        <f>TEXT(Q48, "MMM-YY")</f>
        <v>Apr-25</v>
      </c>
      <c r="W48" s="25">
        <v>97.5</v>
      </c>
      <c r="Y48"/>
      <c r="Z48"/>
      <c r="AB48"/>
      <c r="AC48"/>
      <c r="AD48"/>
      <c r="AE48"/>
      <c r="AF48"/>
      <c r="AG48"/>
      <c r="AH48"/>
      <c r="AI48"/>
      <c r="AJ48"/>
      <c r="AK48"/>
      <c r="AL48"/>
      <c r="AM48"/>
      <c r="AN48" s="9">
        <f t="shared" si="0"/>
        <v>0</v>
      </c>
      <c r="AO48" s="8"/>
      <c r="AP48" s="9">
        <f>I48-W48-X48-AN48</f>
        <v>0</v>
      </c>
      <c r="AQ48" t="s">
        <v>1316</v>
      </c>
    </row>
    <row r="49" spans="1:43" x14ac:dyDescent="0.3">
      <c r="A49" s="11">
        <f t="shared" si="1"/>
        <v>47</v>
      </c>
      <c r="B49" s="5" t="s">
        <v>1675</v>
      </c>
      <c r="C49" t="s">
        <v>893</v>
      </c>
      <c r="D49" s="24" t="s">
        <v>824</v>
      </c>
      <c r="E49" s="24" t="str">
        <f>IFERROR(VLOOKUP(D49,Dropdown!A:B,2,0),D49)</f>
        <v>Paragon</v>
      </c>
      <c r="F49" s="6">
        <v>45759</v>
      </c>
      <c r="G49" s="6" t="str">
        <f>TEXT(F49, "MMM-YY")</f>
        <v>Apr-25</v>
      </c>
      <c r="H49" t="s">
        <v>89</v>
      </c>
      <c r="I49" s="25">
        <v>106.28</v>
      </c>
      <c r="J49" s="4">
        <v>5000</v>
      </c>
      <c r="K49" t="s">
        <v>916</v>
      </c>
      <c r="L49" s="4" t="str">
        <f>VLOOKUP(K49, 'Items Master'!A:E,5,0)</f>
        <v>RIL</v>
      </c>
      <c r="M49" s="4" t="str">
        <f>VLOOKUP(K49, 'Items Master'!A:D,4,0)</f>
        <v>PP</v>
      </c>
      <c r="N49" s="4" t="s">
        <v>49</v>
      </c>
      <c r="Q49" s="6">
        <v>45759</v>
      </c>
      <c r="R49" s="6" t="str">
        <f>TEXT(Q49, "MMM-YY")</f>
        <v>Apr-25</v>
      </c>
      <c r="X49" s="25">
        <v>106.28</v>
      </c>
      <c r="AB49"/>
      <c r="AC49"/>
      <c r="AD49"/>
      <c r="AE49"/>
      <c r="AF49"/>
      <c r="AG49"/>
      <c r="AH49"/>
      <c r="AI49"/>
      <c r="AJ49"/>
      <c r="AK49"/>
      <c r="AL49"/>
      <c r="AM49"/>
      <c r="AN49" s="9">
        <f t="shared" si="0"/>
        <v>0</v>
      </c>
      <c r="AO49" s="8"/>
      <c r="AP49" s="9">
        <f>I49-W49-X49-AN49</f>
        <v>0</v>
      </c>
      <c r="AQ49" t="s">
        <v>1324</v>
      </c>
    </row>
    <row r="50" spans="1:43" x14ac:dyDescent="0.3">
      <c r="A50" s="11">
        <f t="shared" si="1"/>
        <v>48</v>
      </c>
      <c r="B50" s="5" t="s">
        <v>1675</v>
      </c>
      <c r="C50" t="s">
        <v>893</v>
      </c>
      <c r="D50" s="24" t="s">
        <v>48</v>
      </c>
      <c r="E50" s="24" t="str">
        <f>IFERROR(VLOOKUP(D50,Dropdown!A:B,2,0),D50)</f>
        <v>CVPL</v>
      </c>
      <c r="F50" s="6">
        <v>45759</v>
      </c>
      <c r="G50" s="6" t="str">
        <f>TEXT(F50, "MMM-YY")</f>
        <v>Apr-25</v>
      </c>
      <c r="H50" t="s">
        <v>90</v>
      </c>
      <c r="I50" s="25">
        <v>118</v>
      </c>
      <c r="J50" s="4">
        <v>3000</v>
      </c>
      <c r="K50" t="s">
        <v>917</v>
      </c>
      <c r="L50" s="4" t="str">
        <f>VLOOKUP(K50, 'Items Master'!A:E,5,0)</f>
        <v>RIL</v>
      </c>
      <c r="M50" s="4" t="str">
        <f>VLOOKUP(K50, 'Items Master'!A:D,4,0)</f>
        <v>LDPE</v>
      </c>
      <c r="N50" s="4" t="s">
        <v>24</v>
      </c>
      <c r="Q50" s="6">
        <v>45759</v>
      </c>
      <c r="R50" s="6" t="str">
        <f>TEXT(Q50, "MMM-YY")</f>
        <v>Apr-25</v>
      </c>
      <c r="W50" s="25">
        <v>118</v>
      </c>
      <c r="Y50"/>
      <c r="Z50"/>
      <c r="AB50"/>
      <c r="AC50"/>
      <c r="AD50"/>
      <c r="AE50"/>
      <c r="AF50"/>
      <c r="AG50"/>
      <c r="AH50"/>
      <c r="AI50"/>
      <c r="AJ50"/>
      <c r="AK50"/>
      <c r="AL50"/>
      <c r="AM50"/>
      <c r="AN50" s="9">
        <f t="shared" si="0"/>
        <v>0</v>
      </c>
      <c r="AO50" s="8"/>
      <c r="AP50" s="9">
        <f>I50-W50-X50-AN50</f>
        <v>0</v>
      </c>
      <c r="AQ50" t="s">
        <v>1316</v>
      </c>
    </row>
    <row r="51" spans="1:43" x14ac:dyDescent="0.3">
      <c r="A51" s="11">
        <f t="shared" si="1"/>
        <v>49</v>
      </c>
      <c r="B51" s="5" t="s">
        <v>1675</v>
      </c>
      <c r="C51" t="s">
        <v>893</v>
      </c>
      <c r="D51" s="24" t="s">
        <v>48</v>
      </c>
      <c r="E51" s="24" t="str">
        <f>IFERROR(VLOOKUP(D51,Dropdown!A:B,2,0),D51)</f>
        <v>CVPL</v>
      </c>
      <c r="F51" s="6">
        <v>45759</v>
      </c>
      <c r="G51" s="6" t="str">
        <f>TEXT(F51, "MMM-YY")</f>
        <v>Apr-25</v>
      </c>
      <c r="H51" t="s">
        <v>91</v>
      </c>
      <c r="I51" s="25">
        <v>127.25</v>
      </c>
      <c r="J51" s="4">
        <v>500</v>
      </c>
      <c r="K51" t="s">
        <v>918</v>
      </c>
      <c r="L51" s="4" t="str">
        <f>VLOOKUP(K51, 'Items Master'!A:E,5,0)</f>
        <v>RIL</v>
      </c>
      <c r="M51" s="4" t="str">
        <f>VLOOKUP(K51, 'Items Master'!A:D,4,0)</f>
        <v>LDPE</v>
      </c>
      <c r="N51" s="4" t="s">
        <v>24</v>
      </c>
      <c r="Q51" s="6">
        <v>45759</v>
      </c>
      <c r="R51" s="6" t="str">
        <f>TEXT(Q51, "MMM-YY")</f>
        <v>Apr-25</v>
      </c>
      <c r="W51" s="25">
        <v>127.25</v>
      </c>
      <c r="Y51"/>
      <c r="Z51"/>
      <c r="AB51"/>
      <c r="AC51"/>
      <c r="AD51"/>
      <c r="AE51"/>
      <c r="AF51"/>
      <c r="AG51"/>
      <c r="AH51"/>
      <c r="AI51"/>
      <c r="AJ51"/>
      <c r="AK51"/>
      <c r="AL51"/>
      <c r="AM51"/>
      <c r="AN51" s="9">
        <f t="shared" si="0"/>
        <v>0</v>
      </c>
      <c r="AO51" s="8"/>
      <c r="AP51" s="9">
        <f>I51-W51-X51-AN51</f>
        <v>0</v>
      </c>
      <c r="AQ51" t="s">
        <v>1316</v>
      </c>
    </row>
    <row r="52" spans="1:43" x14ac:dyDescent="0.3">
      <c r="A52" s="11">
        <f t="shared" si="1"/>
        <v>50</v>
      </c>
      <c r="B52" s="5" t="s">
        <v>1675</v>
      </c>
      <c r="C52" t="s">
        <v>894</v>
      </c>
      <c r="D52" s="24" t="s">
        <v>832</v>
      </c>
      <c r="E52" s="24" t="str">
        <f>IFERROR(VLOOKUP(D52,Dropdown!A:B,2,0),D52)</f>
        <v>AMBIKA PETROCHEM PRIVATE LIMITED</v>
      </c>
      <c r="F52" s="6">
        <v>45759</v>
      </c>
      <c r="G52" s="6" t="str">
        <f>TEXT(F52, "MMM-YY")</f>
        <v>Apr-25</v>
      </c>
      <c r="H52" t="s">
        <v>92</v>
      </c>
      <c r="I52" s="25">
        <v>91.75</v>
      </c>
      <c r="J52" s="4">
        <v>25000</v>
      </c>
      <c r="K52" t="s">
        <v>907</v>
      </c>
      <c r="L52" s="4" t="str">
        <f>VLOOKUP(K52, 'Items Master'!A:E,5,0)</f>
        <v>MARLEX</v>
      </c>
      <c r="M52" s="4" t="str">
        <f>VLOOKUP(K52, 'Items Master'!A:D,4,0)</f>
        <v>HDPE</v>
      </c>
      <c r="N52" s="4" t="s">
        <v>24</v>
      </c>
      <c r="Q52" s="6">
        <v>45759</v>
      </c>
      <c r="R52" s="6" t="str">
        <f>TEXT(Q52, "MMM-YY")</f>
        <v>Apr-25</v>
      </c>
      <c r="W52" s="25">
        <v>91.75</v>
      </c>
      <c r="Y52"/>
      <c r="Z52"/>
      <c r="AB52"/>
      <c r="AC52"/>
      <c r="AD52"/>
      <c r="AE52"/>
      <c r="AF52"/>
      <c r="AG52"/>
      <c r="AH52"/>
      <c r="AI52"/>
      <c r="AJ52"/>
      <c r="AK52"/>
      <c r="AL52"/>
      <c r="AM52"/>
      <c r="AN52" s="9">
        <f t="shared" si="0"/>
        <v>0</v>
      </c>
      <c r="AO52" s="8"/>
      <c r="AP52" s="9">
        <f>I52-W52-X52-AN52</f>
        <v>0</v>
      </c>
      <c r="AQ52" t="s">
        <v>1316</v>
      </c>
    </row>
    <row r="53" spans="1:43" x14ac:dyDescent="0.3">
      <c r="A53" s="11">
        <f t="shared" si="1"/>
        <v>51</v>
      </c>
      <c r="B53" s="5" t="s">
        <v>1675</v>
      </c>
      <c r="C53" t="s">
        <v>894</v>
      </c>
      <c r="D53" s="24" t="s">
        <v>841</v>
      </c>
      <c r="E53" s="24" t="str">
        <f>IFERROR(VLOOKUP(D53,Dropdown!A:B,2,0),D53)</f>
        <v>SHRINATH ROTOPACK (MP) PRIVATE LIMITED</v>
      </c>
      <c r="F53" s="6">
        <v>45759</v>
      </c>
      <c r="G53" s="6" t="str">
        <f>TEXT(F53, "MMM-YY")</f>
        <v>Apr-25</v>
      </c>
      <c r="H53" t="s">
        <v>93</v>
      </c>
      <c r="I53" s="25">
        <v>66</v>
      </c>
      <c r="J53" s="4">
        <v>12000</v>
      </c>
      <c r="K53" t="s">
        <v>919</v>
      </c>
      <c r="L53" s="4" t="str">
        <f>VLOOKUP(K53, 'Items Master'!A:E,5,0)</f>
        <v>ERDOS</v>
      </c>
      <c r="M53" s="4" t="str">
        <f>VLOOKUP(K53, 'Items Master'!A:D,4,0)</f>
        <v>PVC</v>
      </c>
      <c r="N53" s="4" t="s">
        <v>24</v>
      </c>
      <c r="Q53" s="6">
        <v>45759</v>
      </c>
      <c r="R53" s="6" t="str">
        <f>TEXT(Q53, "MMM-YY")</f>
        <v>Apr-25</v>
      </c>
      <c r="W53" s="25">
        <v>66</v>
      </c>
      <c r="Y53"/>
      <c r="Z53"/>
      <c r="AB53"/>
      <c r="AC53"/>
      <c r="AD53"/>
      <c r="AE53"/>
      <c r="AF53"/>
      <c r="AG53"/>
      <c r="AH53"/>
      <c r="AI53"/>
      <c r="AJ53"/>
      <c r="AK53"/>
      <c r="AL53"/>
      <c r="AM53"/>
      <c r="AN53" s="9">
        <f t="shared" si="0"/>
        <v>0</v>
      </c>
      <c r="AO53" s="8"/>
      <c r="AP53" s="9">
        <f>I53-W53-X53-AN53</f>
        <v>0</v>
      </c>
      <c r="AQ53" t="s">
        <v>1316</v>
      </c>
    </row>
    <row r="54" spans="1:43" x14ac:dyDescent="0.3">
      <c r="A54" s="11">
        <f t="shared" si="1"/>
        <v>52</v>
      </c>
      <c r="B54" s="5" t="s">
        <v>1675</v>
      </c>
      <c r="C54" t="s">
        <v>893</v>
      </c>
      <c r="D54" s="24" t="s">
        <v>825</v>
      </c>
      <c r="E54" s="24" t="str">
        <f>IFERROR(VLOOKUP(D54,Dropdown!A:B,2,0),D54)</f>
        <v>HARISHREE POLYMERS PRIVATE LIMITED</v>
      </c>
      <c r="F54" s="6">
        <v>45760</v>
      </c>
      <c r="G54" s="6" t="str">
        <f>TEXT(F54, "MMM-YY")</f>
        <v>Apr-25</v>
      </c>
      <c r="H54" t="s">
        <v>94</v>
      </c>
      <c r="I54" s="25">
        <v>91</v>
      </c>
      <c r="J54" s="4">
        <v>10000</v>
      </c>
      <c r="K54" t="s">
        <v>896</v>
      </c>
      <c r="L54" s="4" t="str">
        <f>VLOOKUP(K54, 'Items Master'!A:E,5,0)</f>
        <v>OPAL</v>
      </c>
      <c r="M54" s="4" t="str">
        <f>VLOOKUP(K54, 'Items Master'!A:D,4,0)</f>
        <v>HDPE</v>
      </c>
      <c r="N54" s="4" t="s">
        <v>24</v>
      </c>
      <c r="Q54" s="6">
        <v>45760</v>
      </c>
      <c r="R54" s="6" t="str">
        <f>TEXT(Q54, "MMM-YY")</f>
        <v>Apr-25</v>
      </c>
      <c r="W54" s="25">
        <v>91</v>
      </c>
      <c r="Y54"/>
      <c r="Z54"/>
      <c r="AB54"/>
      <c r="AC54"/>
      <c r="AD54"/>
      <c r="AE54"/>
      <c r="AF54"/>
      <c r="AG54"/>
      <c r="AH54"/>
      <c r="AI54"/>
      <c r="AJ54"/>
      <c r="AK54"/>
      <c r="AL54"/>
      <c r="AM54"/>
      <c r="AN54" s="9">
        <f t="shared" si="0"/>
        <v>0</v>
      </c>
      <c r="AO54" s="8"/>
      <c r="AP54" s="9">
        <f>I54-W54-X54-AN54</f>
        <v>0</v>
      </c>
      <c r="AQ54" t="s">
        <v>1316</v>
      </c>
    </row>
    <row r="55" spans="1:43" x14ac:dyDescent="0.3">
      <c r="A55" s="11">
        <f t="shared" si="1"/>
        <v>53</v>
      </c>
      <c r="B55" s="5" t="s">
        <v>1675</v>
      </c>
      <c r="C55" t="s">
        <v>893</v>
      </c>
      <c r="D55" s="24" t="s">
        <v>830</v>
      </c>
      <c r="E55" s="24" t="str">
        <f>IFERROR(VLOOKUP(D55,Dropdown!A:B,2,0),D55)</f>
        <v>BULK LIQUID SOLUTIONS PVT LTD</v>
      </c>
      <c r="F55" s="6">
        <v>45761</v>
      </c>
      <c r="G55" s="6" t="str">
        <f>TEXT(F55, "MMM-YY")</f>
        <v>Apr-25</v>
      </c>
      <c r="H55" t="s">
        <v>95</v>
      </c>
      <c r="I55" s="25">
        <v>95</v>
      </c>
      <c r="J55" s="4">
        <v>10000</v>
      </c>
      <c r="K55" t="s">
        <v>905</v>
      </c>
      <c r="L55" s="4" t="str">
        <f>VLOOKUP(K55, 'Items Master'!A:E,5,0)</f>
        <v>SINOPEC</v>
      </c>
      <c r="M55" s="4" t="str">
        <f>VLOOKUP(K55, 'Items Master'!A:D,4,0)</f>
        <v>PP</v>
      </c>
      <c r="N55" s="4" t="s">
        <v>24</v>
      </c>
      <c r="Q55" s="6">
        <v>45761</v>
      </c>
      <c r="R55" s="6" t="str">
        <f>TEXT(Q55, "MMM-YY")</f>
        <v>Apr-25</v>
      </c>
      <c r="W55" s="25">
        <v>95</v>
      </c>
      <c r="Y55"/>
      <c r="Z55"/>
      <c r="AB55"/>
      <c r="AC55"/>
      <c r="AD55"/>
      <c r="AE55"/>
      <c r="AF55"/>
      <c r="AG55"/>
      <c r="AH55"/>
      <c r="AI55"/>
      <c r="AJ55"/>
      <c r="AK55"/>
      <c r="AL55"/>
      <c r="AM55"/>
      <c r="AN55" s="9">
        <f t="shared" si="0"/>
        <v>0</v>
      </c>
      <c r="AO55" s="8"/>
      <c r="AP55" s="9">
        <f>I55-W55-X55-AN55</f>
        <v>0</v>
      </c>
      <c r="AQ55" t="s">
        <v>1316</v>
      </c>
    </row>
    <row r="56" spans="1:43" x14ac:dyDescent="0.3">
      <c r="A56" s="11">
        <f t="shared" si="1"/>
        <v>54</v>
      </c>
      <c r="B56" s="5" t="s">
        <v>1675</v>
      </c>
      <c r="C56" t="s">
        <v>893</v>
      </c>
      <c r="D56" s="24" t="s">
        <v>824</v>
      </c>
      <c r="E56" s="24" t="str">
        <f>IFERROR(VLOOKUP(D56,Dropdown!A:B,2,0),D56)</f>
        <v>Paragon</v>
      </c>
      <c r="F56" s="6">
        <v>45761</v>
      </c>
      <c r="G56" s="6" t="str">
        <f>TEXT(F56, "MMM-YY")</f>
        <v>Apr-25</v>
      </c>
      <c r="H56" t="s">
        <v>96</v>
      </c>
      <c r="I56" s="25">
        <v>122</v>
      </c>
      <c r="J56" s="4">
        <v>5000</v>
      </c>
      <c r="K56" t="s">
        <v>920</v>
      </c>
      <c r="L56" s="4" t="str">
        <f>VLOOKUP(K56, 'Items Master'!A:E,5,0)</f>
        <v>RIL</v>
      </c>
      <c r="M56" s="4" t="str">
        <f>VLOOKUP(K56, 'Items Master'!A:D,4,0)</f>
        <v>LDPE</v>
      </c>
      <c r="N56" s="4" t="s">
        <v>24</v>
      </c>
      <c r="Q56" s="6">
        <v>45761</v>
      </c>
      <c r="R56" s="6" t="str">
        <f>TEXT(Q56, "MMM-YY")</f>
        <v>Apr-25</v>
      </c>
      <c r="W56" s="25">
        <v>122</v>
      </c>
      <c r="Y56"/>
      <c r="Z56"/>
      <c r="AB56"/>
      <c r="AC56"/>
      <c r="AD56"/>
      <c r="AE56"/>
      <c r="AF56"/>
      <c r="AG56"/>
      <c r="AH56"/>
      <c r="AI56"/>
      <c r="AJ56"/>
      <c r="AK56"/>
      <c r="AL56"/>
      <c r="AM56"/>
      <c r="AN56" s="9">
        <f t="shared" si="0"/>
        <v>0</v>
      </c>
      <c r="AO56" s="8"/>
      <c r="AP56" s="9">
        <f>I56-W56-X56-AN56</f>
        <v>0</v>
      </c>
      <c r="AQ56" t="s">
        <v>1316</v>
      </c>
    </row>
    <row r="57" spans="1:43" x14ac:dyDescent="0.3">
      <c r="A57" s="11">
        <f t="shared" si="1"/>
        <v>55</v>
      </c>
      <c r="B57" s="5" t="s">
        <v>1675</v>
      </c>
      <c r="C57" t="s">
        <v>893</v>
      </c>
      <c r="D57" s="24" t="s">
        <v>825</v>
      </c>
      <c r="E57" s="24" t="str">
        <f>IFERROR(VLOOKUP(D57,Dropdown!A:B,2,0),D57)</f>
        <v>HARISHREE POLYMERS PRIVATE LIMITED</v>
      </c>
      <c r="F57" s="6">
        <v>45761</v>
      </c>
      <c r="G57" s="6" t="str">
        <f>TEXT(F57, "MMM-YY")</f>
        <v>Apr-25</v>
      </c>
      <c r="H57" t="s">
        <v>97</v>
      </c>
      <c r="I57" s="25">
        <v>91.5</v>
      </c>
      <c r="J57" s="4">
        <v>5000</v>
      </c>
      <c r="K57" t="s">
        <v>896</v>
      </c>
      <c r="L57" s="4" t="str">
        <f>VLOOKUP(K57, 'Items Master'!A:E,5,0)</f>
        <v>OPAL</v>
      </c>
      <c r="M57" s="4" t="str">
        <f>VLOOKUP(K57, 'Items Master'!A:D,4,0)</f>
        <v>HDPE</v>
      </c>
      <c r="N57" s="4" t="s">
        <v>24</v>
      </c>
      <c r="Q57" s="6">
        <v>45761</v>
      </c>
      <c r="R57" s="6" t="str">
        <f>TEXT(Q57, "MMM-YY")</f>
        <v>Apr-25</v>
      </c>
      <c r="W57" s="25">
        <v>91.5</v>
      </c>
      <c r="Y57"/>
      <c r="Z57"/>
      <c r="AB57"/>
      <c r="AC57"/>
      <c r="AD57"/>
      <c r="AE57"/>
      <c r="AF57"/>
      <c r="AG57"/>
      <c r="AH57"/>
      <c r="AI57"/>
      <c r="AJ57"/>
      <c r="AK57"/>
      <c r="AL57"/>
      <c r="AM57"/>
      <c r="AN57" s="9">
        <f t="shared" si="0"/>
        <v>0</v>
      </c>
      <c r="AO57" s="8"/>
      <c r="AP57" s="9">
        <f>I57-W57-X57-AN57</f>
        <v>0</v>
      </c>
      <c r="AQ57" t="s">
        <v>1316</v>
      </c>
    </row>
    <row r="58" spans="1:43" x14ac:dyDescent="0.3">
      <c r="A58" s="11">
        <f t="shared" si="1"/>
        <v>56</v>
      </c>
      <c r="B58" s="5" t="s">
        <v>1675</v>
      </c>
      <c r="C58" t="s">
        <v>893</v>
      </c>
      <c r="D58" s="24" t="s">
        <v>825</v>
      </c>
      <c r="E58" s="24" t="str">
        <f>IFERROR(VLOOKUP(D58,Dropdown!A:B,2,0),D58)</f>
        <v>HARISHREE POLYMERS PRIVATE LIMITED</v>
      </c>
      <c r="F58" s="6">
        <v>45761</v>
      </c>
      <c r="G58" s="6" t="str">
        <f>TEXT(F58, "MMM-YY")</f>
        <v>Apr-25</v>
      </c>
      <c r="H58" t="s">
        <v>97</v>
      </c>
      <c r="I58" s="25">
        <v>93.5</v>
      </c>
      <c r="J58" s="4">
        <v>5000</v>
      </c>
      <c r="K58" t="s">
        <v>921</v>
      </c>
      <c r="L58" s="4" t="str">
        <f>VLOOKUP(K58, 'Items Master'!A:E,5,0)</f>
        <v>OPAL</v>
      </c>
      <c r="M58" s="4" t="str">
        <f>VLOOKUP(K58, 'Items Master'!A:D,4,0)</f>
        <v>HDPE</v>
      </c>
      <c r="N58" s="4" t="s">
        <v>24</v>
      </c>
      <c r="Q58" s="6">
        <v>45761</v>
      </c>
      <c r="R58" s="6" t="str">
        <f>TEXT(Q58, "MMM-YY")</f>
        <v>Apr-25</v>
      </c>
      <c r="W58" s="25">
        <v>93.5</v>
      </c>
      <c r="Y58"/>
      <c r="Z58"/>
      <c r="AB58"/>
      <c r="AC58"/>
      <c r="AD58"/>
      <c r="AE58"/>
      <c r="AF58"/>
      <c r="AG58"/>
      <c r="AH58"/>
      <c r="AI58"/>
      <c r="AJ58"/>
      <c r="AK58"/>
      <c r="AL58"/>
      <c r="AM58"/>
      <c r="AN58" s="9">
        <f t="shared" si="0"/>
        <v>0</v>
      </c>
      <c r="AO58" s="8"/>
      <c r="AP58" s="9">
        <f>I58-W58-X58-AN58</f>
        <v>0</v>
      </c>
      <c r="AQ58" t="s">
        <v>1316</v>
      </c>
    </row>
    <row r="59" spans="1:43" x14ac:dyDescent="0.3">
      <c r="A59" s="11">
        <f t="shared" si="1"/>
        <v>57</v>
      </c>
      <c r="B59" s="5" t="s">
        <v>1675</v>
      </c>
      <c r="C59" t="s">
        <v>893</v>
      </c>
      <c r="D59" s="24" t="s">
        <v>824</v>
      </c>
      <c r="E59" s="24" t="str">
        <f>IFERROR(VLOOKUP(D59,Dropdown!A:B,2,0),D59)</f>
        <v>Paragon</v>
      </c>
      <c r="F59" s="6">
        <v>45761</v>
      </c>
      <c r="G59" s="6" t="str">
        <f>TEXT(F59, "MMM-YY")</f>
        <v>Apr-25</v>
      </c>
      <c r="H59" t="s">
        <v>98</v>
      </c>
      <c r="I59" s="25">
        <v>100.9</v>
      </c>
      <c r="J59" s="4">
        <v>3000</v>
      </c>
      <c r="K59" t="s">
        <v>922</v>
      </c>
      <c r="L59" s="4" t="str">
        <f>VLOOKUP(K59, 'Items Master'!A:E,5,0)</f>
        <v>RIL</v>
      </c>
      <c r="M59" s="4" t="str">
        <f>VLOOKUP(K59, 'Items Master'!A:D,4,0)</f>
        <v>LLDPE</v>
      </c>
      <c r="N59" s="4" t="s">
        <v>49</v>
      </c>
      <c r="Q59" s="6">
        <v>45761</v>
      </c>
      <c r="R59" s="6" t="str">
        <f>TEXT(Q59, "MMM-YY")</f>
        <v>Apr-25</v>
      </c>
      <c r="X59" s="25">
        <v>100.88</v>
      </c>
      <c r="AB59"/>
      <c r="AC59"/>
      <c r="AD59"/>
      <c r="AE59"/>
      <c r="AF59"/>
      <c r="AG59"/>
      <c r="AH59"/>
      <c r="AI59"/>
      <c r="AJ59"/>
      <c r="AK59"/>
      <c r="AL59"/>
      <c r="AM59"/>
      <c r="AN59" s="9">
        <f t="shared" si="0"/>
        <v>0</v>
      </c>
      <c r="AO59" s="8"/>
      <c r="AP59" s="9">
        <f>I59-W59-X59-AN59</f>
        <v>2.0000000000010232E-2</v>
      </c>
      <c r="AQ59" t="s">
        <v>1324</v>
      </c>
    </row>
    <row r="60" spans="1:43" x14ac:dyDescent="0.3">
      <c r="A60" s="11">
        <f t="shared" si="1"/>
        <v>58</v>
      </c>
      <c r="B60" s="5" t="s">
        <v>1675</v>
      </c>
      <c r="C60" t="s">
        <v>893</v>
      </c>
      <c r="D60" s="24" t="s">
        <v>837</v>
      </c>
      <c r="E60" s="24" t="str">
        <f>IFERROR(VLOOKUP(D60,Dropdown!A:B,2,0),D60)</f>
        <v>SYNTHETIC PACKERS LIMITED</v>
      </c>
      <c r="F60" s="6">
        <v>45761</v>
      </c>
      <c r="G60" s="6" t="str">
        <f>TEXT(F60, "MMM-YY")</f>
        <v>Apr-25</v>
      </c>
      <c r="H60" t="s">
        <v>99</v>
      </c>
      <c r="I60" s="25">
        <v>111.5</v>
      </c>
      <c r="J60" s="4">
        <v>6000</v>
      </c>
      <c r="K60" t="s">
        <v>923</v>
      </c>
      <c r="L60" s="4" t="str">
        <f>VLOOKUP(K60, 'Items Master'!A:E,5,0)</f>
        <v>EXXON</v>
      </c>
      <c r="M60" s="4" t="str">
        <f>VLOOKUP(K60, 'Items Master'!A:D,4,0)</f>
        <v>Metallocene</v>
      </c>
      <c r="N60" s="4" t="s">
        <v>24</v>
      </c>
      <c r="Q60" s="6">
        <v>45761</v>
      </c>
      <c r="R60" s="6" t="str">
        <f>TEXT(Q60, "MMM-YY")</f>
        <v>Apr-25</v>
      </c>
      <c r="W60" s="25">
        <v>111.5</v>
      </c>
      <c r="Y60"/>
      <c r="Z60"/>
      <c r="AB60"/>
      <c r="AC60"/>
      <c r="AD60"/>
      <c r="AE60"/>
      <c r="AF60"/>
      <c r="AG60"/>
      <c r="AH60"/>
      <c r="AI60"/>
      <c r="AJ60"/>
      <c r="AK60"/>
      <c r="AL60"/>
      <c r="AM60"/>
      <c r="AN60" s="9">
        <f t="shared" si="0"/>
        <v>0</v>
      </c>
      <c r="AO60" s="8"/>
      <c r="AP60" s="9">
        <f>I60-W60-X60-AN60</f>
        <v>0</v>
      </c>
      <c r="AQ60" t="s">
        <v>1316</v>
      </c>
    </row>
    <row r="61" spans="1:43" x14ac:dyDescent="0.3">
      <c r="A61" s="11">
        <f t="shared" si="1"/>
        <v>59</v>
      </c>
      <c r="B61" s="5" t="s">
        <v>1675</v>
      </c>
      <c r="C61" t="s">
        <v>893</v>
      </c>
      <c r="D61" s="24" t="s">
        <v>842</v>
      </c>
      <c r="E61" s="24" t="str">
        <f>IFERROR(VLOOKUP(D61,Dropdown!A:B,2,0),D61)</f>
        <v>VISHAL POLYCHEM</v>
      </c>
      <c r="F61" s="6">
        <v>45762</v>
      </c>
      <c r="G61" s="6" t="str">
        <f>TEXT(F61, "MMM-YY")</f>
        <v>Apr-25</v>
      </c>
      <c r="H61" t="s">
        <v>100</v>
      </c>
      <c r="I61" s="25">
        <v>78.8</v>
      </c>
      <c r="J61" s="4">
        <v>14000</v>
      </c>
      <c r="K61" t="s">
        <v>924</v>
      </c>
      <c r="L61" s="4" t="str">
        <f>VLOOKUP(K61, 'Items Master'!A:E,5,0)</f>
        <v>LG</v>
      </c>
      <c r="M61" s="4" t="str">
        <f>VLOOKUP(K61, 'Items Master'!A:D,4,0)</f>
        <v>PVC</v>
      </c>
      <c r="N61" s="4" t="s">
        <v>24</v>
      </c>
      <c r="Q61" s="6">
        <v>45762</v>
      </c>
      <c r="R61" s="6" t="str">
        <f>TEXT(Q61, "MMM-YY")</f>
        <v>Apr-25</v>
      </c>
      <c r="W61" s="25">
        <v>78.8</v>
      </c>
      <c r="Y61"/>
      <c r="Z61"/>
      <c r="AB61"/>
      <c r="AC61"/>
      <c r="AD61"/>
      <c r="AE61"/>
      <c r="AF61"/>
      <c r="AG61"/>
      <c r="AH61"/>
      <c r="AI61"/>
      <c r="AJ61"/>
      <c r="AK61"/>
      <c r="AL61"/>
      <c r="AM61"/>
      <c r="AN61" s="9">
        <f t="shared" si="0"/>
        <v>0</v>
      </c>
      <c r="AO61" s="8"/>
      <c r="AP61" s="9">
        <f>I61-W61-X61-AN61</f>
        <v>0</v>
      </c>
      <c r="AQ61" t="s">
        <v>1316</v>
      </c>
    </row>
    <row r="62" spans="1:43" x14ac:dyDescent="0.3">
      <c r="A62" s="11">
        <f t="shared" si="1"/>
        <v>60</v>
      </c>
      <c r="B62" s="5" t="s">
        <v>1675</v>
      </c>
      <c r="C62" t="s">
        <v>893</v>
      </c>
      <c r="D62" s="24" t="s">
        <v>48</v>
      </c>
      <c r="E62" s="24" t="str">
        <f>IFERROR(VLOOKUP(D62,Dropdown!A:B,2,0),D62)</f>
        <v>CVPL</v>
      </c>
      <c r="F62" s="6">
        <v>45762</v>
      </c>
      <c r="G62" s="6" t="str">
        <f>TEXT(F62, "MMM-YY")</f>
        <v>Apr-25</v>
      </c>
      <c r="H62" t="s">
        <v>101</v>
      </c>
      <c r="I62" s="25">
        <v>102</v>
      </c>
      <c r="J62" s="4">
        <v>1750</v>
      </c>
      <c r="K62" t="s">
        <v>901</v>
      </c>
      <c r="L62" s="4" t="str">
        <f>VLOOKUP(K62, 'Items Master'!A:E,5,0)</f>
        <v>MRPL</v>
      </c>
      <c r="M62" s="4" t="str">
        <f>VLOOKUP(K62, 'Items Master'!A:D,4,0)</f>
        <v>PP</v>
      </c>
      <c r="N62" s="4" t="s">
        <v>49</v>
      </c>
      <c r="O62" t="s">
        <v>1294</v>
      </c>
      <c r="Q62" s="6">
        <v>45762</v>
      </c>
      <c r="R62" s="6" t="str">
        <f>TEXT(Q62, "MMM-YY")</f>
        <v>Apr-25</v>
      </c>
      <c r="X62" s="25">
        <v>102.04600000000001</v>
      </c>
      <c r="AB62"/>
      <c r="AC62"/>
      <c r="AD62"/>
      <c r="AE62"/>
      <c r="AF62"/>
      <c r="AG62"/>
      <c r="AH62"/>
      <c r="AI62"/>
      <c r="AJ62"/>
      <c r="AK62"/>
      <c r="AL62"/>
      <c r="AM62"/>
      <c r="AN62" s="9">
        <f t="shared" si="0"/>
        <v>0</v>
      </c>
      <c r="AO62" s="8"/>
      <c r="AP62" s="9">
        <f>I62-W62-X62-AN62</f>
        <v>-4.600000000000648E-2</v>
      </c>
      <c r="AQ62" t="s">
        <v>1324</v>
      </c>
    </row>
    <row r="63" spans="1:43" x14ac:dyDescent="0.3">
      <c r="A63" s="11">
        <f t="shared" si="1"/>
        <v>61</v>
      </c>
      <c r="B63" s="5" t="s">
        <v>1675</v>
      </c>
      <c r="C63" t="s">
        <v>893</v>
      </c>
      <c r="D63" s="24" t="s">
        <v>828</v>
      </c>
      <c r="E63" s="24" t="str">
        <f>IFERROR(VLOOKUP(D63,Dropdown!A:B,2,0),D63)</f>
        <v>SHUBHAM INTERNATIONAL PRIVATE LIMITED</v>
      </c>
      <c r="F63" s="6">
        <v>45762</v>
      </c>
      <c r="G63" s="6" t="str">
        <f>TEXT(F63, "MMM-YY")</f>
        <v>Apr-25</v>
      </c>
      <c r="H63" t="s">
        <v>102</v>
      </c>
      <c r="I63" s="25">
        <v>105.78</v>
      </c>
      <c r="J63" s="4">
        <v>3000</v>
      </c>
      <c r="K63" t="s">
        <v>925</v>
      </c>
      <c r="L63" s="4" t="str">
        <f>VLOOKUP(K63, 'Items Master'!A:E,5,0)</f>
        <v>RIL</v>
      </c>
      <c r="M63" s="4" t="str">
        <f>VLOOKUP(K63, 'Items Master'!A:D,4,0)</f>
        <v>PP ICP</v>
      </c>
      <c r="N63" s="4" t="s">
        <v>24</v>
      </c>
      <c r="Q63" s="6">
        <v>45762</v>
      </c>
      <c r="R63" s="6" t="str">
        <f>TEXT(Q63, "MMM-YY")</f>
        <v>Apr-25</v>
      </c>
      <c r="W63" s="25">
        <v>105.78</v>
      </c>
      <c r="AB63"/>
      <c r="AC63"/>
      <c r="AD63"/>
      <c r="AE63"/>
      <c r="AF63"/>
      <c r="AG63"/>
      <c r="AH63"/>
      <c r="AI63"/>
      <c r="AJ63"/>
      <c r="AK63"/>
      <c r="AL63"/>
      <c r="AM63"/>
      <c r="AN63" s="9">
        <f t="shared" si="0"/>
        <v>0</v>
      </c>
      <c r="AO63" s="8"/>
      <c r="AP63" s="9">
        <f>I63-W63-X63-AN63</f>
        <v>0</v>
      </c>
      <c r="AQ63" t="s">
        <v>1316</v>
      </c>
    </row>
    <row r="64" spans="1:43" x14ac:dyDescent="0.3">
      <c r="A64" s="11">
        <f t="shared" si="1"/>
        <v>62</v>
      </c>
      <c r="B64" s="5" t="s">
        <v>1675</v>
      </c>
      <c r="C64" t="s">
        <v>893</v>
      </c>
      <c r="D64" s="24" t="s">
        <v>843</v>
      </c>
      <c r="E64" s="24" t="str">
        <f>IFERROR(VLOOKUP(D64,Dropdown!A:B,2,0),D64)</f>
        <v>SIGMA CHEMTRADE PRIVATE LIMITED</v>
      </c>
      <c r="F64" s="6">
        <v>45762</v>
      </c>
      <c r="G64" s="6" t="str">
        <f>TEXT(F64, "MMM-YY")</f>
        <v>Apr-25</v>
      </c>
      <c r="H64" t="s">
        <v>103</v>
      </c>
      <c r="I64" s="25">
        <v>101</v>
      </c>
      <c r="J64" s="4">
        <v>15000</v>
      </c>
      <c r="K64" t="s">
        <v>904</v>
      </c>
      <c r="L64" s="4" t="str">
        <f>VLOOKUP(K64, 'Items Master'!A:E,5,0)</f>
        <v>BOROUGE</v>
      </c>
      <c r="M64" s="4" t="str">
        <f>VLOOKUP(K64, 'Items Master'!A:D,4,0)</f>
        <v>PP RCP</v>
      </c>
      <c r="N64" s="4" t="s">
        <v>24</v>
      </c>
      <c r="Q64" s="6">
        <v>45762</v>
      </c>
      <c r="R64" s="6" t="str">
        <f>TEXT(Q64, "MMM-YY")</f>
        <v>Apr-25</v>
      </c>
      <c r="W64" s="25">
        <v>101</v>
      </c>
      <c r="Y64"/>
      <c r="Z64"/>
      <c r="AB64"/>
      <c r="AC64"/>
      <c r="AD64"/>
      <c r="AE64"/>
      <c r="AF64"/>
      <c r="AG64"/>
      <c r="AH64"/>
      <c r="AI64"/>
      <c r="AJ64"/>
      <c r="AK64"/>
      <c r="AL64"/>
      <c r="AM64"/>
      <c r="AN64" s="9">
        <f t="shared" si="0"/>
        <v>0</v>
      </c>
      <c r="AO64" s="8"/>
      <c r="AP64" s="9">
        <f>I64-W64-X64-AN64</f>
        <v>0</v>
      </c>
      <c r="AQ64" t="s">
        <v>1316</v>
      </c>
    </row>
    <row r="65" spans="1:43" x14ac:dyDescent="0.3">
      <c r="A65" s="11">
        <f t="shared" si="1"/>
        <v>63</v>
      </c>
      <c r="B65" s="5" t="s">
        <v>1675</v>
      </c>
      <c r="C65" t="s">
        <v>893</v>
      </c>
      <c r="D65" s="24" t="s">
        <v>839</v>
      </c>
      <c r="E65" s="24" t="str">
        <f>IFERROR(VLOOKUP(D65,Dropdown!A:B,2,0),D65)</f>
        <v>Prestine</v>
      </c>
      <c r="F65" s="6">
        <v>45762</v>
      </c>
      <c r="G65" s="6" t="str">
        <f>TEXT(F65, "MMM-YY")</f>
        <v>Apr-25</v>
      </c>
      <c r="H65" t="s">
        <v>104</v>
      </c>
      <c r="I65" s="25">
        <v>101.74</v>
      </c>
      <c r="J65" s="4">
        <v>10000</v>
      </c>
      <c r="K65" t="s">
        <v>910</v>
      </c>
      <c r="L65" s="4" t="str">
        <f>VLOOKUP(K65, 'Items Master'!A:E,5,0)</f>
        <v>RIL</v>
      </c>
      <c r="M65" s="4" t="str">
        <f>VLOOKUP(K65, 'Items Master'!A:D,4,0)</f>
        <v>PP</v>
      </c>
      <c r="N65" s="4" t="s">
        <v>24</v>
      </c>
      <c r="Q65" s="6">
        <v>45762</v>
      </c>
      <c r="R65" s="6" t="str">
        <f>TEXT(Q65, "MMM-YY")</f>
        <v>Apr-25</v>
      </c>
      <c r="W65" s="25">
        <v>101.74</v>
      </c>
      <c r="Y65"/>
      <c r="Z65"/>
      <c r="AB65"/>
      <c r="AC65"/>
      <c r="AD65"/>
      <c r="AE65"/>
      <c r="AF65"/>
      <c r="AG65"/>
      <c r="AH65"/>
      <c r="AI65"/>
      <c r="AJ65"/>
      <c r="AK65"/>
      <c r="AL65"/>
      <c r="AM65"/>
      <c r="AN65" s="9">
        <f t="shared" si="0"/>
        <v>0</v>
      </c>
      <c r="AO65" s="8"/>
      <c r="AP65" s="9">
        <f>I65-W65-X65-AN65</f>
        <v>0</v>
      </c>
      <c r="AQ65" t="s">
        <v>1316</v>
      </c>
    </row>
    <row r="66" spans="1:43" x14ac:dyDescent="0.3">
      <c r="A66" s="11">
        <f t="shared" si="1"/>
        <v>64</v>
      </c>
      <c r="B66" s="5" t="s">
        <v>1675</v>
      </c>
      <c r="C66" t="s">
        <v>893</v>
      </c>
      <c r="D66" s="24" t="s">
        <v>48</v>
      </c>
      <c r="E66" s="24" t="str">
        <f>IFERROR(VLOOKUP(D66,Dropdown!A:B,2,0),D66)</f>
        <v>CVPL</v>
      </c>
      <c r="F66" s="6">
        <v>45762</v>
      </c>
      <c r="G66" s="6" t="str">
        <f>TEXT(F66, "MMM-YY")</f>
        <v>Apr-25</v>
      </c>
      <c r="H66" t="s">
        <v>105</v>
      </c>
      <c r="I66" s="25">
        <v>94.25</v>
      </c>
      <c r="J66" s="4">
        <v>2000</v>
      </c>
      <c r="K66" t="s">
        <v>926</v>
      </c>
      <c r="L66" s="4" t="str">
        <f>VLOOKUP(K66, 'Items Master'!A:E,5,0)</f>
        <v>GAIL</v>
      </c>
      <c r="M66" s="4" t="str">
        <f>VLOOKUP(K66, 'Items Master'!A:D,4,0)</f>
        <v>HDPE</v>
      </c>
      <c r="N66" s="4" t="s">
        <v>24</v>
      </c>
      <c r="Q66" s="6">
        <v>45762</v>
      </c>
      <c r="R66" s="6" t="str">
        <f>TEXT(Q66, "MMM-YY")</f>
        <v>Apr-25</v>
      </c>
      <c r="W66" s="25">
        <v>94.25</v>
      </c>
      <c r="Y66"/>
      <c r="Z66"/>
      <c r="AB66"/>
      <c r="AC66"/>
      <c r="AD66"/>
      <c r="AE66"/>
      <c r="AF66"/>
      <c r="AG66"/>
      <c r="AH66"/>
      <c r="AI66"/>
      <c r="AJ66"/>
      <c r="AK66"/>
      <c r="AL66"/>
      <c r="AM66"/>
      <c r="AN66" s="9">
        <f t="shared" si="0"/>
        <v>0</v>
      </c>
      <c r="AO66" s="8"/>
      <c r="AP66" s="9">
        <f>I66-W66-X66-AN66</f>
        <v>0</v>
      </c>
      <c r="AQ66" t="s">
        <v>1316</v>
      </c>
    </row>
    <row r="67" spans="1:43" x14ac:dyDescent="0.3">
      <c r="A67" s="11">
        <f t="shared" si="1"/>
        <v>65</v>
      </c>
      <c r="B67" s="5" t="s">
        <v>1675</v>
      </c>
      <c r="C67" t="s">
        <v>893</v>
      </c>
      <c r="D67" s="24" t="s">
        <v>824</v>
      </c>
      <c r="E67" s="24" t="str">
        <f>IFERROR(VLOOKUP(D67,Dropdown!A:B,2,0),D67)</f>
        <v>Paragon</v>
      </c>
      <c r="F67" s="6">
        <v>45762</v>
      </c>
      <c r="G67" s="6" t="str">
        <f>TEXT(F67, "MMM-YY")</f>
        <v>Apr-25</v>
      </c>
      <c r="H67" t="s">
        <v>106</v>
      </c>
      <c r="I67" s="25">
        <v>97.98</v>
      </c>
      <c r="J67" s="4">
        <v>10175</v>
      </c>
      <c r="K67" t="s">
        <v>927</v>
      </c>
      <c r="L67" s="4" t="str">
        <f>VLOOKUP(K67, 'Items Master'!A:E,5,0)</f>
        <v>RIL</v>
      </c>
      <c r="M67" s="4" t="str">
        <f>VLOOKUP(K67, 'Items Master'!A:D,4,0)</f>
        <v>HDPE</v>
      </c>
      <c r="N67" s="4" t="s">
        <v>49</v>
      </c>
      <c r="Q67" s="6">
        <v>45762</v>
      </c>
      <c r="R67" s="6" t="str">
        <f>TEXT(Q67, "MMM-YY")</f>
        <v>Apr-25</v>
      </c>
      <c r="X67" s="25">
        <v>97.98</v>
      </c>
      <c r="AB67"/>
      <c r="AC67"/>
      <c r="AD67"/>
      <c r="AE67"/>
      <c r="AF67"/>
      <c r="AG67"/>
      <c r="AH67"/>
      <c r="AI67"/>
      <c r="AJ67"/>
      <c r="AK67"/>
      <c r="AL67"/>
      <c r="AM67"/>
      <c r="AN67" s="9">
        <f t="shared" si="0"/>
        <v>0</v>
      </c>
      <c r="AO67" s="8"/>
      <c r="AP67" s="9">
        <f>I67-W67-X67-AN67</f>
        <v>0</v>
      </c>
      <c r="AQ67" t="s">
        <v>1324</v>
      </c>
    </row>
    <row r="68" spans="1:43" x14ac:dyDescent="0.3">
      <c r="A68" s="11">
        <f t="shared" si="1"/>
        <v>66</v>
      </c>
      <c r="B68" s="5" t="s">
        <v>1675</v>
      </c>
      <c r="C68" t="s">
        <v>893</v>
      </c>
      <c r="D68" s="24" t="s">
        <v>837</v>
      </c>
      <c r="E68" s="24" t="str">
        <f>IFERROR(VLOOKUP(D68,Dropdown!A:B,2,0),D68)</f>
        <v>SYNTHETIC PACKERS LIMITED</v>
      </c>
      <c r="F68" s="6">
        <v>45762</v>
      </c>
      <c r="G68" s="6" t="str">
        <f>TEXT(F68, "MMM-YY")</f>
        <v>Apr-25</v>
      </c>
      <c r="H68" t="s">
        <v>107</v>
      </c>
      <c r="I68" s="25">
        <v>91.25</v>
      </c>
      <c r="J68" s="4">
        <v>14750</v>
      </c>
      <c r="K68" t="s">
        <v>909</v>
      </c>
      <c r="L68" s="4" t="str">
        <f>VLOOKUP(K68, 'Items Master'!A:E,5,0)</f>
        <v>LUBAN</v>
      </c>
      <c r="M68" s="4" t="str">
        <f>VLOOKUP(K68, 'Items Master'!A:D,4,0)</f>
        <v>HDPE</v>
      </c>
      <c r="N68" s="4" t="s">
        <v>24</v>
      </c>
      <c r="Q68" s="6">
        <v>45762</v>
      </c>
      <c r="R68" s="6" t="str">
        <f>TEXT(Q68, "MMM-YY")</f>
        <v>Apr-25</v>
      </c>
      <c r="W68" s="25">
        <v>91.25</v>
      </c>
      <c r="Y68"/>
      <c r="Z68"/>
      <c r="AB68"/>
      <c r="AC68"/>
      <c r="AD68"/>
      <c r="AE68"/>
      <c r="AF68"/>
      <c r="AG68"/>
      <c r="AH68"/>
      <c r="AI68"/>
      <c r="AJ68"/>
      <c r="AK68"/>
      <c r="AL68"/>
      <c r="AM68"/>
      <c r="AN68" s="9">
        <f t="shared" ref="AN68:AN131" si="2">SUM(AB68:AM68)</f>
        <v>0</v>
      </c>
      <c r="AO68" s="8"/>
      <c r="AP68" s="9">
        <f>I68-W68-X68-AN68</f>
        <v>0</v>
      </c>
      <c r="AQ68" t="s">
        <v>1316</v>
      </c>
    </row>
    <row r="69" spans="1:43" x14ac:dyDescent="0.3">
      <c r="A69" s="11">
        <f t="shared" si="1"/>
        <v>67</v>
      </c>
      <c r="B69" s="5" t="s">
        <v>1675</v>
      </c>
      <c r="C69" t="s">
        <v>894</v>
      </c>
      <c r="D69" s="24" t="s">
        <v>837</v>
      </c>
      <c r="E69" s="24" t="str">
        <f>IFERROR(VLOOKUP(D69,Dropdown!A:B,2,0),D69)</f>
        <v>SYNTHETIC PACKERS LIMITED</v>
      </c>
      <c r="F69" s="6">
        <v>45762</v>
      </c>
      <c r="G69" s="6" t="str">
        <f>TEXT(F69, "MMM-YY")</f>
        <v>Apr-25</v>
      </c>
      <c r="H69" t="s">
        <v>108</v>
      </c>
      <c r="I69" s="25">
        <v>109.5</v>
      </c>
      <c r="J69" s="4">
        <v>35000</v>
      </c>
      <c r="K69" t="s">
        <v>928</v>
      </c>
      <c r="L69" s="4" t="str">
        <f>VLOOKUP(K69, 'Items Master'!A:E,5,0)</f>
        <v>EXXON</v>
      </c>
      <c r="M69" s="4" t="str">
        <f>VLOOKUP(K69, 'Items Master'!A:D,4,0)</f>
        <v>LLDPE</v>
      </c>
      <c r="N69" s="4" t="s">
        <v>24</v>
      </c>
      <c r="Q69" s="6">
        <v>45762</v>
      </c>
      <c r="R69" s="6" t="str">
        <f>TEXT(Q69, "MMM-YY")</f>
        <v>Apr-25</v>
      </c>
      <c r="W69" s="25">
        <v>109.5</v>
      </c>
      <c r="Y69"/>
      <c r="Z69"/>
      <c r="AB69"/>
      <c r="AC69"/>
      <c r="AD69"/>
      <c r="AE69"/>
      <c r="AF69"/>
      <c r="AG69"/>
      <c r="AH69"/>
      <c r="AI69"/>
      <c r="AJ69"/>
      <c r="AK69"/>
      <c r="AL69"/>
      <c r="AM69"/>
      <c r="AN69" s="9">
        <f t="shared" si="2"/>
        <v>0</v>
      </c>
      <c r="AO69" s="8"/>
      <c r="AP69" s="9">
        <f>I69-W69-X69-AN69</f>
        <v>0</v>
      </c>
      <c r="AQ69" t="s">
        <v>1316</v>
      </c>
    </row>
    <row r="70" spans="1:43" x14ac:dyDescent="0.3">
      <c r="A70" s="11">
        <f t="shared" ref="A70:A133" si="3">A69+1</f>
        <v>68</v>
      </c>
      <c r="B70" s="5" t="s">
        <v>1675</v>
      </c>
      <c r="C70" t="s">
        <v>894</v>
      </c>
      <c r="D70" s="24" t="s">
        <v>837</v>
      </c>
      <c r="E70" s="24" t="str">
        <f>IFERROR(VLOOKUP(D70,Dropdown!A:B,2,0),D70)</f>
        <v>SYNTHETIC PACKERS LIMITED</v>
      </c>
      <c r="F70" s="6">
        <v>45762</v>
      </c>
      <c r="G70" s="6" t="str">
        <f>TEXT(F70, "MMM-YY")</f>
        <v>Apr-25</v>
      </c>
      <c r="H70" t="s">
        <v>109</v>
      </c>
      <c r="I70" s="25">
        <v>91.25</v>
      </c>
      <c r="J70" s="4">
        <v>12000</v>
      </c>
      <c r="K70" t="s">
        <v>909</v>
      </c>
      <c r="L70" s="4" t="str">
        <f>VLOOKUP(K70, 'Items Master'!A:E,5,0)</f>
        <v>LUBAN</v>
      </c>
      <c r="M70" s="4" t="str">
        <f>VLOOKUP(K70, 'Items Master'!A:D,4,0)</f>
        <v>HDPE</v>
      </c>
      <c r="N70" s="4" t="s">
        <v>24</v>
      </c>
      <c r="Q70" s="6">
        <v>45762</v>
      </c>
      <c r="R70" s="6" t="str">
        <f>TEXT(Q70, "MMM-YY")</f>
        <v>Apr-25</v>
      </c>
      <c r="W70" s="25">
        <v>91.25</v>
      </c>
      <c r="Y70"/>
      <c r="Z70"/>
      <c r="AB70"/>
      <c r="AC70"/>
      <c r="AD70"/>
      <c r="AE70"/>
      <c r="AF70"/>
      <c r="AG70"/>
      <c r="AH70"/>
      <c r="AI70"/>
      <c r="AJ70"/>
      <c r="AK70"/>
      <c r="AL70"/>
      <c r="AM70"/>
      <c r="AN70" s="9">
        <f t="shared" si="2"/>
        <v>0</v>
      </c>
      <c r="AO70" s="8"/>
      <c r="AP70" s="9">
        <f>I70-W70-X70-AN70</f>
        <v>0</v>
      </c>
      <c r="AQ70" t="s">
        <v>1316</v>
      </c>
    </row>
    <row r="71" spans="1:43" x14ac:dyDescent="0.3">
      <c r="A71" s="11">
        <f t="shared" si="3"/>
        <v>69</v>
      </c>
      <c r="B71" s="5" t="s">
        <v>1675</v>
      </c>
      <c r="C71" t="s">
        <v>894</v>
      </c>
      <c r="D71" s="24" t="s">
        <v>837</v>
      </c>
      <c r="E71" s="24" t="str">
        <f>IFERROR(VLOOKUP(D71,Dropdown!A:B,2,0),D71)</f>
        <v>SYNTHETIC PACKERS LIMITED</v>
      </c>
      <c r="F71" s="6">
        <v>45762</v>
      </c>
      <c r="G71" s="6" t="str">
        <f>TEXT(F71, "MMM-YY")</f>
        <v>Apr-25</v>
      </c>
      <c r="H71" t="s">
        <v>110</v>
      </c>
      <c r="I71" s="25">
        <v>91.25</v>
      </c>
      <c r="J71" s="4">
        <v>25000</v>
      </c>
      <c r="K71" t="s">
        <v>909</v>
      </c>
      <c r="L71" s="4" t="str">
        <f>VLOOKUP(K71, 'Items Master'!A:E,5,0)</f>
        <v>LUBAN</v>
      </c>
      <c r="M71" s="4" t="str">
        <f>VLOOKUP(K71, 'Items Master'!A:D,4,0)</f>
        <v>HDPE</v>
      </c>
      <c r="N71" s="4" t="s">
        <v>24</v>
      </c>
      <c r="Q71" s="6">
        <v>45762</v>
      </c>
      <c r="R71" s="6" t="str">
        <f>TEXT(Q71, "MMM-YY")</f>
        <v>Apr-25</v>
      </c>
      <c r="W71" s="25">
        <v>91.25</v>
      </c>
      <c r="Y71"/>
      <c r="Z71"/>
      <c r="AB71"/>
      <c r="AC71"/>
      <c r="AD71"/>
      <c r="AE71"/>
      <c r="AF71"/>
      <c r="AG71"/>
      <c r="AH71"/>
      <c r="AI71"/>
      <c r="AJ71"/>
      <c r="AK71"/>
      <c r="AL71"/>
      <c r="AM71"/>
      <c r="AN71" s="9">
        <f t="shared" si="2"/>
        <v>0</v>
      </c>
      <c r="AO71" s="8"/>
      <c r="AP71" s="9">
        <f>I71-W71-X71-AN71</f>
        <v>0</v>
      </c>
      <c r="AQ71" t="s">
        <v>1316</v>
      </c>
    </row>
    <row r="72" spans="1:43" x14ac:dyDescent="0.3">
      <c r="A72" s="11">
        <f t="shared" si="3"/>
        <v>70</v>
      </c>
      <c r="B72" s="5" t="s">
        <v>1675</v>
      </c>
      <c r="C72" t="s">
        <v>894</v>
      </c>
      <c r="D72" s="24" t="s">
        <v>834</v>
      </c>
      <c r="E72" s="24" t="str">
        <f>IFERROR(VLOOKUP(D72,Dropdown!A:B,2,0),D72)</f>
        <v>D R POLYMERS PRIVATE LIMITED</v>
      </c>
      <c r="F72" s="6">
        <v>45762</v>
      </c>
      <c r="G72" s="6" t="str">
        <f>TEXT(F72, "MMM-YY")</f>
        <v>Apr-25</v>
      </c>
      <c r="H72" t="s">
        <v>111</v>
      </c>
      <c r="I72" s="25">
        <v>67.849999999999994</v>
      </c>
      <c r="J72" s="4">
        <v>10000</v>
      </c>
      <c r="K72" t="s">
        <v>900</v>
      </c>
      <c r="L72" s="4" t="str">
        <f>VLOOKUP(K72, 'Items Master'!A:E,5,0)</f>
        <v>HANWHA</v>
      </c>
      <c r="M72" s="4" t="str">
        <f>VLOOKUP(K72, 'Items Master'!A:D,4,0)</f>
        <v>PVC</v>
      </c>
      <c r="N72" s="4" t="s">
        <v>24</v>
      </c>
      <c r="Q72" s="6">
        <v>45762</v>
      </c>
      <c r="R72" s="6" t="str">
        <f>TEXT(Q72, "MMM-YY")</f>
        <v>Apr-25</v>
      </c>
      <c r="W72" s="25">
        <v>67.849999999999994</v>
      </c>
      <c r="Y72"/>
      <c r="Z72"/>
      <c r="AB72"/>
      <c r="AC72"/>
      <c r="AD72"/>
      <c r="AE72"/>
      <c r="AF72"/>
      <c r="AG72"/>
      <c r="AH72"/>
      <c r="AI72"/>
      <c r="AJ72"/>
      <c r="AK72"/>
      <c r="AL72"/>
      <c r="AM72"/>
      <c r="AN72" s="9">
        <f t="shared" si="2"/>
        <v>0</v>
      </c>
      <c r="AO72" s="8"/>
      <c r="AP72" s="9">
        <f>I72-W72-X72-AN72</f>
        <v>0</v>
      </c>
      <c r="AQ72" t="s">
        <v>1316</v>
      </c>
    </row>
    <row r="73" spans="1:43" x14ac:dyDescent="0.3">
      <c r="A73" s="11">
        <f t="shared" si="3"/>
        <v>71</v>
      </c>
      <c r="B73" s="5" t="s">
        <v>1675</v>
      </c>
      <c r="C73" t="s">
        <v>893</v>
      </c>
      <c r="D73" s="24" t="s">
        <v>836</v>
      </c>
      <c r="E73" s="24" t="str">
        <f>IFERROR(VLOOKUP(D73,Dropdown!A:B,2,0),D73)</f>
        <v>Intime</v>
      </c>
      <c r="F73" s="6">
        <v>45763</v>
      </c>
      <c r="G73" s="6" t="str">
        <f>TEXT(F73, "MMM-YY")</f>
        <v>Apr-25</v>
      </c>
      <c r="H73" t="s">
        <v>112</v>
      </c>
      <c r="I73" s="25">
        <v>100.974</v>
      </c>
      <c r="J73" s="4">
        <v>4000</v>
      </c>
      <c r="K73" t="s">
        <v>903</v>
      </c>
      <c r="L73" s="4" t="str">
        <f>VLOOKUP(K73, 'Items Master'!A:E,5,0)</f>
        <v>GAIL</v>
      </c>
      <c r="M73" s="4" t="str">
        <f>VLOOKUP(K73, 'Items Master'!A:D,4,0)</f>
        <v>LLDPE</v>
      </c>
      <c r="N73" s="4" t="s">
        <v>49</v>
      </c>
      <c r="O73" t="s">
        <v>1293</v>
      </c>
      <c r="Q73" s="6">
        <v>45763</v>
      </c>
      <c r="R73" s="6" t="str">
        <f>TEXT(Q73, "MMM-YY")</f>
        <v>Apr-25</v>
      </c>
      <c r="X73" s="25">
        <v>101.044</v>
      </c>
      <c r="AB73"/>
      <c r="AC73"/>
      <c r="AD73"/>
      <c r="AE73"/>
      <c r="AF73"/>
      <c r="AG73"/>
      <c r="AH73"/>
      <c r="AI73"/>
      <c r="AJ73"/>
      <c r="AK73"/>
      <c r="AL73"/>
      <c r="AM73"/>
      <c r="AN73" s="9">
        <f t="shared" si="2"/>
        <v>0</v>
      </c>
      <c r="AO73" s="8"/>
      <c r="AP73" s="9">
        <f>I73-W73-X73-AN73</f>
        <v>-6.9999999999993179E-2</v>
      </c>
      <c r="AQ73" t="s">
        <v>1324</v>
      </c>
    </row>
    <row r="74" spans="1:43" x14ac:dyDescent="0.3">
      <c r="A74" s="11">
        <f t="shared" si="3"/>
        <v>72</v>
      </c>
      <c r="B74" s="5" t="s">
        <v>1675</v>
      </c>
      <c r="C74" t="s">
        <v>893</v>
      </c>
      <c r="D74" s="24" t="s">
        <v>836</v>
      </c>
      <c r="E74" s="24" t="str">
        <f>IFERROR(VLOOKUP(D74,Dropdown!A:B,2,0),D74)</f>
        <v>Intime</v>
      </c>
      <c r="F74" s="6">
        <v>45763</v>
      </c>
      <c r="G74" s="6" t="str">
        <f>TEXT(F74, "MMM-YY")</f>
        <v>Apr-25</v>
      </c>
      <c r="H74" t="s">
        <v>112</v>
      </c>
      <c r="I74" s="25">
        <v>99.933000000000007</v>
      </c>
      <c r="J74" s="4">
        <v>7000</v>
      </c>
      <c r="K74" t="s">
        <v>911</v>
      </c>
      <c r="L74" s="4" t="str">
        <f>VLOOKUP(K74, 'Items Master'!A:E,5,0)</f>
        <v>BCPL</v>
      </c>
      <c r="M74" s="4" t="str">
        <f>VLOOKUP(K74, 'Items Master'!A:D,4,0)</f>
        <v>LLDPE</v>
      </c>
      <c r="N74" s="4" t="s">
        <v>49</v>
      </c>
      <c r="Q74" s="6">
        <v>45763</v>
      </c>
      <c r="R74" s="6" t="str">
        <f>TEXT(Q74, "MMM-YY")</f>
        <v>Apr-25</v>
      </c>
      <c r="X74" s="25">
        <v>99.933000000000007</v>
      </c>
      <c r="AB74"/>
      <c r="AC74"/>
      <c r="AD74"/>
      <c r="AE74"/>
      <c r="AF74"/>
      <c r="AG74"/>
      <c r="AH74"/>
      <c r="AI74"/>
      <c r="AJ74"/>
      <c r="AK74"/>
      <c r="AL74"/>
      <c r="AM74"/>
      <c r="AN74" s="9">
        <f t="shared" si="2"/>
        <v>0</v>
      </c>
      <c r="AO74" s="8"/>
      <c r="AP74" s="9">
        <f>I74-W74-X74-AN74</f>
        <v>0</v>
      </c>
      <c r="AQ74" t="s">
        <v>1324</v>
      </c>
    </row>
    <row r="75" spans="1:43" x14ac:dyDescent="0.3">
      <c r="A75" s="11">
        <f t="shared" si="3"/>
        <v>73</v>
      </c>
      <c r="B75" s="5" t="s">
        <v>1675</v>
      </c>
      <c r="C75" t="s">
        <v>893</v>
      </c>
      <c r="D75" s="24" t="s">
        <v>48</v>
      </c>
      <c r="E75" s="24" t="str">
        <f>IFERROR(VLOOKUP(D75,Dropdown!A:B,2,0),D75)</f>
        <v>CVPL</v>
      </c>
      <c r="F75" s="6">
        <v>45763</v>
      </c>
      <c r="G75" s="6" t="str">
        <f>TEXT(F75, "MMM-YY")</f>
        <v>Apr-25</v>
      </c>
      <c r="H75" t="s">
        <v>113</v>
      </c>
      <c r="I75" s="25">
        <v>93.25</v>
      </c>
      <c r="J75" s="4">
        <v>1000</v>
      </c>
      <c r="K75" t="s">
        <v>929</v>
      </c>
      <c r="L75" s="4" t="str">
        <f>VLOOKUP(K75, 'Items Master'!A:E,5,0)</f>
        <v>HMEL</v>
      </c>
      <c r="M75" s="4" t="str">
        <f>VLOOKUP(K75, 'Items Master'!A:D,4,0)</f>
        <v>HDPE</v>
      </c>
      <c r="N75" s="4" t="s">
        <v>24</v>
      </c>
      <c r="Q75" s="6">
        <v>45763</v>
      </c>
      <c r="R75" s="6" t="str">
        <f>TEXT(Q75, "MMM-YY")</f>
        <v>Apr-25</v>
      </c>
      <c r="W75" s="25">
        <v>93.25</v>
      </c>
      <c r="AB75"/>
      <c r="AC75"/>
      <c r="AD75"/>
      <c r="AE75"/>
      <c r="AF75"/>
      <c r="AG75"/>
      <c r="AH75"/>
      <c r="AI75"/>
      <c r="AJ75"/>
      <c r="AK75"/>
      <c r="AL75"/>
      <c r="AM75"/>
      <c r="AN75" s="9">
        <f t="shared" si="2"/>
        <v>0</v>
      </c>
      <c r="AO75" s="8"/>
      <c r="AP75" s="9">
        <f>I75-W75-X75-AN75</f>
        <v>0</v>
      </c>
      <c r="AQ75" t="s">
        <v>1316</v>
      </c>
    </row>
    <row r="76" spans="1:43" x14ac:dyDescent="0.3">
      <c r="A76" s="11">
        <f t="shared" si="3"/>
        <v>74</v>
      </c>
      <c r="B76" s="5" t="s">
        <v>1675</v>
      </c>
      <c r="C76" t="s">
        <v>893</v>
      </c>
      <c r="D76" s="24" t="s">
        <v>844</v>
      </c>
      <c r="E76" s="24" t="str">
        <f>IFERROR(VLOOKUP(D76,Dropdown!A:B,2,0),D76)</f>
        <v>APEX TECHNO POLYMER PRIVATE LIMITED</v>
      </c>
      <c r="F76" s="6">
        <v>45763</v>
      </c>
      <c r="G76" s="6" t="str">
        <f>TEXT(F76, "MMM-YY")</f>
        <v>Apr-25</v>
      </c>
      <c r="H76" t="s">
        <v>114</v>
      </c>
      <c r="I76" s="25">
        <v>157</v>
      </c>
      <c r="J76" s="4">
        <v>500</v>
      </c>
      <c r="K76" t="s">
        <v>930</v>
      </c>
      <c r="L76" s="4" t="str">
        <f>VLOOKUP(K76, 'Items Master'!A:E,5,0)</f>
        <v>LG</v>
      </c>
      <c r="M76" s="4" t="str">
        <f>VLOOKUP(K76, 'Items Master'!A:D,4,0)</f>
        <v>ABS</v>
      </c>
      <c r="N76" s="4" t="s">
        <v>24</v>
      </c>
      <c r="Q76" s="6">
        <v>45763</v>
      </c>
      <c r="R76" s="6" t="str">
        <f>TEXT(Q76, "MMM-YY")</f>
        <v>Apr-25</v>
      </c>
      <c r="W76" s="25">
        <v>157</v>
      </c>
      <c r="Y76"/>
      <c r="Z76"/>
      <c r="AB76"/>
      <c r="AC76"/>
      <c r="AD76"/>
      <c r="AE76"/>
      <c r="AF76"/>
      <c r="AG76"/>
      <c r="AH76"/>
      <c r="AI76"/>
      <c r="AJ76"/>
      <c r="AK76"/>
      <c r="AL76"/>
      <c r="AM76"/>
      <c r="AN76" s="9">
        <f t="shared" si="2"/>
        <v>0</v>
      </c>
      <c r="AO76" s="8"/>
      <c r="AP76" s="9">
        <f>I76-W76-X76-AN76</f>
        <v>0</v>
      </c>
      <c r="AQ76" t="s">
        <v>1316</v>
      </c>
    </row>
    <row r="77" spans="1:43" x14ac:dyDescent="0.3">
      <c r="A77" s="11">
        <f t="shared" si="3"/>
        <v>75</v>
      </c>
      <c r="B77" s="5" t="s">
        <v>1675</v>
      </c>
      <c r="C77" t="s">
        <v>893</v>
      </c>
      <c r="D77" s="24" t="s">
        <v>824</v>
      </c>
      <c r="E77" s="24" t="str">
        <f>IFERROR(VLOOKUP(D77,Dropdown!A:B,2,0),D77)</f>
        <v>Paragon</v>
      </c>
      <c r="F77" s="6">
        <v>45763</v>
      </c>
      <c r="G77" s="6" t="str">
        <f>TEXT(F77, "MMM-YY")</f>
        <v>Apr-25</v>
      </c>
      <c r="H77" t="s">
        <v>115</v>
      </c>
      <c r="I77" s="25">
        <v>100.9</v>
      </c>
      <c r="J77" s="4">
        <v>3500</v>
      </c>
      <c r="K77" t="s">
        <v>915</v>
      </c>
      <c r="L77" s="4" t="str">
        <f>VLOOKUP(K77, 'Items Master'!A:E,5,0)</f>
        <v>RIL</v>
      </c>
      <c r="M77" s="4" t="str">
        <f>VLOOKUP(K77, 'Items Master'!A:D,4,0)</f>
        <v>LLDPE</v>
      </c>
      <c r="N77" s="4" t="s">
        <v>49</v>
      </c>
      <c r="Q77" s="6">
        <v>45763</v>
      </c>
      <c r="R77" s="6" t="str">
        <f>TEXT(Q77, "MMM-YY")</f>
        <v>Apr-25</v>
      </c>
      <c r="X77" s="25">
        <v>100.88</v>
      </c>
      <c r="AB77"/>
      <c r="AC77"/>
      <c r="AD77"/>
      <c r="AE77"/>
      <c r="AF77"/>
      <c r="AG77"/>
      <c r="AH77"/>
      <c r="AI77"/>
      <c r="AJ77"/>
      <c r="AK77"/>
      <c r="AL77"/>
      <c r="AM77"/>
      <c r="AN77" s="9">
        <f t="shared" si="2"/>
        <v>0</v>
      </c>
      <c r="AO77" s="8"/>
      <c r="AP77" s="9">
        <f>I77-W77-X77-AN77</f>
        <v>2.0000000000010232E-2</v>
      </c>
      <c r="AQ77" t="s">
        <v>1324</v>
      </c>
    </row>
    <row r="78" spans="1:43" x14ac:dyDescent="0.3">
      <c r="A78" s="11">
        <f t="shared" si="3"/>
        <v>76</v>
      </c>
      <c r="B78" s="5" t="s">
        <v>1675</v>
      </c>
      <c r="C78" t="s">
        <v>893</v>
      </c>
      <c r="D78" s="24" t="s">
        <v>845</v>
      </c>
      <c r="E78" s="24" t="str">
        <f>IFERROR(VLOOKUP(D78,Dropdown!A:B,2,0),D78)</f>
        <v>SIM POLYMERS LLP</v>
      </c>
      <c r="F78" s="6">
        <v>45763</v>
      </c>
      <c r="G78" s="6" t="str">
        <f>TEXT(F78, "MMM-YY")</f>
        <v>Apr-25</v>
      </c>
      <c r="H78" t="s">
        <v>116</v>
      </c>
      <c r="I78" s="25">
        <v>117</v>
      </c>
      <c r="J78" s="4">
        <v>10000</v>
      </c>
      <c r="K78" t="s">
        <v>931</v>
      </c>
      <c r="L78" s="4" t="str">
        <f>VLOOKUP(K78, 'Items Master'!A:E,5,0)</f>
        <v>BASELL</v>
      </c>
      <c r="M78" s="4" t="str">
        <f>VLOOKUP(K78, 'Items Master'!A:D,4,0)</f>
        <v>LDPE</v>
      </c>
      <c r="N78" s="4" t="s">
        <v>24</v>
      </c>
      <c r="Q78" s="6">
        <v>45763</v>
      </c>
      <c r="R78" s="6" t="str">
        <f>TEXT(Q78, "MMM-YY")</f>
        <v>Apr-25</v>
      </c>
      <c r="W78" s="25">
        <v>117</v>
      </c>
      <c r="Y78"/>
      <c r="Z78"/>
      <c r="AB78"/>
      <c r="AC78"/>
      <c r="AD78"/>
      <c r="AE78"/>
      <c r="AF78"/>
      <c r="AG78"/>
      <c r="AH78"/>
      <c r="AI78"/>
      <c r="AJ78"/>
      <c r="AK78"/>
      <c r="AL78"/>
      <c r="AM78"/>
      <c r="AN78" s="9">
        <f t="shared" si="2"/>
        <v>0</v>
      </c>
      <c r="AO78" s="8"/>
      <c r="AP78" s="9">
        <f>I78-W78-X78-AN78</f>
        <v>0</v>
      </c>
      <c r="AQ78" t="s">
        <v>1316</v>
      </c>
    </row>
    <row r="79" spans="1:43" x14ac:dyDescent="0.3">
      <c r="A79" s="11">
        <f t="shared" si="3"/>
        <v>77</v>
      </c>
      <c r="B79" s="5" t="s">
        <v>1675</v>
      </c>
      <c r="C79" t="s">
        <v>893</v>
      </c>
      <c r="D79" s="24" t="s">
        <v>846</v>
      </c>
      <c r="E79" s="24" t="str">
        <f>IFERROR(VLOOKUP(D79,Dropdown!A:B,2,0),D79)</f>
        <v>SIDDHARTH POLYMERS PRIVATE LIMITED</v>
      </c>
      <c r="F79" s="6">
        <v>45763</v>
      </c>
      <c r="G79" s="6" t="str">
        <f>TEXT(F79, "MMM-YY")</f>
        <v>Apr-25</v>
      </c>
      <c r="H79" t="s">
        <v>117</v>
      </c>
      <c r="I79" s="25">
        <v>104</v>
      </c>
      <c r="J79" s="4">
        <v>10000</v>
      </c>
      <c r="K79" t="s">
        <v>932</v>
      </c>
      <c r="L79" s="4" t="str">
        <f>VLOOKUP(K79, 'Items Master'!A:E,5,0)</f>
        <v>RIL</v>
      </c>
      <c r="M79" s="4" t="str">
        <f>VLOOKUP(K79, 'Items Master'!A:D,4,0)</f>
        <v>PP ICP</v>
      </c>
      <c r="N79" s="4" t="s">
        <v>24</v>
      </c>
      <c r="Q79" s="6">
        <v>45763</v>
      </c>
      <c r="R79" s="6" t="str">
        <f>TEXT(Q79, "MMM-YY")</f>
        <v>Apr-25</v>
      </c>
      <c r="W79" s="25">
        <v>104</v>
      </c>
      <c r="Y79"/>
      <c r="Z79"/>
      <c r="AB79"/>
      <c r="AC79"/>
      <c r="AD79"/>
      <c r="AE79"/>
      <c r="AF79"/>
      <c r="AG79"/>
      <c r="AH79"/>
      <c r="AI79"/>
      <c r="AJ79"/>
      <c r="AK79"/>
      <c r="AL79"/>
      <c r="AM79"/>
      <c r="AN79" s="9">
        <f t="shared" si="2"/>
        <v>0</v>
      </c>
      <c r="AO79" s="8"/>
      <c r="AP79" s="9">
        <f>I79-W79-X79-AN79</f>
        <v>0</v>
      </c>
      <c r="AQ79" t="s">
        <v>1316</v>
      </c>
    </row>
    <row r="80" spans="1:43" x14ac:dyDescent="0.3">
      <c r="A80" s="11">
        <f t="shared" si="3"/>
        <v>78</v>
      </c>
      <c r="B80" s="5" t="s">
        <v>1675</v>
      </c>
      <c r="C80" t="s">
        <v>893</v>
      </c>
      <c r="D80" s="24" t="s">
        <v>846</v>
      </c>
      <c r="E80" s="24" t="str">
        <f>IFERROR(VLOOKUP(D80,Dropdown!A:B,2,0),D80)</f>
        <v>SIDDHARTH POLYMERS PRIVATE LIMITED</v>
      </c>
      <c r="F80" s="6">
        <v>45763</v>
      </c>
      <c r="G80" s="6" t="str">
        <f>TEXT(F80, "MMM-YY")</f>
        <v>Apr-25</v>
      </c>
      <c r="H80" t="s">
        <v>117</v>
      </c>
      <c r="I80" s="25">
        <v>104.25</v>
      </c>
      <c r="J80" s="4">
        <v>1250</v>
      </c>
      <c r="K80" t="s">
        <v>925</v>
      </c>
      <c r="L80" s="4" t="str">
        <f>VLOOKUP(K80, 'Items Master'!A:E,5,0)</f>
        <v>RIL</v>
      </c>
      <c r="M80" s="4" t="str">
        <f>VLOOKUP(K80, 'Items Master'!A:D,4,0)</f>
        <v>PP ICP</v>
      </c>
      <c r="N80" s="4" t="s">
        <v>24</v>
      </c>
      <c r="Q80" s="6">
        <v>45763</v>
      </c>
      <c r="R80" s="6" t="str">
        <f>TEXT(Q80, "MMM-YY")</f>
        <v>Apr-25</v>
      </c>
      <c r="W80" s="25">
        <v>104.25</v>
      </c>
      <c r="Y80"/>
      <c r="Z80"/>
      <c r="AB80"/>
      <c r="AC80"/>
      <c r="AD80"/>
      <c r="AE80"/>
      <c r="AF80"/>
      <c r="AG80"/>
      <c r="AH80"/>
      <c r="AI80"/>
      <c r="AJ80"/>
      <c r="AK80"/>
      <c r="AL80"/>
      <c r="AM80"/>
      <c r="AN80" s="9">
        <f t="shared" si="2"/>
        <v>0</v>
      </c>
      <c r="AO80" s="8"/>
      <c r="AP80" s="9">
        <f>I80-W80-X80-AN80</f>
        <v>0</v>
      </c>
      <c r="AQ80" t="s">
        <v>1316</v>
      </c>
    </row>
    <row r="81" spans="1:43" x14ac:dyDescent="0.3">
      <c r="A81" s="11">
        <f t="shared" si="3"/>
        <v>79</v>
      </c>
      <c r="B81" s="5" t="s">
        <v>1675</v>
      </c>
      <c r="C81" t="s">
        <v>893</v>
      </c>
      <c r="D81" s="24" t="s">
        <v>828</v>
      </c>
      <c r="E81" s="24" t="str">
        <f>IFERROR(VLOOKUP(D81,Dropdown!A:B,2,0),D81)</f>
        <v>SHUBHAM INTERNATIONAL PRIVATE LIMITED</v>
      </c>
      <c r="F81" s="6">
        <v>45763</v>
      </c>
      <c r="G81" s="6" t="str">
        <f>TEXT(F81, "MMM-YY")</f>
        <v>Apr-25</v>
      </c>
      <c r="H81" t="s">
        <v>118</v>
      </c>
      <c r="I81" s="25">
        <v>102.75</v>
      </c>
      <c r="J81" s="4">
        <v>6000</v>
      </c>
      <c r="K81" t="s">
        <v>896</v>
      </c>
      <c r="L81" s="4" t="str">
        <f>VLOOKUP(K81, 'Items Master'!A:E,5,0)</f>
        <v>OPAL</v>
      </c>
      <c r="M81" s="4" t="str">
        <f>VLOOKUP(K81, 'Items Master'!A:D,4,0)</f>
        <v>HDPE</v>
      </c>
      <c r="N81" s="4" t="s">
        <v>24</v>
      </c>
      <c r="Q81" s="6">
        <v>45763</v>
      </c>
      <c r="R81" s="6" t="str">
        <f>TEXT(Q81, "MMM-YY")</f>
        <v>Apr-25</v>
      </c>
      <c r="W81" s="25">
        <v>102.75</v>
      </c>
      <c r="Y81"/>
      <c r="Z81"/>
      <c r="AB81"/>
      <c r="AC81"/>
      <c r="AD81"/>
      <c r="AE81"/>
      <c r="AF81"/>
      <c r="AG81"/>
      <c r="AH81"/>
      <c r="AI81"/>
      <c r="AJ81"/>
      <c r="AK81"/>
      <c r="AL81"/>
      <c r="AM81"/>
      <c r="AN81" s="9">
        <f t="shared" si="2"/>
        <v>0</v>
      </c>
      <c r="AO81" s="8"/>
      <c r="AP81" s="9">
        <f>I81-W81-X81-AN81</f>
        <v>0</v>
      </c>
      <c r="AQ81" t="s">
        <v>1316</v>
      </c>
    </row>
    <row r="82" spans="1:43" x14ac:dyDescent="0.3">
      <c r="A82" s="11">
        <f t="shared" si="3"/>
        <v>80</v>
      </c>
      <c r="B82" s="5" t="s">
        <v>1675</v>
      </c>
      <c r="C82" t="s">
        <v>893</v>
      </c>
      <c r="D82" s="24" t="s">
        <v>847</v>
      </c>
      <c r="E82" s="24" t="str">
        <f>IFERROR(VLOOKUP(D82,Dropdown!A:B,2,0),D82)</f>
        <v>K V N IMPEX PVT LTD</v>
      </c>
      <c r="F82" s="6">
        <v>45763</v>
      </c>
      <c r="G82" s="6" t="str">
        <f>TEXT(F82, "MMM-YY")</f>
        <v>Apr-25</v>
      </c>
      <c r="H82" t="s">
        <v>119</v>
      </c>
      <c r="I82" s="25">
        <v>98.75</v>
      </c>
      <c r="J82" s="4">
        <v>16000</v>
      </c>
      <c r="K82" t="s">
        <v>933</v>
      </c>
      <c r="L82" s="4" t="str">
        <f>VLOOKUP(K82, 'Items Master'!A:E,5,0)</f>
        <v>BOROUGE</v>
      </c>
      <c r="M82" s="4" t="str">
        <f>VLOOKUP(K82, 'Items Master'!A:D,4,0)</f>
        <v>PP</v>
      </c>
      <c r="N82" s="4" t="s">
        <v>24</v>
      </c>
      <c r="Q82" s="6">
        <v>45763</v>
      </c>
      <c r="R82" s="6" t="str">
        <f>TEXT(Q82, "MMM-YY")</f>
        <v>Apr-25</v>
      </c>
      <c r="W82" s="25">
        <v>98.75</v>
      </c>
      <c r="Y82"/>
      <c r="Z82"/>
      <c r="AB82"/>
      <c r="AC82"/>
      <c r="AD82"/>
      <c r="AE82"/>
      <c r="AF82"/>
      <c r="AG82"/>
      <c r="AH82"/>
      <c r="AI82"/>
      <c r="AJ82"/>
      <c r="AK82"/>
      <c r="AL82"/>
      <c r="AM82"/>
      <c r="AN82" s="9">
        <f t="shared" si="2"/>
        <v>0</v>
      </c>
      <c r="AO82" s="8"/>
      <c r="AP82" s="9">
        <f>I82-W82-X82-AN82</f>
        <v>0</v>
      </c>
      <c r="AQ82" t="s">
        <v>1316</v>
      </c>
    </row>
    <row r="83" spans="1:43" x14ac:dyDescent="0.3">
      <c r="A83" s="11">
        <f t="shared" si="3"/>
        <v>81</v>
      </c>
      <c r="B83" s="5" t="s">
        <v>1675</v>
      </c>
      <c r="C83" t="s">
        <v>893</v>
      </c>
      <c r="D83" s="24" t="s">
        <v>824</v>
      </c>
      <c r="E83" s="24" t="str">
        <f>IFERROR(VLOOKUP(D83,Dropdown!A:B,2,0),D83)</f>
        <v>Paragon</v>
      </c>
      <c r="F83" s="6">
        <v>45764</v>
      </c>
      <c r="G83" s="6" t="str">
        <f>TEXT(F83, "MMM-YY")</f>
        <v>Apr-25</v>
      </c>
      <c r="H83" t="s">
        <v>120</v>
      </c>
      <c r="I83" s="25">
        <v>100.9</v>
      </c>
      <c r="J83" s="4">
        <v>3000</v>
      </c>
      <c r="K83" t="s">
        <v>915</v>
      </c>
      <c r="L83" s="4" t="str">
        <f>VLOOKUP(K83, 'Items Master'!A:E,5,0)</f>
        <v>RIL</v>
      </c>
      <c r="M83" s="4" t="str">
        <f>VLOOKUP(K83, 'Items Master'!A:D,4,0)</f>
        <v>LLDPE</v>
      </c>
      <c r="N83" s="4" t="s">
        <v>49</v>
      </c>
      <c r="Q83" s="6">
        <v>45764</v>
      </c>
      <c r="R83" s="6" t="str">
        <f>TEXT(Q83, "MMM-YY")</f>
        <v>Apr-25</v>
      </c>
      <c r="X83" s="25">
        <v>100.88</v>
      </c>
      <c r="AB83"/>
      <c r="AC83"/>
      <c r="AD83"/>
      <c r="AE83"/>
      <c r="AF83"/>
      <c r="AG83"/>
      <c r="AH83"/>
      <c r="AI83"/>
      <c r="AJ83"/>
      <c r="AK83"/>
      <c r="AL83"/>
      <c r="AM83"/>
      <c r="AN83" s="9">
        <f t="shared" si="2"/>
        <v>0</v>
      </c>
      <c r="AO83" s="8"/>
      <c r="AP83" s="9">
        <f>I83-W83-X83-AN83</f>
        <v>2.0000000000010232E-2</v>
      </c>
      <c r="AQ83" t="s">
        <v>1324</v>
      </c>
    </row>
    <row r="84" spans="1:43" x14ac:dyDescent="0.3">
      <c r="A84" s="11">
        <f t="shared" si="3"/>
        <v>82</v>
      </c>
      <c r="B84" s="5" t="s">
        <v>1675</v>
      </c>
      <c r="C84" t="s">
        <v>893</v>
      </c>
      <c r="D84" s="24" t="s">
        <v>824</v>
      </c>
      <c r="E84" s="24" t="str">
        <f>IFERROR(VLOOKUP(D84,Dropdown!A:B,2,0),D84)</f>
        <v>Paragon</v>
      </c>
      <c r="F84" s="6">
        <v>45764</v>
      </c>
      <c r="G84" s="6" t="str">
        <f>TEXT(F84, "MMM-YY")</f>
        <v>Apr-25</v>
      </c>
      <c r="H84" t="s">
        <v>121</v>
      </c>
      <c r="I84" s="25">
        <v>102.56</v>
      </c>
      <c r="J84" s="4">
        <v>2500</v>
      </c>
      <c r="K84" t="s">
        <v>912</v>
      </c>
      <c r="L84" s="4" t="str">
        <f>VLOOKUP(K84, 'Items Master'!A:E,5,0)</f>
        <v>RIL</v>
      </c>
      <c r="M84" s="4" t="str">
        <f>VLOOKUP(K84, 'Items Master'!A:D,4,0)</f>
        <v>PP</v>
      </c>
      <c r="N84" s="4" t="s">
        <v>49</v>
      </c>
      <c r="Q84" s="6">
        <v>45764</v>
      </c>
      <c r="R84" s="6" t="str">
        <f>TEXT(Q84, "MMM-YY")</f>
        <v>Apr-25</v>
      </c>
      <c r="X84" s="25">
        <v>100.88</v>
      </c>
      <c r="AB84"/>
      <c r="AC84"/>
      <c r="AD84"/>
      <c r="AE84"/>
      <c r="AF84"/>
      <c r="AG84"/>
      <c r="AH84"/>
      <c r="AI84"/>
      <c r="AJ84"/>
      <c r="AK84"/>
      <c r="AL84"/>
      <c r="AM84"/>
      <c r="AN84" s="9">
        <f t="shared" si="2"/>
        <v>0</v>
      </c>
      <c r="AO84" s="8"/>
      <c r="AP84" s="9">
        <f>I84-W84-X84-AN84</f>
        <v>1.6800000000000068</v>
      </c>
      <c r="AQ84" t="s">
        <v>1324</v>
      </c>
    </row>
    <row r="85" spans="1:43" x14ac:dyDescent="0.3">
      <c r="A85" s="11">
        <f t="shared" si="3"/>
        <v>83</v>
      </c>
      <c r="B85" s="5" t="s">
        <v>1675</v>
      </c>
      <c r="C85" t="s">
        <v>893</v>
      </c>
      <c r="D85" s="24" t="s">
        <v>840</v>
      </c>
      <c r="E85" s="24" t="str">
        <f>IFERROR(VLOOKUP(D85,Dropdown!A:B,2,0),D85)</f>
        <v>LPB Plastic Private Limited</v>
      </c>
      <c r="F85" s="6">
        <v>45764</v>
      </c>
      <c r="G85" s="6" t="str">
        <f>TEXT(F85, "MMM-YY")</f>
        <v>Apr-25</v>
      </c>
      <c r="H85" t="s">
        <v>122</v>
      </c>
      <c r="I85" s="25">
        <v>98.5</v>
      </c>
      <c r="J85" s="4">
        <v>10000</v>
      </c>
      <c r="K85" t="s">
        <v>914</v>
      </c>
      <c r="L85" s="4" t="str">
        <f>VLOOKUP(K85, 'Items Master'!A:E,5,0)</f>
        <v>HMEL</v>
      </c>
      <c r="M85" s="4" t="str">
        <f>VLOOKUP(K85, 'Items Master'!A:D,4,0)</f>
        <v>LLDPE</v>
      </c>
      <c r="N85" s="4" t="s">
        <v>24</v>
      </c>
      <c r="Q85" s="6">
        <v>45764</v>
      </c>
      <c r="R85" s="6" t="str">
        <f>TEXT(Q85, "MMM-YY")</f>
        <v>Apr-25</v>
      </c>
      <c r="W85" s="25">
        <v>98.5</v>
      </c>
      <c r="Y85"/>
      <c r="Z85"/>
      <c r="AB85"/>
      <c r="AC85"/>
      <c r="AD85"/>
      <c r="AE85"/>
      <c r="AF85"/>
      <c r="AG85"/>
      <c r="AH85"/>
      <c r="AI85"/>
      <c r="AJ85"/>
      <c r="AK85"/>
      <c r="AL85"/>
      <c r="AM85"/>
      <c r="AN85" s="9">
        <f t="shared" si="2"/>
        <v>0</v>
      </c>
      <c r="AO85" s="8"/>
      <c r="AP85" s="9">
        <f>I85-W85-X85-AN85</f>
        <v>0</v>
      </c>
      <c r="AQ85" t="s">
        <v>1316</v>
      </c>
    </row>
    <row r="86" spans="1:43" x14ac:dyDescent="0.3">
      <c r="A86" s="11">
        <f t="shared" si="3"/>
        <v>84</v>
      </c>
      <c r="B86" s="5" t="s">
        <v>1675</v>
      </c>
      <c r="C86" t="s">
        <v>893</v>
      </c>
      <c r="D86" s="24" t="s">
        <v>828</v>
      </c>
      <c r="E86" s="24" t="str">
        <f>IFERROR(VLOOKUP(D86,Dropdown!A:B,2,0),D86)</f>
        <v>SHUBHAM INTERNATIONAL PRIVATE LIMITED</v>
      </c>
      <c r="F86" s="6">
        <v>45764</v>
      </c>
      <c r="G86" s="6" t="str">
        <f>TEXT(F86, "MMM-YY")</f>
        <v>Apr-25</v>
      </c>
      <c r="H86" t="s">
        <v>123</v>
      </c>
      <c r="I86" s="25">
        <v>105.78</v>
      </c>
      <c r="J86" s="4">
        <v>2500</v>
      </c>
      <c r="K86" t="s">
        <v>925</v>
      </c>
      <c r="L86" s="4" t="str">
        <f>VLOOKUP(K86, 'Items Master'!A:E,5,0)</f>
        <v>RIL</v>
      </c>
      <c r="M86" s="4" t="str">
        <f>VLOOKUP(K86, 'Items Master'!A:D,4,0)</f>
        <v>PP ICP</v>
      </c>
      <c r="N86" s="4" t="s">
        <v>24</v>
      </c>
      <c r="Q86" s="6">
        <v>45764</v>
      </c>
      <c r="R86" s="6" t="str">
        <f>TEXT(Q86, "MMM-YY")</f>
        <v>Apr-25</v>
      </c>
      <c r="W86" s="25">
        <v>105.78</v>
      </c>
      <c r="AB86"/>
      <c r="AC86"/>
      <c r="AD86"/>
      <c r="AE86"/>
      <c r="AF86"/>
      <c r="AG86"/>
      <c r="AH86"/>
      <c r="AI86"/>
      <c r="AJ86"/>
      <c r="AK86"/>
      <c r="AL86"/>
      <c r="AM86"/>
      <c r="AN86" s="9">
        <f t="shared" si="2"/>
        <v>0</v>
      </c>
      <c r="AO86" s="8"/>
      <c r="AP86" s="9">
        <f>I86-W86-X86-AN86</f>
        <v>0</v>
      </c>
      <c r="AQ86" t="s">
        <v>1316</v>
      </c>
    </row>
    <row r="87" spans="1:43" x14ac:dyDescent="0.3">
      <c r="A87" s="11">
        <f t="shared" si="3"/>
        <v>85</v>
      </c>
      <c r="B87" s="5" t="s">
        <v>1675</v>
      </c>
      <c r="C87" t="s">
        <v>893</v>
      </c>
      <c r="D87" s="24" t="s">
        <v>824</v>
      </c>
      <c r="E87" s="24" t="str">
        <f>IFERROR(VLOOKUP(D87,Dropdown!A:B,2,0),D87)</f>
        <v>Paragon</v>
      </c>
      <c r="F87" s="6">
        <v>45764</v>
      </c>
      <c r="G87" s="6" t="str">
        <f>TEXT(F87, "MMM-YY")</f>
        <v>Apr-25</v>
      </c>
      <c r="H87" t="s">
        <v>124</v>
      </c>
      <c r="I87" s="25">
        <v>109.78</v>
      </c>
      <c r="J87" s="4">
        <v>50</v>
      </c>
      <c r="K87" t="s">
        <v>934</v>
      </c>
      <c r="L87" s="4" t="str">
        <f>VLOOKUP(K87, 'Items Master'!A:E,5,0)</f>
        <v>RIL</v>
      </c>
      <c r="M87" s="4" t="str">
        <f>VLOOKUP(K87, 'Items Master'!A:D,4,0)</f>
        <v>PP RCP</v>
      </c>
      <c r="N87" s="4" t="s">
        <v>49</v>
      </c>
      <c r="Q87" s="6">
        <v>45764</v>
      </c>
      <c r="R87" s="6" t="str">
        <f>TEXT(Q87, "MMM-YY")</f>
        <v>Apr-25</v>
      </c>
      <c r="X87" s="25">
        <v>109.78</v>
      </c>
      <c r="AB87"/>
      <c r="AC87"/>
      <c r="AD87"/>
      <c r="AE87"/>
      <c r="AF87"/>
      <c r="AG87"/>
      <c r="AH87"/>
      <c r="AI87"/>
      <c r="AJ87"/>
      <c r="AK87"/>
      <c r="AL87"/>
      <c r="AM87"/>
      <c r="AN87" s="9">
        <f t="shared" si="2"/>
        <v>0</v>
      </c>
      <c r="AO87" s="8"/>
      <c r="AP87" s="9">
        <f>I87-W87-X87-AN87</f>
        <v>0</v>
      </c>
      <c r="AQ87" t="s">
        <v>1324</v>
      </c>
    </row>
    <row r="88" spans="1:43" x14ac:dyDescent="0.3">
      <c r="A88" s="11">
        <f t="shared" si="3"/>
        <v>86</v>
      </c>
      <c r="B88" s="5" t="s">
        <v>1675</v>
      </c>
      <c r="C88" t="s">
        <v>893</v>
      </c>
      <c r="D88" s="24" t="s">
        <v>837</v>
      </c>
      <c r="E88" s="24" t="str">
        <f>IFERROR(VLOOKUP(D88,Dropdown!A:B,2,0),D88)</f>
        <v>SYNTHETIC PACKERS LIMITED</v>
      </c>
      <c r="F88" s="6">
        <v>45764</v>
      </c>
      <c r="G88" s="6" t="str">
        <f>TEXT(F88, "MMM-YY")</f>
        <v>Apr-25</v>
      </c>
      <c r="H88" t="s">
        <v>125</v>
      </c>
      <c r="I88" s="25">
        <v>109.5</v>
      </c>
      <c r="J88" s="4">
        <v>14375</v>
      </c>
      <c r="K88" t="s">
        <v>928</v>
      </c>
      <c r="L88" s="4" t="str">
        <f>VLOOKUP(K88, 'Items Master'!A:E,5,0)</f>
        <v>EXXON</v>
      </c>
      <c r="M88" s="4" t="str">
        <f>VLOOKUP(K88, 'Items Master'!A:D,4,0)</f>
        <v>LLDPE</v>
      </c>
      <c r="N88" s="4" t="s">
        <v>24</v>
      </c>
      <c r="Q88" s="6">
        <v>45764</v>
      </c>
      <c r="R88" s="6" t="str">
        <f>TEXT(Q88, "MMM-YY")</f>
        <v>Apr-25</v>
      </c>
      <c r="W88" s="25">
        <v>109.5</v>
      </c>
      <c r="Y88"/>
      <c r="Z88"/>
      <c r="AB88"/>
      <c r="AC88"/>
      <c r="AD88"/>
      <c r="AE88"/>
      <c r="AF88"/>
      <c r="AG88"/>
      <c r="AH88"/>
      <c r="AI88"/>
      <c r="AJ88"/>
      <c r="AK88"/>
      <c r="AL88"/>
      <c r="AM88"/>
      <c r="AN88" s="9">
        <f t="shared" si="2"/>
        <v>0</v>
      </c>
      <c r="AO88" s="8"/>
      <c r="AP88" s="9">
        <f>I88-W88-X88-AN88</f>
        <v>0</v>
      </c>
      <c r="AQ88" t="s">
        <v>1316</v>
      </c>
    </row>
    <row r="89" spans="1:43" x14ac:dyDescent="0.3">
      <c r="A89" s="11">
        <f t="shared" si="3"/>
        <v>87</v>
      </c>
      <c r="B89" s="5" t="s">
        <v>1675</v>
      </c>
      <c r="C89" t="s">
        <v>893</v>
      </c>
      <c r="D89" s="24" t="s">
        <v>48</v>
      </c>
      <c r="E89" s="24" t="str">
        <f>IFERROR(VLOOKUP(D89,Dropdown!A:B,2,0),D89)</f>
        <v>CVPL</v>
      </c>
      <c r="F89" s="6">
        <v>45764</v>
      </c>
      <c r="G89" s="6" t="str">
        <f>TEXT(F89, "MMM-YY")</f>
        <v>Apr-25</v>
      </c>
      <c r="H89" t="s">
        <v>126</v>
      </c>
      <c r="I89" s="25">
        <v>96.25</v>
      </c>
      <c r="J89" s="4">
        <v>1000</v>
      </c>
      <c r="K89" t="s">
        <v>902</v>
      </c>
      <c r="L89" s="4" t="str">
        <f>VLOOKUP(K89, 'Items Master'!A:E,5,0)</f>
        <v>GAIL</v>
      </c>
      <c r="M89" s="4" t="str">
        <f>VLOOKUP(K89, 'Items Master'!A:D,4,0)</f>
        <v>LLDPE</v>
      </c>
      <c r="N89" s="4" t="s">
        <v>24</v>
      </c>
      <c r="Q89" s="6">
        <v>45764</v>
      </c>
      <c r="R89" s="6" t="str">
        <f>TEXT(Q89, "MMM-YY")</f>
        <v>Apr-25</v>
      </c>
      <c r="W89" s="25">
        <v>96.25</v>
      </c>
      <c r="Y89"/>
      <c r="Z89"/>
      <c r="AB89"/>
      <c r="AC89"/>
      <c r="AD89"/>
      <c r="AE89"/>
      <c r="AF89"/>
      <c r="AG89"/>
      <c r="AH89"/>
      <c r="AI89"/>
      <c r="AJ89"/>
      <c r="AK89"/>
      <c r="AL89"/>
      <c r="AM89"/>
      <c r="AN89" s="9">
        <f t="shared" si="2"/>
        <v>0</v>
      </c>
      <c r="AO89" s="8"/>
      <c r="AP89" s="9">
        <f>I89-W89-X89-AN89</f>
        <v>0</v>
      </c>
      <c r="AQ89" t="s">
        <v>1316</v>
      </c>
    </row>
    <row r="90" spans="1:43" x14ac:dyDescent="0.3">
      <c r="A90" s="11">
        <f t="shared" si="3"/>
        <v>88</v>
      </c>
      <c r="B90" s="5" t="s">
        <v>1675</v>
      </c>
      <c r="C90" t="s">
        <v>893</v>
      </c>
      <c r="D90" s="24" t="s">
        <v>48</v>
      </c>
      <c r="E90" s="24" t="str">
        <f>IFERROR(VLOOKUP(D90,Dropdown!A:B,2,0),D90)</f>
        <v>CVPL</v>
      </c>
      <c r="F90" s="6">
        <v>45764</v>
      </c>
      <c r="G90" s="6" t="str">
        <f>TEXT(F90, "MMM-YY")</f>
        <v>Apr-25</v>
      </c>
      <c r="H90" t="s">
        <v>126</v>
      </c>
      <c r="I90" s="25">
        <v>120.25</v>
      </c>
      <c r="J90" s="4">
        <v>100</v>
      </c>
      <c r="K90" t="s">
        <v>895</v>
      </c>
      <c r="L90" s="4" t="str">
        <f>VLOOKUP(K90, 'Items Master'!A:E,5,0)</f>
        <v>RIL</v>
      </c>
      <c r="M90" s="4" t="str">
        <f>VLOOKUP(K90, 'Items Master'!A:D,4,0)</f>
        <v>LDPE</v>
      </c>
      <c r="N90" s="4" t="s">
        <v>24</v>
      </c>
      <c r="Q90" s="6">
        <v>45764</v>
      </c>
      <c r="R90" s="6" t="str">
        <f>TEXT(Q90, "MMM-YY")</f>
        <v>Apr-25</v>
      </c>
      <c r="W90" s="25">
        <v>120.25</v>
      </c>
      <c r="Y90"/>
      <c r="Z90"/>
      <c r="AB90"/>
      <c r="AC90"/>
      <c r="AD90"/>
      <c r="AE90"/>
      <c r="AF90"/>
      <c r="AG90"/>
      <c r="AH90"/>
      <c r="AI90"/>
      <c r="AJ90"/>
      <c r="AK90"/>
      <c r="AL90"/>
      <c r="AM90"/>
      <c r="AN90" s="9">
        <f t="shared" si="2"/>
        <v>0</v>
      </c>
      <c r="AO90" s="8"/>
      <c r="AP90" s="9">
        <f>I90-W90-X90-AN90</f>
        <v>0</v>
      </c>
      <c r="AQ90" t="s">
        <v>1316</v>
      </c>
    </row>
    <row r="91" spans="1:43" x14ac:dyDescent="0.3">
      <c r="A91" s="11">
        <f t="shared" si="3"/>
        <v>89</v>
      </c>
      <c r="B91" s="5" t="s">
        <v>1675</v>
      </c>
      <c r="C91" t="s">
        <v>893</v>
      </c>
      <c r="D91" s="24" t="s">
        <v>828</v>
      </c>
      <c r="E91" s="24" t="str">
        <f>IFERROR(VLOOKUP(D91,Dropdown!A:B,2,0),D91)</f>
        <v>SHUBHAM INTERNATIONAL PRIVATE LIMITED</v>
      </c>
      <c r="F91" s="6">
        <v>45765</v>
      </c>
      <c r="G91" s="6" t="str">
        <f>TEXT(F91, "MMM-YY")</f>
        <v>Apr-25</v>
      </c>
      <c r="H91" t="s">
        <v>127</v>
      </c>
      <c r="I91" s="25">
        <v>105.78</v>
      </c>
      <c r="J91" s="4">
        <v>1000</v>
      </c>
      <c r="K91" t="s">
        <v>925</v>
      </c>
      <c r="L91" s="4" t="str">
        <f>VLOOKUP(K91, 'Items Master'!A:E,5,0)</f>
        <v>RIL</v>
      </c>
      <c r="M91" s="4" t="str">
        <f>VLOOKUP(K91, 'Items Master'!A:D,4,0)</f>
        <v>PP ICP</v>
      </c>
      <c r="N91" s="4" t="s">
        <v>24</v>
      </c>
      <c r="Q91" s="6">
        <v>45765</v>
      </c>
      <c r="R91" s="6" t="str">
        <f>TEXT(Q91, "MMM-YY")</f>
        <v>Apr-25</v>
      </c>
      <c r="W91" s="25">
        <v>105.78</v>
      </c>
      <c r="AB91"/>
      <c r="AC91"/>
      <c r="AD91"/>
      <c r="AE91"/>
      <c r="AF91"/>
      <c r="AG91"/>
      <c r="AH91"/>
      <c r="AI91"/>
      <c r="AJ91"/>
      <c r="AK91"/>
      <c r="AL91"/>
      <c r="AM91"/>
      <c r="AN91" s="9">
        <f t="shared" si="2"/>
        <v>0</v>
      </c>
      <c r="AO91" s="8"/>
      <c r="AP91" s="9">
        <f>I91-W91-X91-AN91</f>
        <v>0</v>
      </c>
      <c r="AQ91" t="s">
        <v>1316</v>
      </c>
    </row>
    <row r="92" spans="1:43" x14ac:dyDescent="0.3">
      <c r="A92" s="11">
        <f t="shared" si="3"/>
        <v>90</v>
      </c>
      <c r="B92" s="5" t="s">
        <v>1675</v>
      </c>
      <c r="C92" t="s">
        <v>893</v>
      </c>
      <c r="D92" s="24" t="s">
        <v>825</v>
      </c>
      <c r="E92" s="24" t="str">
        <f>IFERROR(VLOOKUP(D92,Dropdown!A:B,2,0),D92)</f>
        <v>HARISHREE POLYMERS PRIVATE LIMITED</v>
      </c>
      <c r="F92" s="6">
        <v>45765</v>
      </c>
      <c r="G92" s="6" t="str">
        <f>TEXT(F92, "MMM-YY")</f>
        <v>Apr-25</v>
      </c>
      <c r="H92" t="s">
        <v>128</v>
      </c>
      <c r="I92" s="25">
        <v>92</v>
      </c>
      <c r="J92" s="4">
        <v>8000</v>
      </c>
      <c r="K92" t="s">
        <v>896</v>
      </c>
      <c r="L92" s="4" t="str">
        <f>VLOOKUP(K92, 'Items Master'!A:E,5,0)</f>
        <v>OPAL</v>
      </c>
      <c r="M92" s="4" t="str">
        <f>VLOOKUP(K92, 'Items Master'!A:D,4,0)</f>
        <v>HDPE</v>
      </c>
      <c r="N92" s="4" t="s">
        <v>24</v>
      </c>
      <c r="Q92" s="6">
        <v>45765</v>
      </c>
      <c r="R92" s="6" t="str">
        <f>TEXT(Q92, "MMM-YY")</f>
        <v>Apr-25</v>
      </c>
      <c r="W92" s="25">
        <v>92</v>
      </c>
      <c r="Y92"/>
      <c r="Z92"/>
      <c r="AB92"/>
      <c r="AC92"/>
      <c r="AD92"/>
      <c r="AE92"/>
      <c r="AF92"/>
      <c r="AG92"/>
      <c r="AH92"/>
      <c r="AI92"/>
      <c r="AJ92"/>
      <c r="AK92"/>
      <c r="AL92"/>
      <c r="AM92"/>
      <c r="AN92" s="9">
        <f t="shared" si="2"/>
        <v>0</v>
      </c>
      <c r="AO92" s="8"/>
      <c r="AP92" s="9">
        <f>I92-W92-X92-AN92</f>
        <v>0</v>
      </c>
      <c r="AQ92" t="s">
        <v>1316</v>
      </c>
    </row>
    <row r="93" spans="1:43" x14ac:dyDescent="0.3">
      <c r="A93" s="11">
        <f t="shared" si="3"/>
        <v>91</v>
      </c>
      <c r="B93" s="5" t="s">
        <v>1675</v>
      </c>
      <c r="C93" t="s">
        <v>893</v>
      </c>
      <c r="D93" s="24" t="s">
        <v>825</v>
      </c>
      <c r="E93" s="24" t="str">
        <f>IFERROR(VLOOKUP(D93,Dropdown!A:B,2,0),D93)</f>
        <v>HARISHREE POLYMERS PRIVATE LIMITED</v>
      </c>
      <c r="F93" s="6">
        <v>45765</v>
      </c>
      <c r="G93" s="6" t="str">
        <f>TEXT(F93, "MMM-YY")</f>
        <v>Apr-25</v>
      </c>
      <c r="H93" t="s">
        <v>128</v>
      </c>
      <c r="I93" s="25">
        <v>90</v>
      </c>
      <c r="J93" s="4">
        <v>4000</v>
      </c>
      <c r="K93" t="s">
        <v>935</v>
      </c>
      <c r="L93" s="4" t="str">
        <f>VLOOKUP(K93, 'Items Master'!A:E,5,0)</f>
        <v>OPAL</v>
      </c>
      <c r="M93" s="4" t="str">
        <f>VLOOKUP(K93, 'Items Master'!A:D,4,0)</f>
        <v>HDPE</v>
      </c>
      <c r="N93" s="4" t="s">
        <v>24</v>
      </c>
      <c r="Q93" s="6">
        <v>45765</v>
      </c>
      <c r="R93" s="6" t="str">
        <f>TEXT(Q93, "MMM-YY")</f>
        <v>Apr-25</v>
      </c>
      <c r="W93" s="25">
        <v>90</v>
      </c>
      <c r="Y93"/>
      <c r="Z93"/>
      <c r="AB93"/>
      <c r="AC93"/>
      <c r="AD93"/>
      <c r="AE93"/>
      <c r="AF93"/>
      <c r="AG93"/>
      <c r="AH93"/>
      <c r="AI93"/>
      <c r="AJ93"/>
      <c r="AK93"/>
      <c r="AL93"/>
      <c r="AM93"/>
      <c r="AN93" s="9">
        <f t="shared" si="2"/>
        <v>0</v>
      </c>
      <c r="AO93" s="8"/>
      <c r="AP93" s="9">
        <f>I93-W93-X93-AN93</f>
        <v>0</v>
      </c>
      <c r="AQ93" t="s">
        <v>1316</v>
      </c>
    </row>
    <row r="94" spans="1:43" x14ac:dyDescent="0.3">
      <c r="A94" s="11">
        <f t="shared" si="3"/>
        <v>92</v>
      </c>
      <c r="B94" s="5" t="s">
        <v>1675</v>
      </c>
      <c r="C94" t="s">
        <v>893</v>
      </c>
      <c r="D94" s="24" t="s">
        <v>837</v>
      </c>
      <c r="E94" s="24" t="str">
        <f>IFERROR(VLOOKUP(D94,Dropdown!A:B,2,0),D94)</f>
        <v>SYNTHETIC PACKERS LIMITED</v>
      </c>
      <c r="F94" s="6">
        <v>45765</v>
      </c>
      <c r="G94" s="6" t="str">
        <f>TEXT(F94, "MMM-YY")</f>
        <v>Apr-25</v>
      </c>
      <c r="H94" t="s">
        <v>129</v>
      </c>
      <c r="I94" s="25">
        <v>91.25</v>
      </c>
      <c r="J94" s="4">
        <v>12500</v>
      </c>
      <c r="K94" t="s">
        <v>909</v>
      </c>
      <c r="L94" s="4" t="str">
        <f>VLOOKUP(K94, 'Items Master'!A:E,5,0)</f>
        <v>LUBAN</v>
      </c>
      <c r="M94" s="4" t="str">
        <f>VLOOKUP(K94, 'Items Master'!A:D,4,0)</f>
        <v>HDPE</v>
      </c>
      <c r="N94" s="4" t="s">
        <v>24</v>
      </c>
      <c r="Q94" s="6">
        <v>45765</v>
      </c>
      <c r="R94" s="6" t="str">
        <f>TEXT(Q94, "MMM-YY")</f>
        <v>Apr-25</v>
      </c>
      <c r="W94" s="25">
        <v>91.25</v>
      </c>
      <c r="Y94"/>
      <c r="Z94"/>
      <c r="AB94"/>
      <c r="AC94"/>
      <c r="AD94"/>
      <c r="AE94"/>
      <c r="AF94"/>
      <c r="AG94"/>
      <c r="AH94"/>
      <c r="AI94"/>
      <c r="AJ94"/>
      <c r="AK94"/>
      <c r="AL94"/>
      <c r="AM94"/>
      <c r="AN94" s="9">
        <f t="shared" si="2"/>
        <v>0</v>
      </c>
      <c r="AO94" s="8"/>
      <c r="AP94" s="9">
        <f>I94-W94-X94-AN94</f>
        <v>0</v>
      </c>
      <c r="AQ94" t="s">
        <v>1316</v>
      </c>
    </row>
    <row r="95" spans="1:43" x14ac:dyDescent="0.3">
      <c r="A95" s="11">
        <f t="shared" si="3"/>
        <v>93</v>
      </c>
      <c r="B95" s="5" t="s">
        <v>1675</v>
      </c>
      <c r="C95" t="s">
        <v>893</v>
      </c>
      <c r="D95" s="24" t="s">
        <v>848</v>
      </c>
      <c r="E95" s="24" t="str">
        <f>IFERROR(VLOOKUP(D95,Dropdown!A:B,2,0),D95)</f>
        <v>ASHOKA ENTERPRISE</v>
      </c>
      <c r="F95" s="6">
        <v>45766</v>
      </c>
      <c r="G95" s="6" t="str">
        <f>TEXT(F95, "MMM-YY")</f>
        <v>Apr-25</v>
      </c>
      <c r="H95" t="s">
        <v>130</v>
      </c>
      <c r="I95" s="25">
        <v>71.5</v>
      </c>
      <c r="J95" s="4">
        <v>15000</v>
      </c>
      <c r="K95" t="s">
        <v>936</v>
      </c>
      <c r="L95" s="4" t="str">
        <f>VLOOKUP(K95, 'Items Master'!A:E,5,0)</f>
        <v>FORMOSA</v>
      </c>
      <c r="M95" s="4" t="str">
        <f>VLOOKUP(K95, 'Items Master'!A:D,4,0)</f>
        <v>PVC</v>
      </c>
      <c r="N95" s="4" t="s">
        <v>24</v>
      </c>
      <c r="Q95" s="6">
        <v>45766</v>
      </c>
      <c r="R95" s="6" t="str">
        <f>TEXT(Q95, "MMM-YY")</f>
        <v>Apr-25</v>
      </c>
      <c r="W95" s="25">
        <v>71.5</v>
      </c>
      <c r="Y95"/>
      <c r="Z95"/>
      <c r="AB95"/>
      <c r="AC95"/>
      <c r="AD95"/>
      <c r="AE95"/>
      <c r="AF95"/>
      <c r="AG95"/>
      <c r="AH95"/>
      <c r="AI95"/>
      <c r="AJ95"/>
      <c r="AK95"/>
      <c r="AL95"/>
      <c r="AM95"/>
      <c r="AN95" s="9">
        <f t="shared" si="2"/>
        <v>0</v>
      </c>
      <c r="AO95" s="8"/>
      <c r="AP95" s="9">
        <f>I95-W95-X95-AN95</f>
        <v>0</v>
      </c>
      <c r="AQ95" t="s">
        <v>1316</v>
      </c>
    </row>
    <row r="96" spans="1:43" x14ac:dyDescent="0.3">
      <c r="A96" s="11">
        <f t="shared" si="3"/>
        <v>94</v>
      </c>
      <c r="B96" s="5" t="s">
        <v>1675</v>
      </c>
      <c r="C96" t="s">
        <v>893</v>
      </c>
      <c r="D96" s="24" t="s">
        <v>838</v>
      </c>
      <c r="E96" s="24" t="str">
        <f>IFERROR(VLOOKUP(D96,Dropdown!A:B,2,0),D96)</f>
        <v>Treenity</v>
      </c>
      <c r="F96" s="6">
        <v>45766</v>
      </c>
      <c r="G96" s="6" t="str">
        <f>TEXT(F96, "MMM-YY")</f>
        <v>Apr-25</v>
      </c>
      <c r="H96" t="s">
        <v>131</v>
      </c>
      <c r="I96" s="25">
        <v>102</v>
      </c>
      <c r="J96" s="4">
        <v>20000</v>
      </c>
      <c r="K96" t="s">
        <v>901</v>
      </c>
      <c r="L96" s="4" t="str">
        <f>VLOOKUP(K96, 'Items Master'!A:E,5,0)</f>
        <v>MRPL</v>
      </c>
      <c r="M96" s="4" t="str">
        <f>VLOOKUP(K96, 'Items Master'!A:D,4,0)</f>
        <v>PP</v>
      </c>
      <c r="N96" s="4" t="s">
        <v>49</v>
      </c>
      <c r="Q96" s="6">
        <v>45766</v>
      </c>
      <c r="R96" s="6" t="str">
        <f>TEXT(Q96, "MMM-YY")</f>
        <v>Apr-25</v>
      </c>
      <c r="U96" t="s">
        <v>1320</v>
      </c>
      <c r="W96"/>
      <c r="X96" s="8">
        <v>100.35</v>
      </c>
      <c r="Y96" t="s">
        <v>1304</v>
      </c>
      <c r="Z96" t="s">
        <v>1305</v>
      </c>
      <c r="AB96"/>
      <c r="AC96"/>
      <c r="AD96"/>
      <c r="AE96"/>
      <c r="AF96"/>
      <c r="AG96"/>
      <c r="AH96"/>
      <c r="AI96" s="8">
        <v>1.65</v>
      </c>
      <c r="AJ96"/>
      <c r="AK96"/>
      <c r="AL96"/>
      <c r="AM96"/>
      <c r="AN96" s="9">
        <f t="shared" si="2"/>
        <v>1.65</v>
      </c>
      <c r="AO96" s="8"/>
      <c r="AP96" s="9">
        <f>I96-W96-X96-AN96</f>
        <v>5.773159728050814E-15</v>
      </c>
      <c r="AQ96" t="s">
        <v>1316</v>
      </c>
    </row>
    <row r="97" spans="1:43" x14ac:dyDescent="0.3">
      <c r="A97" s="11">
        <f t="shared" si="3"/>
        <v>95</v>
      </c>
      <c r="B97" s="5" t="s">
        <v>1675</v>
      </c>
      <c r="C97" t="s">
        <v>893</v>
      </c>
      <c r="D97" s="24" t="s">
        <v>838</v>
      </c>
      <c r="E97" s="24" t="str">
        <f>IFERROR(VLOOKUP(D97,Dropdown!A:B,2,0),D97)</f>
        <v>Treenity</v>
      </c>
      <c r="F97" s="6">
        <v>45766</v>
      </c>
      <c r="G97" s="6" t="str">
        <f>TEXT(F97, "MMM-YY")</f>
        <v>Apr-25</v>
      </c>
      <c r="H97" t="s">
        <v>131</v>
      </c>
      <c r="I97" s="25">
        <v>100.55</v>
      </c>
      <c r="J97" s="4">
        <v>5000</v>
      </c>
      <c r="K97" t="s">
        <v>899</v>
      </c>
      <c r="L97" s="4" t="str">
        <f>VLOOKUP(K97, 'Items Master'!A:E,5,0)</f>
        <v>MRPL</v>
      </c>
      <c r="M97" s="4" t="str">
        <f>VLOOKUP(K97, 'Items Master'!A:D,4,0)</f>
        <v>PP</v>
      </c>
      <c r="N97" s="4" t="s">
        <v>49</v>
      </c>
      <c r="Q97" s="6">
        <v>45766</v>
      </c>
      <c r="R97" s="6" t="str">
        <f>TEXT(Q97, "MMM-YY")</f>
        <v>Apr-25</v>
      </c>
      <c r="U97" t="s">
        <v>1320</v>
      </c>
      <c r="W97"/>
      <c r="X97" s="8">
        <v>98.9</v>
      </c>
      <c r="Y97" t="s">
        <v>1304</v>
      </c>
      <c r="Z97" t="s">
        <v>1305</v>
      </c>
      <c r="AB97"/>
      <c r="AC97"/>
      <c r="AD97"/>
      <c r="AE97"/>
      <c r="AF97"/>
      <c r="AG97"/>
      <c r="AH97"/>
      <c r="AI97" s="8">
        <v>1.65</v>
      </c>
      <c r="AJ97"/>
      <c r="AK97"/>
      <c r="AL97"/>
      <c r="AM97"/>
      <c r="AN97" s="9">
        <f t="shared" si="2"/>
        <v>1.65</v>
      </c>
      <c r="AO97" s="8"/>
      <c r="AP97" s="9">
        <f>I97-W97-X97-AN97</f>
        <v>-8.4376949871511897E-15</v>
      </c>
      <c r="AQ97" t="s">
        <v>1316</v>
      </c>
    </row>
    <row r="98" spans="1:43" x14ac:dyDescent="0.3">
      <c r="A98" s="11">
        <f t="shared" si="3"/>
        <v>96</v>
      </c>
      <c r="B98" s="5" t="s">
        <v>1675</v>
      </c>
      <c r="C98" t="s">
        <v>893</v>
      </c>
      <c r="D98" s="24" t="s">
        <v>838</v>
      </c>
      <c r="E98" s="24" t="str">
        <f>IFERROR(VLOOKUP(D98,Dropdown!A:B,2,0),D98)</f>
        <v>Treenity</v>
      </c>
      <c r="F98" s="6">
        <v>45766</v>
      </c>
      <c r="G98" s="6" t="str">
        <f>TEXT(F98, "MMM-YY")</f>
        <v>Apr-25</v>
      </c>
      <c r="H98" t="s">
        <v>131</v>
      </c>
      <c r="I98" s="25">
        <v>100.4</v>
      </c>
      <c r="J98" s="4">
        <v>5000</v>
      </c>
      <c r="K98" t="s">
        <v>937</v>
      </c>
      <c r="L98" s="4" t="str">
        <f>VLOOKUP(K98, 'Items Master'!A:E,5,0)</f>
        <v>MRPL</v>
      </c>
      <c r="M98" s="4" t="str">
        <f>VLOOKUP(K98, 'Items Master'!A:D,4,0)</f>
        <v>PP</v>
      </c>
      <c r="N98" s="4" t="s">
        <v>49</v>
      </c>
      <c r="Q98" s="6">
        <v>45766</v>
      </c>
      <c r="R98" s="6" t="str">
        <f>TEXT(Q98, "MMM-YY")</f>
        <v>Apr-25</v>
      </c>
      <c r="U98" t="s">
        <v>1320</v>
      </c>
      <c r="W98"/>
      <c r="X98" s="8">
        <v>98.75</v>
      </c>
      <c r="Y98" t="s">
        <v>1304</v>
      </c>
      <c r="Z98" t="s">
        <v>1305</v>
      </c>
      <c r="AB98"/>
      <c r="AC98"/>
      <c r="AD98"/>
      <c r="AE98"/>
      <c r="AF98"/>
      <c r="AG98"/>
      <c r="AH98"/>
      <c r="AI98" s="8">
        <v>1.65</v>
      </c>
      <c r="AJ98"/>
      <c r="AK98"/>
      <c r="AL98"/>
      <c r="AM98"/>
      <c r="AN98" s="9">
        <f t="shared" si="2"/>
        <v>1.65</v>
      </c>
      <c r="AO98" s="8"/>
      <c r="AP98" s="9">
        <f>I98-W98-X98-AN98</f>
        <v>5.773159728050814E-15</v>
      </c>
      <c r="AQ98" t="s">
        <v>1316</v>
      </c>
    </row>
    <row r="99" spans="1:43" x14ac:dyDescent="0.3">
      <c r="A99" s="11">
        <f t="shared" si="3"/>
        <v>97</v>
      </c>
      <c r="B99" s="5" t="s">
        <v>1675</v>
      </c>
      <c r="C99" t="s">
        <v>893</v>
      </c>
      <c r="D99" s="24" t="s">
        <v>48</v>
      </c>
      <c r="E99" s="24" t="str">
        <f>IFERROR(VLOOKUP(D99,Dropdown!A:B,2,0),D99)</f>
        <v>CVPL</v>
      </c>
      <c r="F99" s="6">
        <v>45766</v>
      </c>
      <c r="G99" s="6" t="str">
        <f>TEXT(F99, "MMM-YY")</f>
        <v>Apr-25</v>
      </c>
      <c r="H99" t="s">
        <v>132</v>
      </c>
      <c r="I99" s="25">
        <v>100.35</v>
      </c>
      <c r="J99" s="4">
        <v>1500</v>
      </c>
      <c r="K99" t="s">
        <v>901</v>
      </c>
      <c r="L99" s="4" t="str">
        <f>VLOOKUP(K99, 'Items Master'!A:E,5,0)</f>
        <v>MRPL</v>
      </c>
      <c r="M99" s="4" t="str">
        <f>VLOOKUP(K99, 'Items Master'!A:D,4,0)</f>
        <v>PP</v>
      </c>
      <c r="N99" s="4" t="s">
        <v>49</v>
      </c>
      <c r="O99" t="s">
        <v>1293</v>
      </c>
      <c r="Q99" s="6">
        <v>45766</v>
      </c>
      <c r="R99" s="6" t="str">
        <f>TEXT(Q99, "MMM-YY")</f>
        <v>Apr-25</v>
      </c>
      <c r="X99" s="25">
        <v>102.04600000000001</v>
      </c>
      <c r="AB99"/>
      <c r="AC99"/>
      <c r="AD99"/>
      <c r="AE99"/>
      <c r="AF99"/>
      <c r="AG99"/>
      <c r="AH99"/>
      <c r="AI99"/>
      <c r="AJ99"/>
      <c r="AK99"/>
      <c r="AL99"/>
      <c r="AM99"/>
      <c r="AN99" s="9">
        <f t="shared" si="2"/>
        <v>0</v>
      </c>
      <c r="AO99" s="8"/>
      <c r="AP99" s="9">
        <f>I99-W99-X99-AN99</f>
        <v>-1.6960000000000122</v>
      </c>
      <c r="AQ99" t="s">
        <v>1324</v>
      </c>
    </row>
    <row r="100" spans="1:43" x14ac:dyDescent="0.3">
      <c r="A100" s="11">
        <f t="shared" si="3"/>
        <v>98</v>
      </c>
      <c r="B100" s="5" t="s">
        <v>1675</v>
      </c>
      <c r="C100" t="s">
        <v>893</v>
      </c>
      <c r="D100" s="24" t="s">
        <v>48</v>
      </c>
      <c r="E100" s="24" t="str">
        <f>IFERROR(VLOOKUP(D100,Dropdown!A:B,2,0),D100)</f>
        <v>CVPL</v>
      </c>
      <c r="F100" s="6">
        <v>45766</v>
      </c>
      <c r="G100" s="6" t="str">
        <f>TEXT(F100, "MMM-YY")</f>
        <v>Apr-25</v>
      </c>
      <c r="H100" t="s">
        <v>132</v>
      </c>
      <c r="I100" s="25">
        <v>98.75</v>
      </c>
      <c r="J100" s="4">
        <v>500</v>
      </c>
      <c r="K100" t="s">
        <v>937</v>
      </c>
      <c r="L100" s="4" t="str">
        <f>VLOOKUP(K100, 'Items Master'!A:E,5,0)</f>
        <v>MRPL</v>
      </c>
      <c r="M100" s="4" t="str">
        <f>VLOOKUP(K100, 'Items Master'!A:D,4,0)</f>
        <v>PP</v>
      </c>
      <c r="N100" s="4" t="s">
        <v>49</v>
      </c>
      <c r="O100" t="s">
        <v>1293</v>
      </c>
      <c r="Q100" s="6">
        <v>45766</v>
      </c>
      <c r="R100" s="6" t="str">
        <f>TEXT(Q100, "MMM-YY")</f>
        <v>Apr-25</v>
      </c>
      <c r="X100" s="25">
        <v>100.446</v>
      </c>
      <c r="AB100"/>
      <c r="AC100"/>
      <c r="AD100"/>
      <c r="AE100"/>
      <c r="AF100"/>
      <c r="AG100"/>
      <c r="AH100"/>
      <c r="AI100"/>
      <c r="AJ100"/>
      <c r="AK100"/>
      <c r="AL100"/>
      <c r="AM100"/>
      <c r="AN100" s="9">
        <f t="shared" si="2"/>
        <v>0</v>
      </c>
      <c r="AO100" s="8"/>
      <c r="AP100" s="9">
        <f>I100-W100-X100-AN100</f>
        <v>-1.695999999999998</v>
      </c>
      <c r="AQ100" t="s">
        <v>1324</v>
      </c>
    </row>
    <row r="101" spans="1:43" x14ac:dyDescent="0.3">
      <c r="A101" s="11">
        <f t="shared" si="3"/>
        <v>99</v>
      </c>
      <c r="B101" s="5" t="s">
        <v>1675</v>
      </c>
      <c r="C101" t="s">
        <v>893</v>
      </c>
      <c r="D101" s="24" t="s">
        <v>849</v>
      </c>
      <c r="E101" s="24" t="str">
        <f>IFERROR(VLOOKUP(D101,Dropdown!A:B,2,0),D101)</f>
        <v>SERVO PACKAGING LIMITED</v>
      </c>
      <c r="F101" s="6">
        <v>45766</v>
      </c>
      <c r="G101" s="6" t="str">
        <f>TEXT(F101, "MMM-YY")</f>
        <v>Apr-25</v>
      </c>
      <c r="H101" t="s">
        <v>133</v>
      </c>
      <c r="I101" s="25">
        <v>99.5</v>
      </c>
      <c r="J101" s="4">
        <v>25000</v>
      </c>
      <c r="K101" t="s">
        <v>938</v>
      </c>
      <c r="L101" s="4" t="str">
        <f>VLOOKUP(K101, 'Items Master'!A:E,5,0)</f>
        <v>EXXON</v>
      </c>
      <c r="M101" s="4" t="str">
        <f>VLOOKUP(K101, 'Items Master'!A:D,4,0)</f>
        <v>PP</v>
      </c>
      <c r="N101" s="4" t="s">
        <v>24</v>
      </c>
      <c r="Q101" s="6">
        <v>45766</v>
      </c>
      <c r="R101" s="6" t="str">
        <f>TEXT(Q101, "MMM-YY")</f>
        <v>Apr-25</v>
      </c>
      <c r="W101" s="25">
        <v>99.5</v>
      </c>
      <c r="Y101"/>
      <c r="Z101"/>
      <c r="AB101"/>
      <c r="AC101"/>
      <c r="AD101"/>
      <c r="AE101"/>
      <c r="AF101"/>
      <c r="AG101"/>
      <c r="AH101"/>
      <c r="AI101"/>
      <c r="AJ101"/>
      <c r="AK101"/>
      <c r="AL101"/>
      <c r="AM101"/>
      <c r="AN101" s="9">
        <f t="shared" si="2"/>
        <v>0</v>
      </c>
      <c r="AO101" s="8"/>
      <c r="AP101" s="9">
        <f>I101-W101-X101-AN101</f>
        <v>0</v>
      </c>
      <c r="AQ101" t="s">
        <v>1316</v>
      </c>
    </row>
    <row r="102" spans="1:43" x14ac:dyDescent="0.3">
      <c r="A102" s="11">
        <f t="shared" si="3"/>
        <v>100</v>
      </c>
      <c r="B102" s="5" t="s">
        <v>1675</v>
      </c>
      <c r="C102" t="s">
        <v>894</v>
      </c>
      <c r="D102" s="24" t="s">
        <v>846</v>
      </c>
      <c r="E102" s="24" t="str">
        <f>IFERROR(VLOOKUP(D102,Dropdown!A:B,2,0),D102)</f>
        <v>SIDDHARTH POLYMERS PRIVATE LIMITED</v>
      </c>
      <c r="F102" s="6">
        <v>45768</v>
      </c>
      <c r="G102" s="6" t="str">
        <f>TEXT(F102, "MMM-YY")</f>
        <v>Apr-25</v>
      </c>
      <c r="H102" t="s">
        <v>134</v>
      </c>
      <c r="I102" s="25">
        <v>94.5</v>
      </c>
      <c r="J102" s="4">
        <v>3000</v>
      </c>
      <c r="K102" t="s">
        <v>925</v>
      </c>
      <c r="L102" s="4" t="str">
        <f>VLOOKUP(K102, 'Items Master'!A:E,5,0)</f>
        <v>RIL</v>
      </c>
      <c r="M102" s="4" t="str">
        <f>VLOOKUP(K102, 'Items Master'!A:D,4,0)</f>
        <v>PP ICP</v>
      </c>
      <c r="N102" s="4" t="s">
        <v>24</v>
      </c>
      <c r="Q102" s="6">
        <v>45768</v>
      </c>
      <c r="R102" s="6" t="str">
        <f>TEXT(Q102, "MMM-YY")</f>
        <v>Apr-25</v>
      </c>
      <c r="W102" s="25">
        <v>94.5</v>
      </c>
      <c r="Y102"/>
      <c r="Z102"/>
      <c r="AB102"/>
      <c r="AC102"/>
      <c r="AD102"/>
      <c r="AE102"/>
      <c r="AF102"/>
      <c r="AG102"/>
      <c r="AH102"/>
      <c r="AI102"/>
      <c r="AJ102"/>
      <c r="AK102"/>
      <c r="AL102"/>
      <c r="AM102"/>
      <c r="AN102" s="9">
        <f t="shared" si="2"/>
        <v>0</v>
      </c>
      <c r="AO102" s="8"/>
      <c r="AP102" s="9">
        <f>I102-W102-X102-AN102</f>
        <v>0</v>
      </c>
      <c r="AQ102" t="s">
        <v>1316</v>
      </c>
    </row>
    <row r="103" spans="1:43" x14ac:dyDescent="0.3">
      <c r="A103" s="11">
        <f t="shared" si="3"/>
        <v>101</v>
      </c>
      <c r="B103" s="5" t="s">
        <v>1675</v>
      </c>
      <c r="C103" t="s">
        <v>893</v>
      </c>
      <c r="D103" s="24" t="s">
        <v>826</v>
      </c>
      <c r="E103" s="24" t="str">
        <f>IFERROR(VLOOKUP(D103,Dropdown!A:B,2,0),D103)</f>
        <v>Kamakya</v>
      </c>
      <c r="F103" s="6">
        <v>45768</v>
      </c>
      <c r="G103" s="6" t="str">
        <f>TEXT(F103, "MMM-YY")</f>
        <v>Apr-25</v>
      </c>
      <c r="H103" t="s">
        <v>135</v>
      </c>
      <c r="I103" s="25">
        <v>100.55</v>
      </c>
      <c r="J103" s="4">
        <v>25000</v>
      </c>
      <c r="K103" t="s">
        <v>899</v>
      </c>
      <c r="L103" s="4" t="str">
        <f>VLOOKUP(K103, 'Items Master'!A:E,5,0)</f>
        <v>MRPL</v>
      </c>
      <c r="M103" s="4" t="str">
        <f>VLOOKUP(K103, 'Items Master'!A:D,4,0)</f>
        <v>PP</v>
      </c>
      <c r="N103" s="4" t="s">
        <v>49</v>
      </c>
      <c r="Q103" s="6">
        <v>45768</v>
      </c>
      <c r="R103" s="6" t="str">
        <f>TEXT(Q103, "MMM-YY")</f>
        <v>Apr-25</v>
      </c>
      <c r="U103" t="s">
        <v>1320</v>
      </c>
      <c r="W103"/>
      <c r="X103" s="8">
        <v>98.9</v>
      </c>
      <c r="Y103" t="s">
        <v>1304</v>
      </c>
      <c r="Z103" t="s">
        <v>1305</v>
      </c>
      <c r="AB103"/>
      <c r="AC103"/>
      <c r="AD103"/>
      <c r="AE103"/>
      <c r="AF103"/>
      <c r="AG103"/>
      <c r="AH103"/>
      <c r="AI103" s="8">
        <v>1.65</v>
      </c>
      <c r="AJ103"/>
      <c r="AK103"/>
      <c r="AL103"/>
      <c r="AM103"/>
      <c r="AN103" s="9">
        <f t="shared" si="2"/>
        <v>1.65</v>
      </c>
      <c r="AO103" s="8"/>
      <c r="AP103" s="9">
        <f>I103-W103-X103-AN103</f>
        <v>-8.4376949871511897E-15</v>
      </c>
      <c r="AQ103" t="s">
        <v>1316</v>
      </c>
    </row>
    <row r="104" spans="1:43" x14ac:dyDescent="0.3">
      <c r="A104" s="11">
        <f t="shared" si="3"/>
        <v>102</v>
      </c>
      <c r="B104" s="5" t="s">
        <v>1675</v>
      </c>
      <c r="C104" t="s">
        <v>893</v>
      </c>
      <c r="D104" s="24" t="s">
        <v>840</v>
      </c>
      <c r="E104" s="24" t="str">
        <f>IFERROR(VLOOKUP(D104,Dropdown!A:B,2,0),D104)</f>
        <v>LPB Plastic Private Limited</v>
      </c>
      <c r="F104" s="6">
        <v>45768</v>
      </c>
      <c r="G104" s="6" t="str">
        <f>TEXT(F104, "MMM-YY")</f>
        <v>Apr-25</v>
      </c>
      <c r="H104" t="s">
        <v>136</v>
      </c>
      <c r="I104" s="25">
        <v>96.5</v>
      </c>
      <c r="J104" s="4">
        <v>5000</v>
      </c>
      <c r="K104" t="s">
        <v>914</v>
      </c>
      <c r="L104" s="4" t="str">
        <f>VLOOKUP(K104, 'Items Master'!A:E,5,0)</f>
        <v>HMEL</v>
      </c>
      <c r="M104" s="4" t="str">
        <f>VLOOKUP(K104, 'Items Master'!A:D,4,0)</f>
        <v>LLDPE</v>
      </c>
      <c r="N104" s="4" t="s">
        <v>24</v>
      </c>
      <c r="Q104" s="6">
        <v>45768</v>
      </c>
      <c r="R104" s="6" t="str">
        <f>TEXT(Q104, "MMM-YY")</f>
        <v>Apr-25</v>
      </c>
      <c r="W104" s="25">
        <v>96.5</v>
      </c>
      <c r="Y104"/>
      <c r="Z104"/>
      <c r="AB104"/>
      <c r="AC104"/>
      <c r="AD104"/>
      <c r="AE104"/>
      <c r="AF104"/>
      <c r="AG104"/>
      <c r="AH104"/>
      <c r="AI104"/>
      <c r="AJ104"/>
      <c r="AK104"/>
      <c r="AL104"/>
      <c r="AM104"/>
      <c r="AN104" s="9">
        <f t="shared" si="2"/>
        <v>0</v>
      </c>
      <c r="AO104" s="8"/>
      <c r="AP104" s="9">
        <f>I104-W104-X104-AN104</f>
        <v>0</v>
      </c>
      <c r="AQ104" t="s">
        <v>1316</v>
      </c>
    </row>
    <row r="105" spans="1:43" x14ac:dyDescent="0.3">
      <c r="A105" s="11">
        <f t="shared" si="3"/>
        <v>103</v>
      </c>
      <c r="B105" s="5" t="s">
        <v>1675</v>
      </c>
      <c r="C105" t="s">
        <v>893</v>
      </c>
      <c r="D105" s="24" t="s">
        <v>848</v>
      </c>
      <c r="E105" s="24" t="str">
        <f>IFERROR(VLOOKUP(D105,Dropdown!A:B,2,0),D105)</f>
        <v>ASHOKA ENTERPRISE</v>
      </c>
      <c r="F105" s="6">
        <v>45769</v>
      </c>
      <c r="G105" s="6" t="str">
        <f>TEXT(F105, "MMM-YY")</f>
        <v>Apr-25</v>
      </c>
      <c r="H105" t="s">
        <v>137</v>
      </c>
      <c r="I105" s="25">
        <v>71.25</v>
      </c>
      <c r="J105" s="4">
        <v>7000</v>
      </c>
      <c r="K105" t="s">
        <v>924</v>
      </c>
      <c r="L105" s="4" t="str">
        <f>VLOOKUP(K105, 'Items Master'!A:E,5,0)</f>
        <v>LG</v>
      </c>
      <c r="M105" s="4" t="str">
        <f>VLOOKUP(K105, 'Items Master'!A:D,4,0)</f>
        <v>PVC</v>
      </c>
      <c r="N105" s="4" t="s">
        <v>24</v>
      </c>
      <c r="Q105" s="6">
        <v>45769</v>
      </c>
      <c r="R105" s="6" t="str">
        <f>TEXT(Q105, "MMM-YY")</f>
        <v>Apr-25</v>
      </c>
      <c r="W105" s="25">
        <v>71.25</v>
      </c>
      <c r="Y105"/>
      <c r="Z105"/>
      <c r="AB105"/>
      <c r="AC105"/>
      <c r="AD105"/>
      <c r="AE105"/>
      <c r="AF105"/>
      <c r="AG105"/>
      <c r="AH105"/>
      <c r="AI105"/>
      <c r="AJ105"/>
      <c r="AK105"/>
      <c r="AL105"/>
      <c r="AM105"/>
      <c r="AN105" s="9">
        <f t="shared" si="2"/>
        <v>0</v>
      </c>
      <c r="AO105" s="8"/>
      <c r="AP105" s="9">
        <f>I105-W105-X105-AN105</f>
        <v>0</v>
      </c>
      <c r="AQ105" t="s">
        <v>1316</v>
      </c>
    </row>
    <row r="106" spans="1:43" x14ac:dyDescent="0.3">
      <c r="A106" s="11">
        <f t="shared" si="3"/>
        <v>104</v>
      </c>
      <c r="B106" s="5" t="s">
        <v>1675</v>
      </c>
      <c r="C106" t="s">
        <v>893</v>
      </c>
      <c r="D106" s="24" t="s">
        <v>848</v>
      </c>
      <c r="E106" s="24" t="str">
        <f>IFERROR(VLOOKUP(D106,Dropdown!A:B,2,0),D106)</f>
        <v>ASHOKA ENTERPRISE</v>
      </c>
      <c r="F106" s="6">
        <v>45769</v>
      </c>
      <c r="G106" s="6" t="str">
        <f>TEXT(F106, "MMM-YY")</f>
        <v>Apr-25</v>
      </c>
      <c r="H106" t="s">
        <v>137</v>
      </c>
      <c r="I106" s="25">
        <v>71.25</v>
      </c>
      <c r="J106" s="4">
        <v>3000</v>
      </c>
      <c r="K106" t="s">
        <v>936</v>
      </c>
      <c r="L106" s="4" t="str">
        <f>VLOOKUP(K106, 'Items Master'!A:E,5,0)</f>
        <v>FORMOSA</v>
      </c>
      <c r="M106" s="4" t="str">
        <f>VLOOKUP(K106, 'Items Master'!A:D,4,0)</f>
        <v>PVC</v>
      </c>
      <c r="N106" s="4" t="s">
        <v>24</v>
      </c>
      <c r="Q106" s="6">
        <v>45769</v>
      </c>
      <c r="R106" s="6" t="str">
        <f>TEXT(Q106, "MMM-YY")</f>
        <v>Apr-25</v>
      </c>
      <c r="W106" s="25">
        <v>71.25</v>
      </c>
      <c r="Y106"/>
      <c r="Z106"/>
      <c r="AB106"/>
      <c r="AC106"/>
      <c r="AD106"/>
      <c r="AE106"/>
      <c r="AF106"/>
      <c r="AG106"/>
      <c r="AH106"/>
      <c r="AI106"/>
      <c r="AJ106"/>
      <c r="AK106"/>
      <c r="AL106"/>
      <c r="AM106"/>
      <c r="AN106" s="9">
        <f t="shared" si="2"/>
        <v>0</v>
      </c>
      <c r="AO106" s="8"/>
      <c r="AP106" s="9">
        <f>I106-W106-X106-AN106</f>
        <v>0</v>
      </c>
      <c r="AQ106" t="s">
        <v>1316</v>
      </c>
    </row>
    <row r="107" spans="1:43" x14ac:dyDescent="0.3">
      <c r="A107" s="11">
        <f t="shared" si="3"/>
        <v>105</v>
      </c>
      <c r="B107" s="5" t="s">
        <v>1675</v>
      </c>
      <c r="C107" t="s">
        <v>893</v>
      </c>
      <c r="D107" s="24" t="s">
        <v>844</v>
      </c>
      <c r="E107" s="24" t="str">
        <f>IFERROR(VLOOKUP(D107,Dropdown!A:B,2,0),D107)</f>
        <v>APEX TECHNO POLYMER PRIVATE LIMITED</v>
      </c>
      <c r="F107" s="6">
        <v>45769</v>
      </c>
      <c r="G107" s="6" t="str">
        <f>TEXT(F107, "MMM-YY")</f>
        <v>Apr-25</v>
      </c>
      <c r="H107" t="s">
        <v>138</v>
      </c>
      <c r="I107" s="25">
        <v>157</v>
      </c>
      <c r="J107" s="4">
        <v>500</v>
      </c>
      <c r="K107" t="s">
        <v>930</v>
      </c>
      <c r="L107" s="4" t="str">
        <f>VLOOKUP(K107, 'Items Master'!A:E,5,0)</f>
        <v>LG</v>
      </c>
      <c r="M107" s="4" t="str">
        <f>VLOOKUP(K107, 'Items Master'!A:D,4,0)</f>
        <v>ABS</v>
      </c>
      <c r="N107" s="4" t="s">
        <v>24</v>
      </c>
      <c r="Q107" s="6">
        <v>45769</v>
      </c>
      <c r="R107" s="6" t="str">
        <f>TEXT(Q107, "MMM-YY")</f>
        <v>Apr-25</v>
      </c>
      <c r="W107" s="25">
        <v>157</v>
      </c>
      <c r="Y107"/>
      <c r="Z107"/>
      <c r="AB107"/>
      <c r="AC107"/>
      <c r="AD107"/>
      <c r="AE107"/>
      <c r="AF107"/>
      <c r="AG107"/>
      <c r="AH107"/>
      <c r="AI107"/>
      <c r="AJ107"/>
      <c r="AK107"/>
      <c r="AL107"/>
      <c r="AM107"/>
      <c r="AN107" s="9">
        <f t="shared" si="2"/>
        <v>0</v>
      </c>
      <c r="AO107" s="8"/>
      <c r="AP107" s="9">
        <f>I107-W107-X107-AN107</f>
        <v>0</v>
      </c>
      <c r="AQ107" t="s">
        <v>1316</v>
      </c>
    </row>
    <row r="108" spans="1:43" x14ac:dyDescent="0.3">
      <c r="A108" s="11">
        <f t="shared" si="3"/>
        <v>106</v>
      </c>
      <c r="B108" s="5" t="s">
        <v>1675</v>
      </c>
      <c r="C108" t="s">
        <v>893</v>
      </c>
      <c r="D108" s="24" t="s">
        <v>844</v>
      </c>
      <c r="E108" s="24" t="str">
        <f>IFERROR(VLOOKUP(D108,Dropdown!A:B,2,0),D108)</f>
        <v>APEX TECHNO POLYMER PRIVATE LIMITED</v>
      </c>
      <c r="F108" s="6">
        <v>45769</v>
      </c>
      <c r="G108" s="6" t="str">
        <f>TEXT(F108, "MMM-YY")</f>
        <v>Apr-25</v>
      </c>
      <c r="H108" t="s">
        <v>139</v>
      </c>
      <c r="I108" s="25">
        <v>165</v>
      </c>
      <c r="J108" s="4">
        <v>500</v>
      </c>
      <c r="K108" t="s">
        <v>939</v>
      </c>
      <c r="L108" s="4" t="str">
        <f>VLOOKUP(K108, 'Items Master'!A:E,5,0)</f>
        <v>UBE</v>
      </c>
      <c r="M108" s="4" t="str">
        <f>VLOOKUP(K108, 'Items Master'!A:D,4,0)</f>
        <v>Nylon</v>
      </c>
      <c r="N108" s="4" t="s">
        <v>24</v>
      </c>
      <c r="Q108" s="6">
        <v>45769</v>
      </c>
      <c r="R108" s="6" t="str">
        <f>TEXT(Q108, "MMM-YY")</f>
        <v>Apr-25</v>
      </c>
      <c r="W108" s="25">
        <v>165</v>
      </c>
      <c r="Y108"/>
      <c r="Z108"/>
      <c r="AB108"/>
      <c r="AC108"/>
      <c r="AD108"/>
      <c r="AE108"/>
      <c r="AF108"/>
      <c r="AG108"/>
      <c r="AH108"/>
      <c r="AI108"/>
      <c r="AJ108"/>
      <c r="AK108"/>
      <c r="AL108"/>
      <c r="AM108"/>
      <c r="AN108" s="9">
        <f t="shared" si="2"/>
        <v>0</v>
      </c>
      <c r="AO108" s="8"/>
      <c r="AP108" s="9">
        <f>I108-W108-X108-AN108</f>
        <v>0</v>
      </c>
      <c r="AQ108" t="s">
        <v>1316</v>
      </c>
    </row>
    <row r="109" spans="1:43" x14ac:dyDescent="0.3">
      <c r="A109" s="11">
        <f t="shared" si="3"/>
        <v>107</v>
      </c>
      <c r="B109" s="5" t="s">
        <v>1675</v>
      </c>
      <c r="C109" t="s">
        <v>893</v>
      </c>
      <c r="D109" s="24" t="s">
        <v>850</v>
      </c>
      <c r="E109" s="24" t="str">
        <f>IFERROR(VLOOKUP(D109,Dropdown!A:B,2,0),D109)</f>
        <v>SUN POLYTRADE LLP</v>
      </c>
      <c r="F109" s="6">
        <v>45769</v>
      </c>
      <c r="G109" s="6" t="str">
        <f>TEXT(F109, "MMM-YY")</f>
        <v>Apr-25</v>
      </c>
      <c r="H109" t="s">
        <v>140</v>
      </c>
      <c r="I109" s="25">
        <v>89</v>
      </c>
      <c r="J109" s="4">
        <v>30000</v>
      </c>
      <c r="K109" t="s">
        <v>909</v>
      </c>
      <c r="L109" s="4" t="str">
        <f>VLOOKUP(K109, 'Items Master'!A:E,5,0)</f>
        <v>LUBAN</v>
      </c>
      <c r="M109" s="4" t="str">
        <f>VLOOKUP(K109, 'Items Master'!A:D,4,0)</f>
        <v>HDPE</v>
      </c>
      <c r="N109" s="4" t="s">
        <v>24</v>
      </c>
      <c r="Q109" s="6">
        <v>45769</v>
      </c>
      <c r="R109" s="6" t="str">
        <f>TEXT(Q109, "MMM-YY")</f>
        <v>Apr-25</v>
      </c>
      <c r="W109" s="25">
        <v>89</v>
      </c>
      <c r="Y109"/>
      <c r="Z109"/>
      <c r="AB109"/>
      <c r="AC109"/>
      <c r="AD109"/>
      <c r="AE109"/>
      <c r="AF109"/>
      <c r="AG109"/>
      <c r="AH109"/>
      <c r="AI109"/>
      <c r="AJ109"/>
      <c r="AK109"/>
      <c r="AL109"/>
      <c r="AM109"/>
      <c r="AN109" s="9">
        <f t="shared" si="2"/>
        <v>0</v>
      </c>
      <c r="AO109" s="8"/>
      <c r="AP109" s="9">
        <f>I109-W109-X109-AN109</f>
        <v>0</v>
      </c>
      <c r="AQ109" t="s">
        <v>1316</v>
      </c>
    </row>
    <row r="110" spans="1:43" x14ac:dyDescent="0.3">
      <c r="A110" s="11">
        <f t="shared" si="3"/>
        <v>108</v>
      </c>
      <c r="B110" s="5" t="s">
        <v>1675</v>
      </c>
      <c r="C110" t="s">
        <v>893</v>
      </c>
      <c r="D110" s="24" t="s">
        <v>836</v>
      </c>
      <c r="E110" s="24" t="str">
        <f>IFERROR(VLOOKUP(D110,Dropdown!A:B,2,0),D110)</f>
        <v>Intime</v>
      </c>
      <c r="F110" s="6">
        <v>45769</v>
      </c>
      <c r="G110" s="6" t="str">
        <f>TEXT(F110, "MMM-YY")</f>
        <v>Apr-25</v>
      </c>
      <c r="H110" t="s">
        <v>141</v>
      </c>
      <c r="I110" s="25">
        <v>97.933000000000007</v>
      </c>
      <c r="J110" s="4">
        <v>13000</v>
      </c>
      <c r="K110" t="s">
        <v>911</v>
      </c>
      <c r="L110" s="4" t="str">
        <f>VLOOKUP(K110, 'Items Master'!A:E,5,0)</f>
        <v>BCPL</v>
      </c>
      <c r="M110" s="4" t="str">
        <f>VLOOKUP(K110, 'Items Master'!A:D,4,0)</f>
        <v>LLDPE</v>
      </c>
      <c r="N110" s="4" t="s">
        <v>49</v>
      </c>
      <c r="O110" t="s">
        <v>1293</v>
      </c>
      <c r="Q110" s="6">
        <v>45769</v>
      </c>
      <c r="R110" s="6" t="str">
        <f>TEXT(Q110, "MMM-YY")</f>
        <v>Apr-25</v>
      </c>
      <c r="X110" s="25">
        <v>101.09</v>
      </c>
      <c r="AB110"/>
      <c r="AC110"/>
      <c r="AD110"/>
      <c r="AE110"/>
      <c r="AF110"/>
      <c r="AG110"/>
      <c r="AH110"/>
      <c r="AI110"/>
      <c r="AJ110"/>
      <c r="AK110"/>
      <c r="AL110"/>
      <c r="AM110"/>
      <c r="AN110" s="9">
        <f t="shared" si="2"/>
        <v>0</v>
      </c>
      <c r="AO110" s="8"/>
      <c r="AP110" s="9">
        <f>I110-W110-X110-AN110</f>
        <v>-3.1569999999999965</v>
      </c>
      <c r="AQ110" t="s">
        <v>1324</v>
      </c>
    </row>
    <row r="111" spans="1:43" x14ac:dyDescent="0.3">
      <c r="A111" s="11">
        <f t="shared" si="3"/>
        <v>109</v>
      </c>
      <c r="B111" s="5" t="s">
        <v>1675</v>
      </c>
      <c r="C111" t="s">
        <v>893</v>
      </c>
      <c r="D111" s="24" t="s">
        <v>836</v>
      </c>
      <c r="E111" s="24" t="str">
        <f>IFERROR(VLOOKUP(D111,Dropdown!A:B,2,0),D111)</f>
        <v>Intime</v>
      </c>
      <c r="F111" s="6">
        <v>45769</v>
      </c>
      <c r="G111" s="6" t="str">
        <f>TEXT(F111, "MMM-YY")</f>
        <v>Apr-25</v>
      </c>
      <c r="H111" t="s">
        <v>142</v>
      </c>
      <c r="I111" s="25">
        <v>97.933000000000007</v>
      </c>
      <c r="J111" s="4">
        <v>11000</v>
      </c>
      <c r="K111" t="s">
        <v>911</v>
      </c>
      <c r="L111" s="4" t="str">
        <f>VLOOKUP(K111, 'Items Master'!A:E,5,0)</f>
        <v>BCPL</v>
      </c>
      <c r="M111" s="4" t="str">
        <f>VLOOKUP(K111, 'Items Master'!A:D,4,0)</f>
        <v>LLDPE</v>
      </c>
      <c r="N111" s="4" t="s">
        <v>49</v>
      </c>
      <c r="O111" t="s">
        <v>1293</v>
      </c>
      <c r="Q111" s="6">
        <v>45769</v>
      </c>
      <c r="R111" s="6" t="str">
        <f>TEXT(Q111, "MMM-YY")</f>
        <v>Apr-25</v>
      </c>
      <c r="X111" s="25">
        <v>101.044</v>
      </c>
      <c r="AB111"/>
      <c r="AC111"/>
      <c r="AD111"/>
      <c r="AE111"/>
      <c r="AF111"/>
      <c r="AG111"/>
      <c r="AH111"/>
      <c r="AI111"/>
      <c r="AJ111"/>
      <c r="AK111"/>
      <c r="AL111"/>
      <c r="AM111"/>
      <c r="AN111" s="9">
        <f t="shared" si="2"/>
        <v>0</v>
      </c>
      <c r="AO111" s="8"/>
      <c r="AP111" s="9">
        <f>I111-W111-X111-AN111</f>
        <v>-3.11099999999999</v>
      </c>
      <c r="AQ111" t="s">
        <v>1324</v>
      </c>
    </row>
    <row r="112" spans="1:43" x14ac:dyDescent="0.3">
      <c r="A112" s="11">
        <f t="shared" si="3"/>
        <v>110</v>
      </c>
      <c r="B112" s="5" t="s">
        <v>1675</v>
      </c>
      <c r="C112" t="s">
        <v>893</v>
      </c>
      <c r="D112" s="24" t="s">
        <v>48</v>
      </c>
      <c r="E112" s="24" t="str">
        <f>IFERROR(VLOOKUP(D112,Dropdown!A:B,2,0),D112)</f>
        <v>CVPL</v>
      </c>
      <c r="F112" s="6">
        <v>45769</v>
      </c>
      <c r="G112" s="6" t="str">
        <f>TEXT(F112, "MMM-YY")</f>
        <v>Apr-25</v>
      </c>
      <c r="H112" t="s">
        <v>143</v>
      </c>
      <c r="I112" s="25">
        <v>95.25</v>
      </c>
      <c r="J112" s="4">
        <v>1000</v>
      </c>
      <c r="K112" t="s">
        <v>902</v>
      </c>
      <c r="L112" s="4" t="str">
        <f>VLOOKUP(K112, 'Items Master'!A:E,5,0)</f>
        <v>GAIL</v>
      </c>
      <c r="M112" s="4" t="str">
        <f>VLOOKUP(K112, 'Items Master'!A:D,4,0)</f>
        <v>LLDPE</v>
      </c>
      <c r="N112" s="4" t="s">
        <v>24</v>
      </c>
      <c r="Q112" s="6">
        <v>45769</v>
      </c>
      <c r="R112" s="6" t="str">
        <f>TEXT(Q112, "MMM-YY")</f>
        <v>Apr-25</v>
      </c>
      <c r="W112" s="25">
        <v>95.25</v>
      </c>
      <c r="Y112"/>
      <c r="Z112"/>
      <c r="AB112"/>
      <c r="AC112"/>
      <c r="AD112"/>
      <c r="AE112"/>
      <c r="AF112"/>
      <c r="AG112"/>
      <c r="AH112"/>
      <c r="AI112"/>
      <c r="AJ112"/>
      <c r="AK112"/>
      <c r="AL112"/>
      <c r="AM112"/>
      <c r="AN112" s="9">
        <f t="shared" si="2"/>
        <v>0</v>
      </c>
      <c r="AO112" s="8"/>
      <c r="AP112" s="9">
        <f>I112-W112-X112-AN112</f>
        <v>0</v>
      </c>
      <c r="AQ112" t="s">
        <v>1316</v>
      </c>
    </row>
    <row r="113" spans="1:43" x14ac:dyDescent="0.3">
      <c r="A113" s="11">
        <f t="shared" si="3"/>
        <v>111</v>
      </c>
      <c r="B113" s="5" t="s">
        <v>1675</v>
      </c>
      <c r="C113" t="s">
        <v>893</v>
      </c>
      <c r="D113" s="24" t="s">
        <v>826</v>
      </c>
      <c r="E113" s="24" t="str">
        <f>IFERROR(VLOOKUP(D113,Dropdown!A:B,2,0),D113)</f>
        <v>Kamakya</v>
      </c>
      <c r="F113" s="6">
        <v>45769</v>
      </c>
      <c r="G113" s="6" t="str">
        <f>TEXT(F113, "MMM-YY")</f>
        <v>Apr-25</v>
      </c>
      <c r="H113" t="s">
        <v>144</v>
      </c>
      <c r="I113" s="25">
        <v>100.55</v>
      </c>
      <c r="J113" s="4">
        <v>10000</v>
      </c>
      <c r="K113" t="s">
        <v>899</v>
      </c>
      <c r="L113" s="4" t="str">
        <f>VLOOKUP(K113, 'Items Master'!A:E,5,0)</f>
        <v>MRPL</v>
      </c>
      <c r="M113" s="4" t="str">
        <f>VLOOKUP(K113, 'Items Master'!A:D,4,0)</f>
        <v>PP</v>
      </c>
      <c r="N113" s="4" t="s">
        <v>49</v>
      </c>
      <c r="Q113" s="6">
        <v>45769</v>
      </c>
      <c r="R113" s="6" t="str">
        <f>TEXT(Q113, "MMM-YY")</f>
        <v>Apr-25</v>
      </c>
      <c r="U113" t="s">
        <v>1320</v>
      </c>
      <c r="W113"/>
      <c r="X113" s="8">
        <v>98.9</v>
      </c>
      <c r="Y113" t="s">
        <v>1304</v>
      </c>
      <c r="Z113" t="s">
        <v>1305</v>
      </c>
      <c r="AB113"/>
      <c r="AC113"/>
      <c r="AD113"/>
      <c r="AE113"/>
      <c r="AF113"/>
      <c r="AG113"/>
      <c r="AH113"/>
      <c r="AI113" s="8">
        <v>1.65</v>
      </c>
      <c r="AJ113"/>
      <c r="AK113"/>
      <c r="AL113"/>
      <c r="AM113"/>
      <c r="AN113" s="9">
        <f t="shared" si="2"/>
        <v>1.65</v>
      </c>
      <c r="AO113" s="8"/>
      <c r="AP113" s="9">
        <f>I113-W113-X113-AN113</f>
        <v>-8.4376949871511897E-15</v>
      </c>
      <c r="AQ113" t="s">
        <v>1316</v>
      </c>
    </row>
    <row r="114" spans="1:43" x14ac:dyDescent="0.3">
      <c r="A114" s="11">
        <f t="shared" si="3"/>
        <v>112</v>
      </c>
      <c r="B114" s="5" t="s">
        <v>1675</v>
      </c>
      <c r="C114" t="s">
        <v>893</v>
      </c>
      <c r="D114" s="24" t="s">
        <v>848</v>
      </c>
      <c r="E114" s="24" t="str">
        <f>IFERROR(VLOOKUP(D114,Dropdown!A:B,2,0),D114)</f>
        <v>ASHOKA ENTERPRISE</v>
      </c>
      <c r="F114" s="6">
        <v>45770</v>
      </c>
      <c r="G114" s="6" t="str">
        <f>TEXT(F114, "MMM-YY")</f>
        <v>Apr-25</v>
      </c>
      <c r="H114" t="s">
        <v>145</v>
      </c>
      <c r="I114" s="25">
        <v>70</v>
      </c>
      <c r="J114" s="4">
        <v>16500</v>
      </c>
      <c r="K114" t="s">
        <v>924</v>
      </c>
      <c r="L114" s="4" t="str">
        <f>VLOOKUP(K114, 'Items Master'!A:E,5,0)</f>
        <v>LG</v>
      </c>
      <c r="M114" s="4" t="str">
        <f>VLOOKUP(K114, 'Items Master'!A:D,4,0)</f>
        <v>PVC</v>
      </c>
      <c r="N114" s="4" t="s">
        <v>24</v>
      </c>
      <c r="Q114" s="6">
        <v>45770</v>
      </c>
      <c r="R114" s="6" t="str">
        <f>TEXT(Q114, "MMM-YY")</f>
        <v>Apr-25</v>
      </c>
      <c r="W114" s="25">
        <v>70</v>
      </c>
      <c r="Y114"/>
      <c r="Z114"/>
      <c r="AB114"/>
      <c r="AC114"/>
      <c r="AD114"/>
      <c r="AE114"/>
      <c r="AF114"/>
      <c r="AG114"/>
      <c r="AH114"/>
      <c r="AI114"/>
      <c r="AJ114"/>
      <c r="AK114"/>
      <c r="AL114"/>
      <c r="AM114"/>
      <c r="AN114" s="9">
        <f t="shared" si="2"/>
        <v>0</v>
      </c>
      <c r="AO114" s="8"/>
      <c r="AP114" s="9">
        <f>I114-W114-X114-AN114</f>
        <v>0</v>
      </c>
      <c r="AQ114" t="s">
        <v>1316</v>
      </c>
    </row>
    <row r="115" spans="1:43" x14ac:dyDescent="0.3">
      <c r="A115" s="11">
        <f t="shared" si="3"/>
        <v>113</v>
      </c>
      <c r="B115" s="5" t="s">
        <v>1675</v>
      </c>
      <c r="C115" t="s">
        <v>893</v>
      </c>
      <c r="D115" s="24" t="s">
        <v>849</v>
      </c>
      <c r="E115" s="24" t="str">
        <f>IFERROR(VLOOKUP(D115,Dropdown!A:B,2,0),D115)</f>
        <v>SERVO PACKAGING LIMITED</v>
      </c>
      <c r="F115" s="6">
        <v>45770</v>
      </c>
      <c r="G115" s="6" t="str">
        <f>TEXT(F115, "MMM-YY")</f>
        <v>Apr-25</v>
      </c>
      <c r="H115" t="s">
        <v>146</v>
      </c>
      <c r="I115" s="25">
        <v>93</v>
      </c>
      <c r="J115" s="4">
        <v>30000</v>
      </c>
      <c r="K115" t="s">
        <v>940</v>
      </c>
      <c r="L115" s="4" t="str">
        <f>VLOOKUP(K115, 'Items Master'!A:E,5,0)</f>
        <v>SABIC</v>
      </c>
      <c r="M115" s="4" t="str">
        <f>VLOOKUP(K115, 'Items Master'!A:D,4,0)</f>
        <v>PP</v>
      </c>
      <c r="N115" s="4" t="s">
        <v>24</v>
      </c>
      <c r="Q115" s="6">
        <v>45770</v>
      </c>
      <c r="R115" s="6" t="str">
        <f>TEXT(Q115, "MMM-YY")</f>
        <v>Apr-25</v>
      </c>
      <c r="W115" s="25">
        <v>93</v>
      </c>
      <c r="AB115"/>
      <c r="AC115"/>
      <c r="AD115"/>
      <c r="AE115"/>
      <c r="AF115"/>
      <c r="AG115"/>
      <c r="AH115"/>
      <c r="AI115"/>
      <c r="AJ115"/>
      <c r="AK115"/>
      <c r="AL115"/>
      <c r="AM115"/>
      <c r="AN115" s="9">
        <f t="shared" si="2"/>
        <v>0</v>
      </c>
      <c r="AO115" s="8"/>
      <c r="AP115" s="9">
        <f>I115-W115-X115-AN115</f>
        <v>0</v>
      </c>
      <c r="AQ115" t="s">
        <v>1316</v>
      </c>
    </row>
    <row r="116" spans="1:43" x14ac:dyDescent="0.3">
      <c r="A116" s="11">
        <f t="shared" si="3"/>
        <v>114</v>
      </c>
      <c r="B116" s="5" t="s">
        <v>1675</v>
      </c>
      <c r="C116" t="s">
        <v>893</v>
      </c>
      <c r="D116" s="24" t="s">
        <v>824</v>
      </c>
      <c r="E116" s="24" t="str">
        <f>IFERROR(VLOOKUP(D116,Dropdown!A:B,2,0),D116)</f>
        <v>Paragon</v>
      </c>
      <c r="F116" s="6">
        <v>45771</v>
      </c>
      <c r="G116" s="6" t="str">
        <f>TEXT(F116, "MMM-YY")</f>
        <v>Apr-25</v>
      </c>
      <c r="H116" t="s">
        <v>147</v>
      </c>
      <c r="I116" s="25">
        <v>99.39</v>
      </c>
      <c r="J116" s="4">
        <v>500</v>
      </c>
      <c r="K116" t="s">
        <v>941</v>
      </c>
      <c r="L116" s="4" t="str">
        <f>VLOOKUP(K116, 'Items Master'!A:E,5,0)</f>
        <v>RIL</v>
      </c>
      <c r="M116" s="4" t="str">
        <f>VLOOKUP(K116, 'Items Master'!A:D,4,0)</f>
        <v>LLDPE</v>
      </c>
      <c r="N116" s="4" t="s">
        <v>49</v>
      </c>
      <c r="Q116" s="6">
        <v>45771</v>
      </c>
      <c r="R116" s="6" t="str">
        <f>TEXT(Q116, "MMM-YY")</f>
        <v>Apr-25</v>
      </c>
      <c r="X116" s="25">
        <v>99.39</v>
      </c>
      <c r="AB116"/>
      <c r="AC116"/>
      <c r="AD116"/>
      <c r="AE116"/>
      <c r="AF116"/>
      <c r="AG116"/>
      <c r="AH116"/>
      <c r="AI116"/>
      <c r="AJ116"/>
      <c r="AK116"/>
      <c r="AL116"/>
      <c r="AM116"/>
      <c r="AN116" s="9">
        <f t="shared" si="2"/>
        <v>0</v>
      </c>
      <c r="AO116" s="8"/>
      <c r="AP116" s="9">
        <f>I116-W116-X116-AN116</f>
        <v>0</v>
      </c>
      <c r="AQ116" t="s">
        <v>1324</v>
      </c>
    </row>
    <row r="117" spans="1:43" x14ac:dyDescent="0.3">
      <c r="A117" s="11">
        <f t="shared" si="3"/>
        <v>115</v>
      </c>
      <c r="B117" s="5" t="s">
        <v>1675</v>
      </c>
      <c r="C117" t="s">
        <v>893</v>
      </c>
      <c r="D117" s="24" t="s">
        <v>824</v>
      </c>
      <c r="E117" s="24" t="str">
        <f>IFERROR(VLOOKUP(D117,Dropdown!A:B,2,0),D117)</f>
        <v>Paragon</v>
      </c>
      <c r="F117" s="6">
        <v>45771</v>
      </c>
      <c r="G117" s="6" t="str">
        <f>TEXT(F117, "MMM-YY")</f>
        <v>Apr-25</v>
      </c>
      <c r="H117" t="s">
        <v>148</v>
      </c>
      <c r="I117" s="25">
        <v>99.39</v>
      </c>
      <c r="J117" s="4">
        <v>2000</v>
      </c>
      <c r="K117" t="s">
        <v>941</v>
      </c>
      <c r="L117" s="4" t="str">
        <f>VLOOKUP(K117, 'Items Master'!A:E,5,0)</f>
        <v>RIL</v>
      </c>
      <c r="M117" s="4" t="str">
        <f>VLOOKUP(K117, 'Items Master'!A:D,4,0)</f>
        <v>LLDPE</v>
      </c>
      <c r="N117" s="4" t="s">
        <v>49</v>
      </c>
      <c r="Q117" s="6">
        <v>45771</v>
      </c>
      <c r="R117" s="6" t="str">
        <f>TEXT(Q117, "MMM-YY")</f>
        <v>Apr-25</v>
      </c>
      <c r="X117" s="25">
        <v>99.39</v>
      </c>
      <c r="AB117"/>
      <c r="AC117"/>
      <c r="AD117"/>
      <c r="AE117"/>
      <c r="AF117"/>
      <c r="AG117"/>
      <c r="AH117"/>
      <c r="AI117"/>
      <c r="AJ117"/>
      <c r="AK117"/>
      <c r="AL117"/>
      <c r="AM117"/>
      <c r="AN117" s="9">
        <f t="shared" si="2"/>
        <v>0</v>
      </c>
      <c r="AO117" s="8"/>
      <c r="AP117" s="9">
        <f>I117-W117-X117-AN117</f>
        <v>0</v>
      </c>
      <c r="AQ117" t="s">
        <v>1324</v>
      </c>
    </row>
    <row r="118" spans="1:43" x14ac:dyDescent="0.3">
      <c r="A118" s="11">
        <f t="shared" si="3"/>
        <v>116</v>
      </c>
      <c r="B118" s="5" t="s">
        <v>1675</v>
      </c>
      <c r="C118" t="s">
        <v>893</v>
      </c>
      <c r="D118" s="24" t="s">
        <v>48</v>
      </c>
      <c r="E118" s="24" t="str">
        <f>IFERROR(VLOOKUP(D118,Dropdown!A:B,2,0),D118)</f>
        <v>CVPL</v>
      </c>
      <c r="F118" s="6">
        <v>45771</v>
      </c>
      <c r="G118" s="6" t="str">
        <f>TEXT(F118, "MMM-YY")</f>
        <v>Apr-25</v>
      </c>
      <c r="H118" t="s">
        <v>149</v>
      </c>
      <c r="I118" s="25">
        <v>92</v>
      </c>
      <c r="J118" s="4">
        <v>450</v>
      </c>
      <c r="K118" t="s">
        <v>942</v>
      </c>
      <c r="L118" s="4" t="str">
        <f>VLOOKUP(K118, 'Items Master'!A:E,5,0)</f>
        <v>GAIL</v>
      </c>
      <c r="M118" s="4" t="str">
        <f>VLOOKUP(K118, 'Items Master'!A:D,4,0)</f>
        <v>HDPE</v>
      </c>
      <c r="N118" s="4" t="s">
        <v>24</v>
      </c>
      <c r="Q118" s="6">
        <v>45771</v>
      </c>
      <c r="R118" s="6" t="str">
        <f>TEXT(Q118, "MMM-YY")</f>
        <v>Apr-25</v>
      </c>
      <c r="W118" s="25">
        <v>92</v>
      </c>
      <c r="Y118"/>
      <c r="Z118"/>
      <c r="AB118"/>
      <c r="AC118"/>
      <c r="AD118"/>
      <c r="AE118"/>
      <c r="AF118"/>
      <c r="AG118"/>
      <c r="AH118"/>
      <c r="AI118"/>
      <c r="AJ118"/>
      <c r="AK118"/>
      <c r="AL118"/>
      <c r="AM118"/>
      <c r="AN118" s="9">
        <f t="shared" si="2"/>
        <v>0</v>
      </c>
      <c r="AO118" s="8"/>
      <c r="AP118" s="9">
        <f>I118-W118-X118-AN118</f>
        <v>0</v>
      </c>
      <c r="AQ118" t="s">
        <v>1316</v>
      </c>
    </row>
    <row r="119" spans="1:43" x14ac:dyDescent="0.3">
      <c r="A119" s="11">
        <f t="shared" si="3"/>
        <v>117</v>
      </c>
      <c r="B119" s="5" t="s">
        <v>1675</v>
      </c>
      <c r="C119" t="s">
        <v>893</v>
      </c>
      <c r="D119" s="24" t="s">
        <v>824</v>
      </c>
      <c r="E119" s="24" t="str">
        <f>IFERROR(VLOOKUP(D119,Dropdown!A:B,2,0),D119)</f>
        <v>Paragon</v>
      </c>
      <c r="F119" s="6">
        <v>45771</v>
      </c>
      <c r="G119" s="6" t="str">
        <f>TEXT(F119, "MMM-YY")</f>
        <v>Apr-25</v>
      </c>
      <c r="H119" t="s">
        <v>150</v>
      </c>
      <c r="I119" s="25">
        <v>98.89</v>
      </c>
      <c r="J119" s="4">
        <v>10000</v>
      </c>
      <c r="K119" t="s">
        <v>915</v>
      </c>
      <c r="L119" s="4" t="str">
        <f>VLOOKUP(K119, 'Items Master'!A:E,5,0)</f>
        <v>RIL</v>
      </c>
      <c r="M119" s="4" t="str">
        <f>VLOOKUP(K119, 'Items Master'!A:D,4,0)</f>
        <v>LLDPE</v>
      </c>
      <c r="N119" s="4" t="s">
        <v>49</v>
      </c>
      <c r="Q119" s="6">
        <v>45771</v>
      </c>
      <c r="R119" s="6" t="str">
        <f>TEXT(Q119, "MMM-YY")</f>
        <v>Apr-25</v>
      </c>
      <c r="X119" s="25">
        <v>98.89</v>
      </c>
      <c r="AB119"/>
      <c r="AC119"/>
      <c r="AD119"/>
      <c r="AE119"/>
      <c r="AF119"/>
      <c r="AG119"/>
      <c r="AH119"/>
      <c r="AI119"/>
      <c r="AJ119"/>
      <c r="AK119"/>
      <c r="AL119"/>
      <c r="AM119"/>
      <c r="AN119" s="9">
        <f t="shared" si="2"/>
        <v>0</v>
      </c>
      <c r="AO119" s="8"/>
      <c r="AP119" s="9">
        <f>I119-W119-X119-AN119</f>
        <v>0</v>
      </c>
      <c r="AQ119" t="s">
        <v>1324</v>
      </c>
    </row>
    <row r="120" spans="1:43" x14ac:dyDescent="0.3">
      <c r="A120" s="11">
        <f t="shared" si="3"/>
        <v>118</v>
      </c>
      <c r="B120" s="5" t="s">
        <v>1675</v>
      </c>
      <c r="C120" t="s">
        <v>893</v>
      </c>
      <c r="D120" s="24" t="s">
        <v>842</v>
      </c>
      <c r="E120" s="24" t="str">
        <f>IFERROR(VLOOKUP(D120,Dropdown!A:B,2,0),D120)</f>
        <v>VISHAL POLYCHEM</v>
      </c>
      <c r="F120" s="6">
        <v>45772</v>
      </c>
      <c r="G120" s="6" t="str">
        <f>TEXT(F120, "MMM-YY")</f>
        <v>Apr-25</v>
      </c>
      <c r="H120" t="s">
        <v>151</v>
      </c>
      <c r="I120" s="25">
        <v>78.8</v>
      </c>
      <c r="J120" s="4">
        <v>1500</v>
      </c>
      <c r="K120" t="s">
        <v>924</v>
      </c>
      <c r="L120" s="4" t="str">
        <f>VLOOKUP(K120, 'Items Master'!A:E,5,0)</f>
        <v>LG</v>
      </c>
      <c r="M120" s="4" t="str">
        <f>VLOOKUP(K120, 'Items Master'!A:D,4,0)</f>
        <v>PVC</v>
      </c>
      <c r="N120" s="4" t="s">
        <v>24</v>
      </c>
      <c r="Q120" s="6">
        <v>45772</v>
      </c>
      <c r="R120" s="6" t="str">
        <f>TEXT(Q120, "MMM-YY")</f>
        <v>Apr-25</v>
      </c>
      <c r="W120" s="25">
        <v>78.8</v>
      </c>
      <c r="Y120"/>
      <c r="Z120"/>
      <c r="AB120"/>
      <c r="AC120"/>
      <c r="AD120"/>
      <c r="AE120"/>
      <c r="AF120"/>
      <c r="AG120"/>
      <c r="AH120"/>
      <c r="AI120"/>
      <c r="AJ120"/>
      <c r="AK120"/>
      <c r="AL120"/>
      <c r="AM120"/>
      <c r="AN120" s="9">
        <f t="shared" si="2"/>
        <v>0</v>
      </c>
      <c r="AO120" s="8"/>
      <c r="AP120" s="9">
        <f>I120-W120-X120-AN120</f>
        <v>0</v>
      </c>
      <c r="AQ120" t="s">
        <v>1316</v>
      </c>
    </row>
    <row r="121" spans="1:43" x14ac:dyDescent="0.3">
      <c r="A121" s="11">
        <f t="shared" si="3"/>
        <v>119</v>
      </c>
      <c r="B121" s="5" t="s">
        <v>1675</v>
      </c>
      <c r="C121" t="s">
        <v>893</v>
      </c>
      <c r="D121" s="24" t="s">
        <v>836</v>
      </c>
      <c r="E121" s="24" t="str">
        <f>IFERROR(VLOOKUP(D121,Dropdown!A:B,2,0),D121)</f>
        <v>Intime</v>
      </c>
      <c r="F121" s="6">
        <v>45772</v>
      </c>
      <c r="G121" s="6" t="str">
        <f>TEXT(F121, "MMM-YY")</f>
        <v>Apr-25</v>
      </c>
      <c r="H121" t="s">
        <v>152</v>
      </c>
      <c r="I121" s="25">
        <v>95.114000000000004</v>
      </c>
      <c r="J121" s="4">
        <v>3000</v>
      </c>
      <c r="K121" t="s">
        <v>942</v>
      </c>
      <c r="L121" s="4" t="str">
        <f>VLOOKUP(K121, 'Items Master'!A:E,5,0)</f>
        <v>GAIL</v>
      </c>
      <c r="M121" s="4" t="str">
        <f>VLOOKUP(K121, 'Items Master'!A:D,4,0)</f>
        <v>HDPE</v>
      </c>
      <c r="N121" s="4" t="s">
        <v>49</v>
      </c>
      <c r="O121" t="s">
        <v>1293</v>
      </c>
      <c r="Q121" s="6">
        <v>45772</v>
      </c>
      <c r="R121" s="6" t="str">
        <f>TEXT(Q121, "MMM-YY")</f>
        <v>Apr-25</v>
      </c>
      <c r="X121" s="25">
        <v>97.834000000000003</v>
      </c>
      <c r="AB121"/>
      <c r="AC121"/>
      <c r="AD121"/>
      <c r="AE121"/>
      <c r="AF121"/>
      <c r="AG121"/>
      <c r="AH121"/>
      <c r="AI121"/>
      <c r="AJ121"/>
      <c r="AK121"/>
      <c r="AL121"/>
      <c r="AM121"/>
      <c r="AN121" s="9">
        <f t="shared" si="2"/>
        <v>0</v>
      </c>
      <c r="AO121" s="8"/>
      <c r="AP121" s="9">
        <f>I121-W121-X121-AN121</f>
        <v>-2.7199999999999989</v>
      </c>
      <c r="AQ121" t="s">
        <v>1324</v>
      </c>
    </row>
    <row r="122" spans="1:43" x14ac:dyDescent="0.3">
      <c r="A122" s="11">
        <f t="shared" si="3"/>
        <v>120</v>
      </c>
      <c r="B122" s="5" t="s">
        <v>1675</v>
      </c>
      <c r="C122" t="s">
        <v>893</v>
      </c>
      <c r="D122" s="24" t="s">
        <v>836</v>
      </c>
      <c r="E122" s="24" t="str">
        <f>IFERROR(VLOOKUP(D122,Dropdown!A:B,2,0),D122)</f>
        <v>Intime</v>
      </c>
      <c r="F122" s="6">
        <v>45772</v>
      </c>
      <c r="G122" s="6" t="str">
        <f>TEXT(F122, "MMM-YY")</f>
        <v>Apr-25</v>
      </c>
      <c r="H122" t="s">
        <v>152</v>
      </c>
      <c r="I122" s="25">
        <v>97.933000000000007</v>
      </c>
      <c r="J122" s="4">
        <v>8000</v>
      </c>
      <c r="K122" t="s">
        <v>911</v>
      </c>
      <c r="L122" s="4" t="str">
        <f>VLOOKUP(K122, 'Items Master'!A:E,5,0)</f>
        <v>BCPL</v>
      </c>
      <c r="M122" s="4" t="str">
        <f>VLOOKUP(K122, 'Items Master'!A:D,4,0)</f>
        <v>LLDPE</v>
      </c>
      <c r="N122" s="4" t="s">
        <v>49</v>
      </c>
      <c r="O122" t="s">
        <v>1293</v>
      </c>
      <c r="Q122" s="6">
        <v>45772</v>
      </c>
      <c r="R122" s="6" t="str">
        <f>TEXT(Q122, "MMM-YY")</f>
        <v>Apr-25</v>
      </c>
      <c r="X122" s="25">
        <v>101.10899999999999</v>
      </c>
      <c r="AB122"/>
      <c r="AC122"/>
      <c r="AD122"/>
      <c r="AE122"/>
      <c r="AF122"/>
      <c r="AG122"/>
      <c r="AH122"/>
      <c r="AI122"/>
      <c r="AJ122"/>
      <c r="AK122"/>
      <c r="AL122"/>
      <c r="AM122"/>
      <c r="AN122" s="9">
        <f t="shared" si="2"/>
        <v>0</v>
      </c>
      <c r="AO122" s="8"/>
      <c r="AP122" s="9">
        <f>I122-W122-X122-AN122</f>
        <v>-3.1759999999999877</v>
      </c>
      <c r="AQ122" t="s">
        <v>1324</v>
      </c>
    </row>
    <row r="123" spans="1:43" x14ac:dyDescent="0.3">
      <c r="A123" s="11">
        <f t="shared" si="3"/>
        <v>121</v>
      </c>
      <c r="B123" s="5" t="s">
        <v>1675</v>
      </c>
      <c r="C123" t="s">
        <v>893</v>
      </c>
      <c r="D123" s="24" t="s">
        <v>851</v>
      </c>
      <c r="E123" s="24" t="str">
        <f>IFERROR(VLOOKUP(D123,Dropdown!A:B,2,0),D123)</f>
        <v>GUJARAT PETROSYNTHESE LIMITED</v>
      </c>
      <c r="F123" s="6">
        <v>45772</v>
      </c>
      <c r="G123" s="6" t="str">
        <f>TEXT(F123, "MMM-YY")</f>
        <v>Apr-25</v>
      </c>
      <c r="H123" t="s">
        <v>153</v>
      </c>
      <c r="I123" s="25">
        <v>140</v>
      </c>
      <c r="J123" s="4">
        <v>2</v>
      </c>
      <c r="K123" t="s">
        <v>1189</v>
      </c>
      <c r="L123" s="4" t="str">
        <f>VLOOKUP(K123, 'Items Master'!A:E,5,0)</f>
        <v>NA</v>
      </c>
      <c r="M123" s="4" t="str">
        <f>VLOOKUP(K123, 'Items Master'!A:D,4,0)</f>
        <v>ABS</v>
      </c>
      <c r="N123" s="4" t="s">
        <v>24</v>
      </c>
      <c r="Q123" s="6">
        <v>45772</v>
      </c>
      <c r="R123" s="6" t="str">
        <f>TEXT(Q123, "MMM-YY")</f>
        <v>Apr-25</v>
      </c>
      <c r="W123" s="25">
        <v>140</v>
      </c>
      <c r="Y123"/>
      <c r="Z123"/>
      <c r="AB123"/>
      <c r="AC123"/>
      <c r="AD123"/>
      <c r="AE123"/>
      <c r="AF123"/>
      <c r="AG123"/>
      <c r="AH123"/>
      <c r="AI123"/>
      <c r="AJ123"/>
      <c r="AK123"/>
      <c r="AL123"/>
      <c r="AM123"/>
      <c r="AN123" s="9">
        <f t="shared" si="2"/>
        <v>0</v>
      </c>
      <c r="AO123" s="8"/>
      <c r="AP123" s="9">
        <f>I123-W123-X123-AN123</f>
        <v>0</v>
      </c>
      <c r="AQ123" t="s">
        <v>1316</v>
      </c>
    </row>
    <row r="124" spans="1:43" x14ac:dyDescent="0.3">
      <c r="A124" s="11">
        <f t="shared" si="3"/>
        <v>122</v>
      </c>
      <c r="B124" s="5" t="s">
        <v>1675</v>
      </c>
      <c r="C124" t="s">
        <v>893</v>
      </c>
      <c r="D124" s="24" t="s">
        <v>830</v>
      </c>
      <c r="E124" s="24" t="str">
        <f>IFERROR(VLOOKUP(D124,Dropdown!A:B,2,0),D124)</f>
        <v>BULK LIQUID SOLUTIONS PVT LTD</v>
      </c>
      <c r="F124" s="6">
        <v>45772</v>
      </c>
      <c r="G124" s="6" t="str">
        <f>TEXT(F124, "MMM-YY")</f>
        <v>Apr-25</v>
      </c>
      <c r="H124" t="s">
        <v>154</v>
      </c>
      <c r="I124" s="25">
        <v>120</v>
      </c>
      <c r="J124" s="4">
        <v>24750</v>
      </c>
      <c r="K124" t="s">
        <v>943</v>
      </c>
      <c r="L124" s="4" t="str">
        <f>VLOOKUP(K124, 'Items Master'!A:E,5,0)</f>
        <v>BASELL</v>
      </c>
      <c r="M124" s="4" t="str">
        <f>VLOOKUP(K124, 'Items Master'!A:D,4,0)</f>
        <v>LDPE</v>
      </c>
      <c r="N124" s="4" t="s">
        <v>24</v>
      </c>
      <c r="Q124" s="6">
        <v>45772</v>
      </c>
      <c r="R124" s="6" t="str">
        <f>TEXT(Q124, "MMM-YY")</f>
        <v>Apr-25</v>
      </c>
      <c r="W124" s="25">
        <v>120</v>
      </c>
      <c r="Y124"/>
      <c r="Z124"/>
      <c r="AB124"/>
      <c r="AC124"/>
      <c r="AD124"/>
      <c r="AE124"/>
      <c r="AF124"/>
      <c r="AG124"/>
      <c r="AH124"/>
      <c r="AI124"/>
      <c r="AJ124"/>
      <c r="AK124"/>
      <c r="AL124"/>
      <c r="AM124"/>
      <c r="AN124" s="9">
        <f t="shared" si="2"/>
        <v>0</v>
      </c>
      <c r="AO124" s="8"/>
      <c r="AP124" s="9">
        <f>I124-W124-X124-AN124</f>
        <v>0</v>
      </c>
      <c r="AQ124" t="s">
        <v>1316</v>
      </c>
    </row>
    <row r="125" spans="1:43" x14ac:dyDescent="0.3">
      <c r="A125" s="11">
        <f t="shared" si="3"/>
        <v>123</v>
      </c>
      <c r="B125" s="5" t="s">
        <v>1675</v>
      </c>
      <c r="C125" t="s">
        <v>894</v>
      </c>
      <c r="D125" s="24" t="s">
        <v>852</v>
      </c>
      <c r="E125" s="24" t="str">
        <f>IFERROR(VLOOKUP(D125,Dropdown!A:B,2,0),D125)</f>
        <v>ADITHYA PLASTIC INDUSTRIES</v>
      </c>
      <c r="F125" s="6">
        <v>45772</v>
      </c>
      <c r="G125" s="6" t="str">
        <f>TEXT(F125, "MMM-YY")</f>
        <v>Apr-25</v>
      </c>
      <c r="H125" t="s">
        <v>155</v>
      </c>
      <c r="I125" s="25">
        <v>95.35</v>
      </c>
      <c r="J125" s="4">
        <v>25000</v>
      </c>
      <c r="K125" t="s">
        <v>899</v>
      </c>
      <c r="L125" s="4" t="str">
        <f>VLOOKUP(K125, 'Items Master'!A:E,5,0)</f>
        <v>MRPL</v>
      </c>
      <c r="M125" s="4" t="str">
        <f>VLOOKUP(K125, 'Items Master'!A:D,4,0)</f>
        <v>PP</v>
      </c>
      <c r="N125" s="4" t="s">
        <v>24</v>
      </c>
      <c r="Q125" s="6">
        <v>45772</v>
      </c>
      <c r="R125" s="6" t="str">
        <f>TEXT(Q125, "MMM-YY")</f>
        <v>Apr-25</v>
      </c>
      <c r="W125" s="25">
        <v>95.25</v>
      </c>
      <c r="Y125"/>
      <c r="Z125"/>
      <c r="AB125"/>
      <c r="AC125"/>
      <c r="AD125"/>
      <c r="AE125"/>
      <c r="AF125"/>
      <c r="AG125"/>
      <c r="AH125">
        <v>0.1</v>
      </c>
      <c r="AI125"/>
      <c r="AJ125"/>
      <c r="AK125"/>
      <c r="AL125"/>
      <c r="AM125"/>
      <c r="AN125" s="9">
        <f t="shared" si="2"/>
        <v>0.1</v>
      </c>
      <c r="AO125" s="8"/>
      <c r="AP125" s="9">
        <f>I125-W125-X125-AN125</f>
        <v>-5.6898930012039273E-15</v>
      </c>
      <c r="AQ125" t="s">
        <v>1316</v>
      </c>
    </row>
    <row r="126" spans="1:43" x14ac:dyDescent="0.3">
      <c r="A126" s="11">
        <f t="shared" si="3"/>
        <v>124</v>
      </c>
      <c r="B126" s="5" t="s">
        <v>1675</v>
      </c>
      <c r="C126" t="s">
        <v>894</v>
      </c>
      <c r="D126" s="24" t="s">
        <v>853</v>
      </c>
      <c r="E126" s="24" t="str">
        <f>IFERROR(VLOOKUP(D126,Dropdown!A:B,2,0),D126)</f>
        <v>ZETWERK MANUFACTURING BUSINESSES PRIVATE LIMITED</v>
      </c>
      <c r="F126" s="6">
        <v>45772</v>
      </c>
      <c r="G126" s="6" t="str">
        <f>TEXT(F126, "MMM-YY")</f>
        <v>Apr-25</v>
      </c>
      <c r="H126" t="s">
        <v>156</v>
      </c>
      <c r="I126" s="25">
        <v>68</v>
      </c>
      <c r="J126" s="4">
        <v>12000</v>
      </c>
      <c r="K126" t="s">
        <v>924</v>
      </c>
      <c r="L126" s="4" t="str">
        <f>VLOOKUP(K126, 'Items Master'!A:E,5,0)</f>
        <v>LG</v>
      </c>
      <c r="M126" s="4" t="str">
        <f>VLOOKUP(K126, 'Items Master'!A:D,4,0)</f>
        <v>PVC</v>
      </c>
      <c r="N126" s="4" t="s">
        <v>24</v>
      </c>
      <c r="Q126" s="6">
        <v>45772</v>
      </c>
      <c r="R126" s="6" t="str">
        <f>TEXT(Q126, "MMM-YY")</f>
        <v>Apr-25</v>
      </c>
      <c r="W126" s="25">
        <v>68</v>
      </c>
      <c r="Y126"/>
      <c r="Z126"/>
      <c r="AB126"/>
      <c r="AC126"/>
      <c r="AD126"/>
      <c r="AE126"/>
      <c r="AF126"/>
      <c r="AG126"/>
      <c r="AH126"/>
      <c r="AI126"/>
      <c r="AJ126"/>
      <c r="AK126"/>
      <c r="AL126"/>
      <c r="AM126"/>
      <c r="AN126" s="9">
        <f t="shared" si="2"/>
        <v>0</v>
      </c>
      <c r="AO126" s="8"/>
      <c r="AP126" s="9">
        <f>I126-W126-X126-AN126</f>
        <v>0</v>
      </c>
      <c r="AQ126" t="s">
        <v>1316</v>
      </c>
    </row>
    <row r="127" spans="1:43" x14ac:dyDescent="0.3">
      <c r="A127" s="11">
        <f t="shared" si="3"/>
        <v>125</v>
      </c>
      <c r="B127" s="5" t="s">
        <v>1675</v>
      </c>
      <c r="C127" t="s">
        <v>894</v>
      </c>
      <c r="D127" s="24" t="s">
        <v>853</v>
      </c>
      <c r="E127" s="24" t="str">
        <f>IFERROR(VLOOKUP(D127,Dropdown!A:B,2,0),D127)</f>
        <v>ZETWERK MANUFACTURING BUSINESSES PRIVATE LIMITED</v>
      </c>
      <c r="F127" s="6">
        <v>45773</v>
      </c>
      <c r="G127" s="6" t="str">
        <f>TEXT(F127, "MMM-YY")</f>
        <v>Apr-25</v>
      </c>
      <c r="H127" t="s">
        <v>157</v>
      </c>
      <c r="I127" s="25">
        <v>68</v>
      </c>
      <c r="J127" s="4">
        <v>17000</v>
      </c>
      <c r="K127" t="s">
        <v>924</v>
      </c>
      <c r="L127" s="4" t="str">
        <f>VLOOKUP(K127, 'Items Master'!A:E,5,0)</f>
        <v>LG</v>
      </c>
      <c r="M127" s="4" t="str">
        <f>VLOOKUP(K127, 'Items Master'!A:D,4,0)</f>
        <v>PVC</v>
      </c>
      <c r="N127" s="4" t="s">
        <v>24</v>
      </c>
      <c r="Q127" s="6">
        <v>45773</v>
      </c>
      <c r="R127" s="6" t="str">
        <f>TEXT(Q127, "MMM-YY")</f>
        <v>Apr-25</v>
      </c>
      <c r="W127" s="25">
        <v>68</v>
      </c>
      <c r="Y127"/>
      <c r="Z127"/>
      <c r="AB127"/>
      <c r="AC127"/>
      <c r="AD127"/>
      <c r="AE127"/>
      <c r="AF127"/>
      <c r="AG127"/>
      <c r="AH127"/>
      <c r="AI127"/>
      <c r="AJ127"/>
      <c r="AK127"/>
      <c r="AL127"/>
      <c r="AM127"/>
      <c r="AN127" s="9">
        <f t="shared" si="2"/>
        <v>0</v>
      </c>
      <c r="AO127" s="8"/>
      <c r="AP127" s="9">
        <f>I127-W127-X127-AN127</f>
        <v>0</v>
      </c>
      <c r="AQ127" t="s">
        <v>1316</v>
      </c>
    </row>
    <row r="128" spans="1:43" x14ac:dyDescent="0.3">
      <c r="A128" s="11">
        <f t="shared" si="3"/>
        <v>126</v>
      </c>
      <c r="B128" s="5" t="s">
        <v>1675</v>
      </c>
      <c r="C128" t="s">
        <v>894</v>
      </c>
      <c r="D128" s="24" t="s">
        <v>853</v>
      </c>
      <c r="E128" s="24" t="str">
        <f>IFERROR(VLOOKUP(D128,Dropdown!A:B,2,0),D128)</f>
        <v>ZETWERK MANUFACTURING BUSINESSES PRIVATE LIMITED</v>
      </c>
      <c r="F128" s="6">
        <v>45773</v>
      </c>
      <c r="G128" s="6" t="str">
        <f>TEXT(F128, "MMM-YY")</f>
        <v>Apr-25</v>
      </c>
      <c r="H128" t="s">
        <v>158</v>
      </c>
      <c r="I128" s="25">
        <v>68</v>
      </c>
      <c r="J128" s="4">
        <v>14000</v>
      </c>
      <c r="K128" t="s">
        <v>924</v>
      </c>
      <c r="L128" s="4" t="str">
        <f>VLOOKUP(K128, 'Items Master'!A:E,5,0)</f>
        <v>LG</v>
      </c>
      <c r="M128" s="4" t="str">
        <f>VLOOKUP(K128, 'Items Master'!A:D,4,0)</f>
        <v>PVC</v>
      </c>
      <c r="N128" s="4" t="s">
        <v>24</v>
      </c>
      <c r="Q128" s="6">
        <v>45773</v>
      </c>
      <c r="R128" s="6" t="str">
        <f>TEXT(Q128, "MMM-YY")</f>
        <v>Apr-25</v>
      </c>
      <c r="W128" s="25">
        <v>68</v>
      </c>
      <c r="Y128"/>
      <c r="Z128"/>
      <c r="AB128"/>
      <c r="AC128"/>
      <c r="AD128"/>
      <c r="AE128"/>
      <c r="AF128"/>
      <c r="AG128"/>
      <c r="AH128"/>
      <c r="AI128"/>
      <c r="AJ128"/>
      <c r="AK128"/>
      <c r="AL128"/>
      <c r="AM128"/>
      <c r="AN128" s="9">
        <f t="shared" si="2"/>
        <v>0</v>
      </c>
      <c r="AO128" s="8"/>
      <c r="AP128" s="9">
        <f>I128-W128-X128-AN128</f>
        <v>0</v>
      </c>
      <c r="AQ128" t="s">
        <v>1316</v>
      </c>
    </row>
    <row r="129" spans="1:43" x14ac:dyDescent="0.3">
      <c r="A129" s="11">
        <f t="shared" si="3"/>
        <v>127</v>
      </c>
      <c r="B129" s="5" t="s">
        <v>1675</v>
      </c>
      <c r="C129" t="s">
        <v>894</v>
      </c>
      <c r="D129" s="24" t="s">
        <v>853</v>
      </c>
      <c r="E129" s="24" t="str">
        <f>IFERROR(VLOOKUP(D129,Dropdown!A:B,2,0),D129)</f>
        <v>ZETWERK MANUFACTURING BUSINESSES PRIVATE LIMITED</v>
      </c>
      <c r="F129" s="6">
        <v>45773</v>
      </c>
      <c r="G129" s="6" t="str">
        <f>TEXT(F129, "MMM-YY")</f>
        <v>Apr-25</v>
      </c>
      <c r="H129" t="s">
        <v>159</v>
      </c>
      <c r="I129" s="25">
        <v>68</v>
      </c>
      <c r="J129" s="4">
        <v>14000</v>
      </c>
      <c r="K129" t="s">
        <v>924</v>
      </c>
      <c r="L129" s="4" t="str">
        <f>VLOOKUP(K129, 'Items Master'!A:E,5,0)</f>
        <v>LG</v>
      </c>
      <c r="M129" s="4" t="str">
        <f>VLOOKUP(K129, 'Items Master'!A:D,4,0)</f>
        <v>PVC</v>
      </c>
      <c r="N129" s="4" t="s">
        <v>24</v>
      </c>
      <c r="Q129" s="6">
        <v>45773</v>
      </c>
      <c r="R129" s="6" t="str">
        <f>TEXT(Q129, "MMM-YY")</f>
        <v>Apr-25</v>
      </c>
      <c r="W129" s="25">
        <v>68</v>
      </c>
      <c r="AB129"/>
      <c r="AC129"/>
      <c r="AD129"/>
      <c r="AE129"/>
      <c r="AF129"/>
      <c r="AG129"/>
      <c r="AH129"/>
      <c r="AI129"/>
      <c r="AJ129"/>
      <c r="AK129"/>
      <c r="AL129"/>
      <c r="AM129"/>
      <c r="AN129" s="9">
        <f t="shared" si="2"/>
        <v>0</v>
      </c>
      <c r="AO129" s="8"/>
      <c r="AP129" s="9">
        <f>I129-W129-X129-AN129</f>
        <v>0</v>
      </c>
      <c r="AQ129" t="s">
        <v>1316</v>
      </c>
    </row>
    <row r="130" spans="1:43" x14ac:dyDescent="0.3">
      <c r="A130" s="11">
        <f t="shared" si="3"/>
        <v>128</v>
      </c>
      <c r="B130" s="5" t="s">
        <v>1675</v>
      </c>
      <c r="C130" t="s">
        <v>894</v>
      </c>
      <c r="D130" s="24" t="s">
        <v>849</v>
      </c>
      <c r="E130" s="24" t="str">
        <f>IFERROR(VLOOKUP(D130,Dropdown!A:B,2,0),D130)</f>
        <v>SERVO PACKAGING LIMITED</v>
      </c>
      <c r="F130" s="6">
        <v>45773</v>
      </c>
      <c r="G130" s="6" t="str">
        <f>TEXT(F130, "MMM-YY")</f>
        <v>Apr-25</v>
      </c>
      <c r="H130" t="s">
        <v>160</v>
      </c>
      <c r="I130" s="25">
        <v>92.5</v>
      </c>
      <c r="J130" s="4">
        <v>30000</v>
      </c>
      <c r="K130" t="s">
        <v>940</v>
      </c>
      <c r="L130" s="4" t="str">
        <f>VLOOKUP(K130, 'Items Master'!A:E,5,0)</f>
        <v>SABIC</v>
      </c>
      <c r="M130" s="4" t="str">
        <f>VLOOKUP(K130, 'Items Master'!A:D,4,0)</f>
        <v>PP</v>
      </c>
      <c r="N130" s="4" t="s">
        <v>24</v>
      </c>
      <c r="Q130" s="6">
        <v>45773</v>
      </c>
      <c r="R130" s="6" t="str">
        <f>TEXT(Q130, "MMM-YY")</f>
        <v>Apr-25</v>
      </c>
      <c r="W130" s="25">
        <v>92.5</v>
      </c>
      <c r="Y130"/>
      <c r="Z130"/>
      <c r="AB130"/>
      <c r="AC130"/>
      <c r="AD130"/>
      <c r="AE130"/>
      <c r="AF130"/>
      <c r="AG130"/>
      <c r="AH130"/>
      <c r="AI130"/>
      <c r="AJ130"/>
      <c r="AK130"/>
      <c r="AL130"/>
      <c r="AM130"/>
      <c r="AN130" s="9">
        <f t="shared" si="2"/>
        <v>0</v>
      </c>
      <c r="AO130" s="8"/>
      <c r="AP130" s="9">
        <f>I130-W130-X130-AN130</f>
        <v>0</v>
      </c>
      <c r="AQ130" t="s">
        <v>1316</v>
      </c>
    </row>
    <row r="131" spans="1:43" x14ac:dyDescent="0.3">
      <c r="A131" s="11">
        <f t="shared" si="3"/>
        <v>129</v>
      </c>
      <c r="B131" s="5" t="s">
        <v>1675</v>
      </c>
      <c r="C131" t="s">
        <v>893</v>
      </c>
      <c r="D131" s="24" t="s">
        <v>824</v>
      </c>
      <c r="E131" s="24" t="str">
        <f>IFERROR(VLOOKUP(D131,Dropdown!A:B,2,0),D131)</f>
        <v>Paragon</v>
      </c>
      <c r="F131" s="6">
        <v>45775</v>
      </c>
      <c r="G131" s="6" t="str">
        <f>TEXT(F131, "MMM-YY")</f>
        <v>Apr-25</v>
      </c>
      <c r="H131" t="s">
        <v>161</v>
      </c>
      <c r="I131" s="25">
        <v>106.78</v>
      </c>
      <c r="J131" s="4">
        <v>2100</v>
      </c>
      <c r="K131" t="s">
        <v>944</v>
      </c>
      <c r="L131" s="4" t="str">
        <f>VLOOKUP(K131, 'Items Master'!A:E,5,0)</f>
        <v>RIL</v>
      </c>
      <c r="M131" s="4" t="str">
        <f>VLOOKUP(K131, 'Items Master'!A:D,4,0)</f>
        <v>PP ICP</v>
      </c>
      <c r="N131" s="4" t="s">
        <v>49</v>
      </c>
      <c r="Q131" s="6">
        <v>45775</v>
      </c>
      <c r="R131" s="6" t="str">
        <f>TEXT(Q131, "MMM-YY")</f>
        <v>Apr-25</v>
      </c>
      <c r="X131" s="25">
        <v>106.78</v>
      </c>
      <c r="AB131"/>
      <c r="AC131"/>
      <c r="AD131"/>
      <c r="AE131"/>
      <c r="AF131"/>
      <c r="AG131"/>
      <c r="AH131"/>
      <c r="AI131"/>
      <c r="AJ131"/>
      <c r="AK131"/>
      <c r="AL131"/>
      <c r="AM131"/>
      <c r="AN131" s="9">
        <f t="shared" si="2"/>
        <v>0</v>
      </c>
      <c r="AO131" s="8"/>
      <c r="AP131" s="9">
        <f>I131-W131-X131-AN131</f>
        <v>0</v>
      </c>
      <c r="AQ131" t="s">
        <v>1324</v>
      </c>
    </row>
    <row r="132" spans="1:43" x14ac:dyDescent="0.3">
      <c r="A132" s="11">
        <f t="shared" si="3"/>
        <v>130</v>
      </c>
      <c r="B132" s="5" t="s">
        <v>1675</v>
      </c>
      <c r="C132" t="s">
        <v>893</v>
      </c>
      <c r="D132" s="24" t="s">
        <v>838</v>
      </c>
      <c r="E132" s="24" t="str">
        <f>IFERROR(VLOOKUP(D132,Dropdown!A:B,2,0),D132)</f>
        <v>Treenity</v>
      </c>
      <c r="F132" s="6">
        <v>45775</v>
      </c>
      <c r="G132" s="6" t="str">
        <f>TEXT(F132, "MMM-YY")</f>
        <v>Apr-25</v>
      </c>
      <c r="H132" t="s">
        <v>162</v>
      </c>
      <c r="I132" s="25">
        <v>101.9</v>
      </c>
      <c r="J132" s="4">
        <v>25000</v>
      </c>
      <c r="K132" t="s">
        <v>899</v>
      </c>
      <c r="L132" s="4" t="str">
        <f>VLOOKUP(K132, 'Items Master'!A:E,5,0)</f>
        <v>MRPL</v>
      </c>
      <c r="M132" s="4" t="str">
        <f>VLOOKUP(K132, 'Items Master'!A:D,4,0)</f>
        <v>PP</v>
      </c>
      <c r="N132" s="4" t="s">
        <v>49</v>
      </c>
      <c r="Q132" s="6">
        <v>45775</v>
      </c>
      <c r="R132" s="6" t="str">
        <f>TEXT(Q132, "MMM-YY")</f>
        <v>Apr-25</v>
      </c>
      <c r="U132" t="s">
        <v>1320</v>
      </c>
      <c r="W132"/>
      <c r="X132" s="8">
        <v>98.9</v>
      </c>
      <c r="Y132" t="s">
        <v>1304</v>
      </c>
      <c r="Z132" t="s">
        <v>1305</v>
      </c>
      <c r="AB132"/>
      <c r="AC132"/>
      <c r="AD132"/>
      <c r="AE132"/>
      <c r="AF132"/>
      <c r="AG132"/>
      <c r="AH132"/>
      <c r="AI132" s="8">
        <v>3</v>
      </c>
      <c r="AJ132"/>
      <c r="AK132"/>
      <c r="AL132"/>
      <c r="AM132"/>
      <c r="AN132" s="9">
        <f t="shared" ref="AN132:AN196" si="4">SUM(AB132:AM132)</f>
        <v>3</v>
      </c>
      <c r="AO132" s="8"/>
      <c r="AP132" s="9">
        <f>I132-W132-X132-AN132</f>
        <v>0</v>
      </c>
      <c r="AQ132" t="s">
        <v>1316</v>
      </c>
    </row>
    <row r="133" spans="1:43" x14ac:dyDescent="0.3">
      <c r="A133" s="11">
        <f t="shared" si="3"/>
        <v>131</v>
      </c>
      <c r="B133" s="5" t="s">
        <v>1675</v>
      </c>
      <c r="C133" t="s">
        <v>893</v>
      </c>
      <c r="D133" s="24" t="s">
        <v>826</v>
      </c>
      <c r="E133" s="24" t="str">
        <f>IFERROR(VLOOKUP(D133,Dropdown!A:B,2,0),D133)</f>
        <v>Kamakya</v>
      </c>
      <c r="F133" s="6">
        <v>45775</v>
      </c>
      <c r="G133" s="6" t="str">
        <f>TEXT(F133, "MMM-YY")</f>
        <v>Apr-25</v>
      </c>
      <c r="H133" t="s">
        <v>163</v>
      </c>
      <c r="I133" s="25">
        <v>100.4</v>
      </c>
      <c r="J133" s="4">
        <v>15000</v>
      </c>
      <c r="K133" t="s">
        <v>937</v>
      </c>
      <c r="L133" s="4" t="str">
        <f>VLOOKUP(K133, 'Items Master'!A:E,5,0)</f>
        <v>MRPL</v>
      </c>
      <c r="M133" s="4" t="str">
        <f>VLOOKUP(K133, 'Items Master'!A:D,4,0)</f>
        <v>PP</v>
      </c>
      <c r="N133" s="4" t="s">
        <v>49</v>
      </c>
      <c r="Q133" s="6">
        <v>45775</v>
      </c>
      <c r="R133" s="6" t="str">
        <f>TEXT(Q133, "MMM-YY")</f>
        <v>Apr-25</v>
      </c>
      <c r="U133" t="s">
        <v>1320</v>
      </c>
      <c r="W133"/>
      <c r="X133" s="8">
        <v>98.75</v>
      </c>
      <c r="Y133" t="s">
        <v>1304</v>
      </c>
      <c r="Z133" t="s">
        <v>1305</v>
      </c>
      <c r="AB133"/>
      <c r="AC133"/>
      <c r="AD133"/>
      <c r="AE133"/>
      <c r="AF133"/>
      <c r="AG133"/>
      <c r="AH133"/>
      <c r="AI133" s="8">
        <v>1.65</v>
      </c>
      <c r="AJ133"/>
      <c r="AK133"/>
      <c r="AL133"/>
      <c r="AM133"/>
      <c r="AN133" s="9">
        <f t="shared" si="4"/>
        <v>1.65</v>
      </c>
      <c r="AO133" s="8"/>
      <c r="AP133" s="9">
        <f>I133-W133-X133-AN133</f>
        <v>5.773159728050814E-15</v>
      </c>
      <c r="AQ133" t="s">
        <v>1316</v>
      </c>
    </row>
    <row r="134" spans="1:43" x14ac:dyDescent="0.3">
      <c r="A134" s="11">
        <f t="shared" ref="A134:A198" si="5">A133+1</f>
        <v>132</v>
      </c>
      <c r="B134" s="5" t="s">
        <v>1675</v>
      </c>
      <c r="C134" t="s">
        <v>893</v>
      </c>
      <c r="D134" s="24" t="s">
        <v>826</v>
      </c>
      <c r="E134" s="24" t="str">
        <f>IFERROR(VLOOKUP(D134,Dropdown!A:B,2,0),D134)</f>
        <v>Kamakya</v>
      </c>
      <c r="F134" s="6">
        <v>45775</v>
      </c>
      <c r="G134" s="6" t="str">
        <f>TEXT(F134, "MMM-YY")</f>
        <v>Apr-25</v>
      </c>
      <c r="H134" t="s">
        <v>163</v>
      </c>
      <c r="I134" s="25">
        <v>100.55</v>
      </c>
      <c r="J134" s="4">
        <v>10000</v>
      </c>
      <c r="K134" t="s">
        <v>899</v>
      </c>
      <c r="L134" s="4" t="str">
        <f>VLOOKUP(K134, 'Items Master'!A:E,5,0)</f>
        <v>MRPL</v>
      </c>
      <c r="M134" s="4" t="str">
        <f>VLOOKUP(K134, 'Items Master'!A:D,4,0)</f>
        <v>PP</v>
      </c>
      <c r="N134" s="4" t="s">
        <v>49</v>
      </c>
      <c r="Q134" s="6">
        <v>45775</v>
      </c>
      <c r="R134" s="6" t="str">
        <f>TEXT(Q134, "MMM-YY")</f>
        <v>Apr-25</v>
      </c>
      <c r="U134" t="s">
        <v>1320</v>
      </c>
      <c r="W134"/>
      <c r="X134" s="8">
        <v>98.9</v>
      </c>
      <c r="Y134" t="s">
        <v>1304</v>
      </c>
      <c r="Z134" t="s">
        <v>1305</v>
      </c>
      <c r="AB134"/>
      <c r="AC134"/>
      <c r="AD134"/>
      <c r="AE134"/>
      <c r="AF134"/>
      <c r="AG134"/>
      <c r="AH134"/>
      <c r="AI134" s="8">
        <v>1.65</v>
      </c>
      <c r="AJ134"/>
      <c r="AK134"/>
      <c r="AL134"/>
      <c r="AM134"/>
      <c r="AN134" s="9">
        <f t="shared" si="4"/>
        <v>1.65</v>
      </c>
      <c r="AO134" s="8"/>
      <c r="AP134" s="9">
        <f>I134-W134-X134-AN134</f>
        <v>-8.4376949871511897E-15</v>
      </c>
      <c r="AQ134" t="s">
        <v>1316</v>
      </c>
    </row>
    <row r="135" spans="1:43" x14ac:dyDescent="0.3">
      <c r="A135" s="11">
        <f t="shared" si="5"/>
        <v>133</v>
      </c>
      <c r="B135" s="5" t="s">
        <v>1675</v>
      </c>
      <c r="C135" t="s">
        <v>893</v>
      </c>
      <c r="D135" s="24" t="s">
        <v>824</v>
      </c>
      <c r="E135" s="24" t="str">
        <f>IFERROR(VLOOKUP(D135,Dropdown!A:B,2,0),D135)</f>
        <v>Paragon</v>
      </c>
      <c r="F135" s="6">
        <v>45776</v>
      </c>
      <c r="G135" s="6" t="str">
        <f>TEXT(F135, "MMM-YY")</f>
        <v>Apr-25</v>
      </c>
      <c r="H135" t="s">
        <v>164</v>
      </c>
      <c r="I135" s="25">
        <v>105.98</v>
      </c>
      <c r="J135" s="4">
        <v>2000</v>
      </c>
      <c r="K135" t="s">
        <v>925</v>
      </c>
      <c r="L135" s="4" t="str">
        <f>VLOOKUP(K135, 'Items Master'!A:E,5,0)</f>
        <v>RIL</v>
      </c>
      <c r="M135" s="4" t="str">
        <f>VLOOKUP(K135, 'Items Master'!A:D,4,0)</f>
        <v>PP ICP</v>
      </c>
      <c r="N135" s="4" t="s">
        <v>49</v>
      </c>
      <c r="Q135" s="6">
        <v>45776</v>
      </c>
      <c r="R135" s="6" t="str">
        <f>TEXT(Q135, "MMM-YY")</f>
        <v>Apr-25</v>
      </c>
      <c r="X135" s="25">
        <v>105.98</v>
      </c>
      <c r="AB135"/>
      <c r="AC135"/>
      <c r="AD135"/>
      <c r="AE135"/>
      <c r="AF135"/>
      <c r="AG135"/>
      <c r="AH135"/>
      <c r="AI135"/>
      <c r="AJ135"/>
      <c r="AK135"/>
      <c r="AL135"/>
      <c r="AM135"/>
      <c r="AN135" s="9">
        <f t="shared" si="4"/>
        <v>0</v>
      </c>
      <c r="AO135" s="8"/>
      <c r="AP135" s="9">
        <f>I135-W135-X135-AN135</f>
        <v>0</v>
      </c>
      <c r="AQ135" t="s">
        <v>1324</v>
      </c>
    </row>
    <row r="136" spans="1:43" x14ac:dyDescent="0.3">
      <c r="A136" s="11">
        <f t="shared" si="5"/>
        <v>134</v>
      </c>
      <c r="B136" s="5" t="s">
        <v>1675</v>
      </c>
      <c r="C136" t="s">
        <v>893</v>
      </c>
      <c r="D136" s="24" t="s">
        <v>824</v>
      </c>
      <c r="E136" s="24" t="str">
        <f>IFERROR(VLOOKUP(D136,Dropdown!A:B,2,0),D136)</f>
        <v>Paragon</v>
      </c>
      <c r="F136" s="6">
        <v>45776</v>
      </c>
      <c r="G136" s="6" t="str">
        <f>TEXT(F136, "MMM-YY")</f>
        <v>Apr-25</v>
      </c>
      <c r="H136" t="s">
        <v>165</v>
      </c>
      <c r="I136" s="25">
        <v>120</v>
      </c>
      <c r="J136" s="4">
        <v>1000</v>
      </c>
      <c r="K136" t="s">
        <v>895</v>
      </c>
      <c r="L136" s="4" t="str">
        <f>VLOOKUP(K136, 'Items Master'!A:E,5,0)</f>
        <v>RIL</v>
      </c>
      <c r="M136" s="4" t="str">
        <f>VLOOKUP(K136, 'Items Master'!A:D,4,0)</f>
        <v>LDPE</v>
      </c>
      <c r="N136" s="4" t="s">
        <v>24</v>
      </c>
      <c r="Q136" s="6">
        <v>45776</v>
      </c>
      <c r="R136" s="6" t="str">
        <f>TEXT(Q136, "MMM-YY")</f>
        <v>Apr-25</v>
      </c>
      <c r="W136" s="25">
        <v>120</v>
      </c>
      <c r="X136"/>
      <c r="Y136"/>
      <c r="Z136"/>
      <c r="AB136"/>
      <c r="AC136"/>
      <c r="AD136"/>
      <c r="AE136"/>
      <c r="AF136"/>
      <c r="AG136"/>
      <c r="AH136"/>
      <c r="AI136"/>
      <c r="AJ136"/>
      <c r="AK136"/>
      <c r="AL136"/>
      <c r="AM136"/>
      <c r="AN136" s="9">
        <f t="shared" si="4"/>
        <v>0</v>
      </c>
      <c r="AO136" s="8"/>
      <c r="AP136" s="9">
        <f>I136-W136-X136-AN136</f>
        <v>0</v>
      </c>
      <c r="AQ136" t="s">
        <v>1316</v>
      </c>
    </row>
    <row r="137" spans="1:43" x14ac:dyDescent="0.3">
      <c r="A137" s="11">
        <f t="shared" si="5"/>
        <v>135</v>
      </c>
      <c r="B137" s="5" t="s">
        <v>1675</v>
      </c>
      <c r="C137" t="s">
        <v>893</v>
      </c>
      <c r="D137" s="24" t="s">
        <v>48</v>
      </c>
      <c r="E137" s="24" t="str">
        <f>IFERROR(VLOOKUP(D137,Dropdown!A:B,2,0),D137)</f>
        <v>CVPL</v>
      </c>
      <c r="F137" s="6">
        <v>45776</v>
      </c>
      <c r="G137" s="6" t="str">
        <f>TEXT(F137, "MMM-YY")</f>
        <v>Apr-25</v>
      </c>
      <c r="H137" t="s">
        <v>166</v>
      </c>
      <c r="I137" s="25">
        <v>120.5</v>
      </c>
      <c r="J137" s="4">
        <v>100</v>
      </c>
      <c r="K137" t="s">
        <v>895</v>
      </c>
      <c r="L137" s="4" t="str">
        <f>VLOOKUP(K137, 'Items Master'!A:E,5,0)</f>
        <v>RIL</v>
      </c>
      <c r="M137" s="4" t="str">
        <f>VLOOKUP(K137, 'Items Master'!A:D,4,0)</f>
        <v>LDPE</v>
      </c>
      <c r="N137" s="4" t="s">
        <v>24</v>
      </c>
      <c r="Q137" s="6">
        <v>45776</v>
      </c>
      <c r="R137" s="6" t="str">
        <f>TEXT(Q137, "MMM-YY")</f>
        <v>Apr-25</v>
      </c>
      <c r="W137" s="25">
        <v>120.5</v>
      </c>
      <c r="Y137"/>
      <c r="Z137"/>
      <c r="AB137"/>
      <c r="AC137"/>
      <c r="AD137"/>
      <c r="AE137"/>
      <c r="AF137"/>
      <c r="AG137"/>
      <c r="AH137"/>
      <c r="AI137"/>
      <c r="AJ137"/>
      <c r="AK137"/>
      <c r="AL137"/>
      <c r="AM137"/>
      <c r="AN137" s="9">
        <f t="shared" si="4"/>
        <v>0</v>
      </c>
      <c r="AO137" s="8"/>
      <c r="AP137" s="9">
        <f>I137-W137-X137-AN137</f>
        <v>0</v>
      </c>
      <c r="AQ137" t="s">
        <v>1316</v>
      </c>
    </row>
    <row r="138" spans="1:43" x14ac:dyDescent="0.3">
      <c r="A138" s="11">
        <f t="shared" si="5"/>
        <v>136</v>
      </c>
      <c r="B138" s="5" t="s">
        <v>1675</v>
      </c>
      <c r="C138" t="s">
        <v>893</v>
      </c>
      <c r="D138" s="24" t="s">
        <v>48</v>
      </c>
      <c r="E138" s="24" t="str">
        <f>IFERROR(VLOOKUP(D138,Dropdown!A:B,2,0),D138)</f>
        <v>CVPL</v>
      </c>
      <c r="F138" s="6">
        <v>45776</v>
      </c>
      <c r="G138" s="6" t="str">
        <f>TEXT(F138, "MMM-YY")</f>
        <v>Apr-25</v>
      </c>
      <c r="H138" t="s">
        <v>166</v>
      </c>
      <c r="I138" s="25">
        <v>94</v>
      </c>
      <c r="J138" s="4">
        <v>1000</v>
      </c>
      <c r="K138" t="s">
        <v>903</v>
      </c>
      <c r="L138" s="4" t="str">
        <f>VLOOKUP(K138, 'Items Master'!A:E,5,0)</f>
        <v>GAIL</v>
      </c>
      <c r="M138" s="4" t="str">
        <f>VLOOKUP(K138, 'Items Master'!A:D,4,0)</f>
        <v>LLDPE</v>
      </c>
      <c r="N138" s="4" t="s">
        <v>24</v>
      </c>
      <c r="Q138" s="6">
        <v>45776</v>
      </c>
      <c r="R138" s="6" t="str">
        <f>TEXT(Q138, "MMM-YY")</f>
        <v>Apr-25</v>
      </c>
      <c r="W138" s="25">
        <v>94</v>
      </c>
      <c r="Y138"/>
      <c r="Z138"/>
      <c r="AB138"/>
      <c r="AC138"/>
      <c r="AD138"/>
      <c r="AE138"/>
      <c r="AF138"/>
      <c r="AG138"/>
      <c r="AH138"/>
      <c r="AI138"/>
      <c r="AJ138"/>
      <c r="AK138"/>
      <c r="AL138"/>
      <c r="AM138"/>
      <c r="AN138" s="9">
        <f t="shared" si="4"/>
        <v>0</v>
      </c>
      <c r="AO138" s="8"/>
      <c r="AP138" s="9">
        <f>I138-W138-X138-AN138</f>
        <v>0</v>
      </c>
      <c r="AQ138" t="s">
        <v>1316</v>
      </c>
    </row>
    <row r="139" spans="1:43" x14ac:dyDescent="0.3">
      <c r="A139" s="11">
        <f t="shared" si="5"/>
        <v>137</v>
      </c>
      <c r="B139" s="5" t="s">
        <v>1675</v>
      </c>
      <c r="C139" t="s">
        <v>893</v>
      </c>
      <c r="D139" s="24" t="s">
        <v>840</v>
      </c>
      <c r="E139" s="24" t="str">
        <f>IFERROR(VLOOKUP(D139,Dropdown!A:B,2,0),D139)</f>
        <v>LPB Plastic Private Limited</v>
      </c>
      <c r="F139" s="6">
        <v>45776</v>
      </c>
      <c r="G139" s="6" t="str">
        <f>TEXT(F139, "MMM-YY")</f>
        <v>Apr-25</v>
      </c>
      <c r="H139" t="s">
        <v>167</v>
      </c>
      <c r="I139" s="25">
        <v>95</v>
      </c>
      <c r="J139" s="4">
        <v>2500</v>
      </c>
      <c r="K139" t="s">
        <v>17</v>
      </c>
      <c r="L139" s="4" t="str">
        <f>VLOOKUP(K139, 'Items Master'!A:E,5,0)</f>
        <v>OPAL</v>
      </c>
      <c r="M139" s="4" t="str">
        <f>VLOOKUP(K139, 'Items Master'!A:D,4,0)</f>
        <v>LLDPE</v>
      </c>
      <c r="N139" s="4" t="s">
        <v>24</v>
      </c>
      <c r="Q139" s="6">
        <v>45776</v>
      </c>
      <c r="R139" s="6" t="str">
        <f>TEXT(Q139, "MMM-YY")</f>
        <v>Apr-25</v>
      </c>
      <c r="W139" s="25">
        <v>95</v>
      </c>
      <c r="Y139"/>
      <c r="Z139"/>
      <c r="AB139"/>
      <c r="AC139"/>
      <c r="AD139"/>
      <c r="AE139"/>
      <c r="AF139"/>
      <c r="AG139"/>
      <c r="AH139"/>
      <c r="AI139"/>
      <c r="AJ139"/>
      <c r="AK139"/>
      <c r="AL139"/>
      <c r="AM139"/>
      <c r="AN139" s="9">
        <f t="shared" si="4"/>
        <v>0</v>
      </c>
      <c r="AO139" s="8"/>
      <c r="AP139" s="9">
        <f>I139-W139-X139-AN139</f>
        <v>0</v>
      </c>
      <c r="AQ139" t="s">
        <v>1316</v>
      </c>
    </row>
    <row r="140" spans="1:43" x14ac:dyDescent="0.3">
      <c r="A140" s="11">
        <f t="shared" si="5"/>
        <v>138</v>
      </c>
      <c r="B140" s="5" t="s">
        <v>1675</v>
      </c>
      <c r="C140" t="s">
        <v>893</v>
      </c>
      <c r="D140" s="24" t="s">
        <v>854</v>
      </c>
      <c r="E140" s="24" t="str">
        <f>IFERROR(VLOOKUP(D140,Dropdown!A:B,2,0),D140)</f>
        <v>GOTAWAT INDUSTRIES</v>
      </c>
      <c r="F140" s="6">
        <v>45776</v>
      </c>
      <c r="G140" s="6" t="str">
        <f>TEXT(F140, "MMM-YY")</f>
        <v>Apr-25</v>
      </c>
      <c r="H140" t="s">
        <v>168</v>
      </c>
      <c r="I140" s="25">
        <v>99</v>
      </c>
      <c r="J140" s="4">
        <v>10000</v>
      </c>
      <c r="K140" t="s">
        <v>910</v>
      </c>
      <c r="L140" s="4" t="str">
        <f>VLOOKUP(K140, 'Items Master'!A:E,5,0)</f>
        <v>RIL</v>
      </c>
      <c r="M140" s="4" t="str">
        <f>VLOOKUP(K140, 'Items Master'!A:D,4,0)</f>
        <v>PP</v>
      </c>
      <c r="N140" s="4" t="s">
        <v>24</v>
      </c>
      <c r="Q140" s="6">
        <v>45776</v>
      </c>
      <c r="R140" s="6" t="str">
        <f>TEXT(Q140, "MMM-YY")</f>
        <v>Apr-25</v>
      </c>
      <c r="W140" s="25">
        <v>99</v>
      </c>
      <c r="Y140"/>
      <c r="Z140"/>
      <c r="AB140"/>
      <c r="AC140"/>
      <c r="AD140"/>
      <c r="AE140"/>
      <c r="AF140"/>
      <c r="AG140"/>
      <c r="AH140"/>
      <c r="AI140"/>
      <c r="AJ140"/>
      <c r="AK140"/>
      <c r="AL140"/>
      <c r="AM140"/>
      <c r="AN140" s="9">
        <f t="shared" si="4"/>
        <v>0</v>
      </c>
      <c r="AO140" s="8"/>
      <c r="AP140" s="9">
        <f>I140-W140-X140-AN140</f>
        <v>0</v>
      </c>
      <c r="AQ140" t="s">
        <v>1316</v>
      </c>
    </row>
    <row r="141" spans="1:43" x14ac:dyDescent="0.3">
      <c r="A141" s="11">
        <f t="shared" si="5"/>
        <v>139</v>
      </c>
      <c r="B141" s="5" t="s">
        <v>1676</v>
      </c>
      <c r="C141" t="s">
        <v>893</v>
      </c>
      <c r="D141" s="24" t="s">
        <v>829</v>
      </c>
      <c r="E141" s="24" t="str">
        <f>IFERROR(VLOOKUP(D141,Dropdown!A:B,2,0),D141)</f>
        <v>NAGASHREE INDUSTRIES</v>
      </c>
      <c r="F141" s="6">
        <v>45776</v>
      </c>
      <c r="G141" s="6" t="str">
        <f>TEXT(F141, "MMM-YY")</f>
        <v>Apr-25</v>
      </c>
      <c r="H141" t="s">
        <v>1678</v>
      </c>
      <c r="I141" s="25">
        <v>107</v>
      </c>
      <c r="J141" s="4">
        <v>-350</v>
      </c>
      <c r="K141" t="s">
        <v>904</v>
      </c>
      <c r="L141" s="4" t="str">
        <f>VLOOKUP(K141, 'Items Master'!A:E,5,0)</f>
        <v>BOROUGE</v>
      </c>
      <c r="M141" s="4" t="str">
        <f>VLOOKUP(K141, 'Items Master'!A:D,4,0)</f>
        <v>PP RCP</v>
      </c>
      <c r="N141" s="4" t="s">
        <v>24</v>
      </c>
      <c r="Q141" s="6">
        <v>45776</v>
      </c>
      <c r="R141" s="6" t="str">
        <f>TEXT(Q141, "MMM-YY")</f>
        <v>Apr-25</v>
      </c>
      <c r="W141" s="25">
        <v>107</v>
      </c>
      <c r="Y141"/>
      <c r="Z141"/>
      <c r="AB141"/>
      <c r="AC141"/>
      <c r="AD141"/>
      <c r="AE141"/>
      <c r="AF141"/>
      <c r="AG141"/>
      <c r="AH141"/>
      <c r="AI141"/>
      <c r="AJ141"/>
      <c r="AK141"/>
      <c r="AL141"/>
      <c r="AM141"/>
      <c r="AN141" s="9">
        <f t="shared" ref="AN141" si="6">SUM(AB141:AM141)</f>
        <v>0</v>
      </c>
      <c r="AO141" s="8"/>
      <c r="AP141" s="9">
        <f>I141-W141-X141-AN141</f>
        <v>0</v>
      </c>
      <c r="AQ141" t="s">
        <v>1316</v>
      </c>
    </row>
    <row r="142" spans="1:43" x14ac:dyDescent="0.3">
      <c r="A142" s="11">
        <f t="shared" si="5"/>
        <v>140</v>
      </c>
      <c r="B142" s="5" t="s">
        <v>1675</v>
      </c>
      <c r="C142" t="s">
        <v>893</v>
      </c>
      <c r="D142" s="24" t="s">
        <v>824</v>
      </c>
      <c r="E142" s="24" t="str">
        <f>IFERROR(VLOOKUP(D142,Dropdown!A:B,2,0),D142)</f>
        <v>Paragon</v>
      </c>
      <c r="F142" s="6">
        <v>45777</v>
      </c>
      <c r="G142" s="6" t="str">
        <f>TEXT(F142, "MMM-YY")</f>
        <v>Apr-25</v>
      </c>
      <c r="H142" t="s">
        <v>169</v>
      </c>
      <c r="I142" s="25">
        <v>98.89</v>
      </c>
      <c r="J142" s="4">
        <v>2500</v>
      </c>
      <c r="K142" t="s">
        <v>915</v>
      </c>
      <c r="L142" s="4" t="str">
        <f>VLOOKUP(K142, 'Items Master'!A:E,5,0)</f>
        <v>RIL</v>
      </c>
      <c r="M142" s="4" t="str">
        <f>VLOOKUP(K142, 'Items Master'!A:D,4,0)</f>
        <v>LLDPE</v>
      </c>
      <c r="N142" s="4" t="s">
        <v>49</v>
      </c>
      <c r="Q142" s="6">
        <v>45777</v>
      </c>
      <c r="R142" s="6" t="str">
        <f>TEXT(Q142, "MMM-YY")</f>
        <v>Apr-25</v>
      </c>
      <c r="X142" s="25">
        <v>98.89</v>
      </c>
      <c r="AB142"/>
      <c r="AC142"/>
      <c r="AD142"/>
      <c r="AE142"/>
      <c r="AF142"/>
      <c r="AG142"/>
      <c r="AH142"/>
      <c r="AI142"/>
      <c r="AJ142"/>
      <c r="AK142"/>
      <c r="AL142"/>
      <c r="AM142"/>
      <c r="AN142" s="9">
        <f t="shared" si="4"/>
        <v>0</v>
      </c>
      <c r="AO142" s="8"/>
      <c r="AP142" s="9">
        <f>I142-W142-X142-AN142</f>
        <v>0</v>
      </c>
      <c r="AQ142" t="s">
        <v>1324</v>
      </c>
    </row>
    <row r="143" spans="1:43" x14ac:dyDescent="0.3">
      <c r="A143" s="11">
        <f t="shared" si="5"/>
        <v>141</v>
      </c>
      <c r="B143" s="5" t="s">
        <v>1675</v>
      </c>
      <c r="C143" t="s">
        <v>893</v>
      </c>
      <c r="D143" s="24" t="s">
        <v>855</v>
      </c>
      <c r="E143" s="24" t="str">
        <f>IFERROR(VLOOKUP(D143,Dropdown!A:B,2,0),D143)</f>
        <v>TEGRAL INDIA PRIVATE LIMITED</v>
      </c>
      <c r="F143" s="6">
        <v>45777</v>
      </c>
      <c r="G143" s="6" t="str">
        <f>TEXT(F143, "MMM-YY")</f>
        <v>Apr-25</v>
      </c>
      <c r="H143" t="s">
        <v>170</v>
      </c>
      <c r="I143" s="25">
        <v>100</v>
      </c>
      <c r="J143" s="4">
        <v>14250</v>
      </c>
      <c r="K143" t="s">
        <v>904</v>
      </c>
      <c r="L143" s="4" t="str">
        <f>VLOOKUP(K143, 'Items Master'!A:E,5,0)</f>
        <v>BOROUGE</v>
      </c>
      <c r="M143" s="4" t="str">
        <f>VLOOKUP(K143, 'Items Master'!A:D,4,0)</f>
        <v>PP RCP</v>
      </c>
      <c r="N143" s="4" t="s">
        <v>24</v>
      </c>
      <c r="Q143" s="6">
        <v>45777</v>
      </c>
      <c r="R143" s="6" t="str">
        <f>TEXT(Q143, "MMM-YY")</f>
        <v>Apr-25</v>
      </c>
      <c r="W143" s="25">
        <v>100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 s="9">
        <f t="shared" si="4"/>
        <v>0</v>
      </c>
      <c r="AO143" s="8"/>
      <c r="AP143" s="9">
        <f>I143-W143-X143-AN143</f>
        <v>0</v>
      </c>
      <c r="AQ143" t="s">
        <v>1316</v>
      </c>
    </row>
    <row r="144" spans="1:43" x14ac:dyDescent="0.3">
      <c r="A144" s="11">
        <f t="shared" si="5"/>
        <v>142</v>
      </c>
      <c r="B144" s="5" t="s">
        <v>1675</v>
      </c>
      <c r="C144" t="s">
        <v>893</v>
      </c>
      <c r="D144" s="24" t="s">
        <v>855</v>
      </c>
      <c r="E144" s="24" t="str">
        <f>IFERROR(VLOOKUP(D144,Dropdown!A:B,2,0),D144)</f>
        <v>TEGRAL INDIA PRIVATE LIMITED</v>
      </c>
      <c r="F144" s="6">
        <v>45777</v>
      </c>
      <c r="G144" s="6" t="str">
        <f>TEXT(F144, "MMM-YY")</f>
        <v>Apr-25</v>
      </c>
      <c r="H144" t="s">
        <v>170</v>
      </c>
      <c r="I144" s="25">
        <v>100</v>
      </c>
      <c r="J144" s="4">
        <v>1750</v>
      </c>
      <c r="K144" t="s">
        <v>904</v>
      </c>
      <c r="L144" s="4" t="str">
        <f>VLOOKUP(K144, 'Items Master'!A:E,5,0)</f>
        <v>BOROUGE</v>
      </c>
      <c r="M144" s="4" t="str">
        <f>VLOOKUP(K144, 'Items Master'!A:D,4,0)</f>
        <v>PP RCP</v>
      </c>
      <c r="N144" s="4" t="s">
        <v>24</v>
      </c>
      <c r="Q144" s="6">
        <v>45777</v>
      </c>
      <c r="R144" s="6" t="str">
        <f>TEXT(Q144, "MMM-YY")</f>
        <v>Apr-25</v>
      </c>
      <c r="W144" s="25">
        <v>100</v>
      </c>
      <c r="Y144"/>
      <c r="Z144"/>
      <c r="AB144"/>
      <c r="AC144"/>
      <c r="AD144"/>
      <c r="AE144"/>
      <c r="AF144"/>
      <c r="AG144"/>
      <c r="AH144"/>
      <c r="AI144"/>
      <c r="AJ144"/>
      <c r="AK144"/>
      <c r="AL144"/>
      <c r="AM144"/>
      <c r="AN144" s="9">
        <f t="shared" si="4"/>
        <v>0</v>
      </c>
      <c r="AO144" s="8"/>
      <c r="AP144" s="9">
        <f>I144-W144-X144-AN144</f>
        <v>0</v>
      </c>
      <c r="AQ144" t="s">
        <v>1316</v>
      </c>
    </row>
    <row r="145" spans="1:43" x14ac:dyDescent="0.3">
      <c r="A145" s="11">
        <f t="shared" si="5"/>
        <v>143</v>
      </c>
      <c r="B145" s="5" t="s">
        <v>1675</v>
      </c>
      <c r="C145" t="s">
        <v>893</v>
      </c>
      <c r="D145" s="24" t="s">
        <v>824</v>
      </c>
      <c r="E145" s="24" t="str">
        <f>IFERROR(VLOOKUP(D145,Dropdown!A:B,2,0),D145)</f>
        <v>Paragon</v>
      </c>
      <c r="F145" s="6">
        <v>45777</v>
      </c>
      <c r="G145" s="6" t="str">
        <f>TEXT(F145, "MMM-YY")</f>
        <v>Apr-25</v>
      </c>
      <c r="H145" t="s">
        <v>171</v>
      </c>
      <c r="I145" s="25">
        <v>105.98</v>
      </c>
      <c r="J145" s="4">
        <v>1700</v>
      </c>
      <c r="K145" t="s">
        <v>925</v>
      </c>
      <c r="L145" s="4" t="str">
        <f>VLOOKUP(K145, 'Items Master'!A:E,5,0)</f>
        <v>RIL</v>
      </c>
      <c r="M145" s="4" t="str">
        <f>VLOOKUP(K145, 'Items Master'!A:D,4,0)</f>
        <v>PP ICP</v>
      </c>
      <c r="N145" s="4" t="s">
        <v>49</v>
      </c>
      <c r="Q145" s="6">
        <v>45777</v>
      </c>
      <c r="R145" s="6" t="str">
        <f>TEXT(Q145, "MMM-YY")</f>
        <v>Apr-25</v>
      </c>
      <c r="X145" s="25">
        <v>105.98</v>
      </c>
      <c r="AB145"/>
      <c r="AC145"/>
      <c r="AD145"/>
      <c r="AE145"/>
      <c r="AF145"/>
      <c r="AG145"/>
      <c r="AH145"/>
      <c r="AI145"/>
      <c r="AJ145"/>
      <c r="AK145"/>
      <c r="AL145"/>
      <c r="AM145"/>
      <c r="AN145" s="9">
        <f t="shared" si="4"/>
        <v>0</v>
      </c>
      <c r="AO145" s="8"/>
      <c r="AP145" s="9">
        <f>I145-W145-X145-AN145</f>
        <v>0</v>
      </c>
      <c r="AQ145" t="s">
        <v>1324</v>
      </c>
    </row>
    <row r="146" spans="1:43" x14ac:dyDescent="0.3">
      <c r="A146" s="11">
        <f t="shared" si="5"/>
        <v>144</v>
      </c>
      <c r="B146" s="5" t="s">
        <v>1675</v>
      </c>
      <c r="C146" t="s">
        <v>893</v>
      </c>
      <c r="D146" s="24" t="s">
        <v>824</v>
      </c>
      <c r="E146" s="24" t="str">
        <f>IFERROR(VLOOKUP(D146,Dropdown!A:B,2,0),D146)</f>
        <v>Paragon</v>
      </c>
      <c r="F146" s="6">
        <v>45777</v>
      </c>
      <c r="G146" s="6" t="str">
        <f>TEXT(F146, "MMM-YY")</f>
        <v>Apr-25</v>
      </c>
      <c r="H146" t="s">
        <v>172</v>
      </c>
      <c r="I146" s="25">
        <v>98.89</v>
      </c>
      <c r="J146" s="4">
        <v>3000</v>
      </c>
      <c r="K146" t="s">
        <v>915</v>
      </c>
      <c r="L146" s="4" t="str">
        <f>VLOOKUP(K146, 'Items Master'!A:E,5,0)</f>
        <v>RIL</v>
      </c>
      <c r="M146" s="4" t="str">
        <f>VLOOKUP(K146, 'Items Master'!A:D,4,0)</f>
        <v>LLDPE</v>
      </c>
      <c r="N146" s="4" t="s">
        <v>49</v>
      </c>
      <c r="Q146" s="6">
        <v>45777</v>
      </c>
      <c r="R146" s="6" t="str">
        <f>TEXT(Q146, "MMM-YY")</f>
        <v>Apr-25</v>
      </c>
      <c r="X146" s="25">
        <v>98.89</v>
      </c>
      <c r="AB146"/>
      <c r="AC146"/>
      <c r="AD146"/>
      <c r="AE146"/>
      <c r="AF146"/>
      <c r="AG146"/>
      <c r="AH146"/>
      <c r="AI146"/>
      <c r="AJ146"/>
      <c r="AK146"/>
      <c r="AL146"/>
      <c r="AM146"/>
      <c r="AN146" s="9">
        <f t="shared" si="4"/>
        <v>0</v>
      </c>
      <c r="AO146" s="8"/>
      <c r="AP146" s="9">
        <f>I146-W146-X146-AN146</f>
        <v>0</v>
      </c>
      <c r="AQ146" t="s">
        <v>1324</v>
      </c>
    </row>
    <row r="147" spans="1:43" x14ac:dyDescent="0.3">
      <c r="A147" s="11">
        <f t="shared" si="5"/>
        <v>145</v>
      </c>
      <c r="B147" s="5" t="s">
        <v>1675</v>
      </c>
      <c r="C147" t="s">
        <v>893</v>
      </c>
      <c r="D147" s="24" t="s">
        <v>840</v>
      </c>
      <c r="E147" s="24" t="str">
        <f>IFERROR(VLOOKUP(D147,Dropdown!A:B,2,0),D147)</f>
        <v>LPB Plastic Private Limited</v>
      </c>
      <c r="F147" s="6">
        <v>45777</v>
      </c>
      <c r="G147" s="6" t="str">
        <f>TEXT(F147, "MMM-YY")</f>
        <v>Apr-25</v>
      </c>
      <c r="H147" t="s">
        <v>173</v>
      </c>
      <c r="I147" s="25">
        <v>96.5</v>
      </c>
      <c r="J147" s="4">
        <v>10000</v>
      </c>
      <c r="K147" t="s">
        <v>17</v>
      </c>
      <c r="L147" s="4" t="str">
        <f>VLOOKUP(K147, 'Items Master'!A:E,5,0)</f>
        <v>OPAL</v>
      </c>
      <c r="M147" s="4" t="str">
        <f>VLOOKUP(K147, 'Items Master'!A:D,4,0)</f>
        <v>LLDPE</v>
      </c>
      <c r="N147" s="4" t="s">
        <v>24</v>
      </c>
      <c r="Q147" s="6">
        <v>45777</v>
      </c>
      <c r="R147" s="6" t="str">
        <f>TEXT(Q147, "MMM-YY")</f>
        <v>Apr-25</v>
      </c>
      <c r="W147" s="25">
        <v>96.5</v>
      </c>
      <c r="Y147"/>
      <c r="Z147"/>
      <c r="AB147"/>
      <c r="AC147"/>
      <c r="AD147"/>
      <c r="AE147"/>
      <c r="AF147"/>
      <c r="AG147"/>
      <c r="AH147"/>
      <c r="AI147"/>
      <c r="AJ147"/>
      <c r="AK147"/>
      <c r="AL147"/>
      <c r="AM147"/>
      <c r="AN147" s="9">
        <f t="shared" si="4"/>
        <v>0</v>
      </c>
      <c r="AO147" s="8"/>
      <c r="AP147" s="9">
        <f>I147-W147-X147-AN147</f>
        <v>0</v>
      </c>
      <c r="AQ147" t="s">
        <v>1316</v>
      </c>
    </row>
    <row r="148" spans="1:43" x14ac:dyDescent="0.3">
      <c r="A148" s="11">
        <f t="shared" si="5"/>
        <v>146</v>
      </c>
      <c r="B148" s="5" t="s">
        <v>1675</v>
      </c>
      <c r="C148" t="s">
        <v>893</v>
      </c>
      <c r="D148" s="24" t="s">
        <v>836</v>
      </c>
      <c r="E148" s="24" t="str">
        <f>IFERROR(VLOOKUP(D148,Dropdown!A:B,2,0),D148)</f>
        <v>Intime</v>
      </c>
      <c r="F148" s="6">
        <v>45777</v>
      </c>
      <c r="G148" s="6" t="str">
        <f>TEXT(F148, "MMM-YY")</f>
        <v>Apr-25</v>
      </c>
      <c r="H148" t="s">
        <v>174</v>
      </c>
      <c r="I148" s="25">
        <v>97.933000000000007</v>
      </c>
      <c r="J148" s="4">
        <v>11000</v>
      </c>
      <c r="K148" t="s">
        <v>911</v>
      </c>
      <c r="L148" s="4" t="str">
        <f>VLOOKUP(K148, 'Items Master'!A:E,5,0)</f>
        <v>BCPL</v>
      </c>
      <c r="M148" s="4" t="str">
        <f>VLOOKUP(K148, 'Items Master'!A:D,4,0)</f>
        <v>LLDPE</v>
      </c>
      <c r="N148" s="4" t="s">
        <v>49</v>
      </c>
      <c r="O148" t="s">
        <v>1293</v>
      </c>
      <c r="Q148" s="6">
        <v>45777</v>
      </c>
      <c r="R148" s="6" t="str">
        <f>TEXT(Q148, "MMM-YY")</f>
        <v>Apr-25</v>
      </c>
      <c r="X148" s="25">
        <v>101.10899999999999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 s="9">
        <f t="shared" si="4"/>
        <v>0</v>
      </c>
      <c r="AO148" s="8"/>
      <c r="AP148" s="9">
        <f>I148-W148-X148-AN148</f>
        <v>-3.1759999999999877</v>
      </c>
      <c r="AQ148" t="s">
        <v>1324</v>
      </c>
    </row>
    <row r="149" spans="1:43" x14ac:dyDescent="0.3">
      <c r="A149" s="11">
        <f t="shared" si="5"/>
        <v>147</v>
      </c>
      <c r="B149" s="5" t="s">
        <v>1675</v>
      </c>
      <c r="C149" t="s">
        <v>893</v>
      </c>
      <c r="D149" s="24" t="s">
        <v>855</v>
      </c>
      <c r="E149" s="24" t="str">
        <f>IFERROR(VLOOKUP(D149,Dropdown!A:B,2,0),D149)</f>
        <v>TEGRAL INDIA PRIVATE LIMITED</v>
      </c>
      <c r="F149" s="6">
        <v>45777</v>
      </c>
      <c r="G149" s="6" t="str">
        <f>TEXT(F149, "MMM-YY")</f>
        <v>Apr-25</v>
      </c>
      <c r="H149" t="s">
        <v>175</v>
      </c>
      <c r="I149" s="25">
        <v>117.61</v>
      </c>
      <c r="J149" s="4">
        <v>12000</v>
      </c>
      <c r="K149" t="s">
        <v>931</v>
      </c>
      <c r="L149" s="4" t="str">
        <f>VLOOKUP(K149, 'Items Master'!A:E,5,0)</f>
        <v>BASELL</v>
      </c>
      <c r="M149" s="4" t="str">
        <f>VLOOKUP(K149, 'Items Master'!A:D,4,0)</f>
        <v>LDPE</v>
      </c>
      <c r="N149" s="4" t="s">
        <v>24</v>
      </c>
      <c r="Q149" s="6">
        <v>45777</v>
      </c>
      <c r="R149" s="6" t="str">
        <f>TEXT(Q149, "MMM-YY")</f>
        <v>Apr-25</v>
      </c>
      <c r="W149" s="25">
        <v>117.61</v>
      </c>
      <c r="Y149"/>
      <c r="Z149"/>
      <c r="AB149"/>
      <c r="AC149"/>
      <c r="AD149"/>
      <c r="AE149"/>
      <c r="AF149"/>
      <c r="AG149"/>
      <c r="AH149"/>
      <c r="AI149"/>
      <c r="AJ149"/>
      <c r="AK149"/>
      <c r="AL149"/>
      <c r="AM149"/>
      <c r="AN149" s="9">
        <f t="shared" si="4"/>
        <v>0</v>
      </c>
      <c r="AO149" s="8"/>
      <c r="AP149" s="9">
        <f>I149-W149-X149-AN149</f>
        <v>0</v>
      </c>
      <c r="AQ149" t="s">
        <v>1316</v>
      </c>
    </row>
    <row r="150" spans="1:43" x14ac:dyDescent="0.3">
      <c r="A150" s="11">
        <f t="shared" si="5"/>
        <v>148</v>
      </c>
      <c r="B150" s="5" t="s">
        <v>1675</v>
      </c>
      <c r="C150" t="s">
        <v>894</v>
      </c>
      <c r="D150" s="24" t="s">
        <v>855</v>
      </c>
      <c r="E150" s="24" t="str">
        <f>IFERROR(VLOOKUP(D150,Dropdown!A:B,2,0),D150)</f>
        <v>TEGRAL INDIA PRIVATE LIMITED</v>
      </c>
      <c r="F150" s="6">
        <v>45777</v>
      </c>
      <c r="G150" s="6" t="str">
        <f>TEXT(F150, "MMM-YY")</f>
        <v>Apr-25</v>
      </c>
      <c r="H150" t="s">
        <v>175</v>
      </c>
      <c r="I150" s="25">
        <v>93.36</v>
      </c>
      <c r="J150" s="4">
        <v>13000</v>
      </c>
      <c r="K150" t="s">
        <v>945</v>
      </c>
      <c r="L150" s="4" t="str">
        <f>VLOOKUP(K150, 'Items Master'!A:E,5,0)</f>
        <v>MARLEX</v>
      </c>
      <c r="M150" s="4" t="str">
        <f>VLOOKUP(K150, 'Items Master'!A:D,4,0)</f>
        <v>PP</v>
      </c>
      <c r="N150" s="4" t="s">
        <v>24</v>
      </c>
      <c r="Q150" s="6">
        <v>45777</v>
      </c>
      <c r="R150" s="6" t="str">
        <f>TEXT(Q150, "MMM-YY")</f>
        <v>Apr-25</v>
      </c>
      <c r="W150" s="25">
        <v>93.36</v>
      </c>
      <c r="Y150"/>
      <c r="Z150"/>
      <c r="AB150"/>
      <c r="AC150"/>
      <c r="AD150"/>
      <c r="AE150"/>
      <c r="AF150"/>
      <c r="AG150"/>
      <c r="AH150"/>
      <c r="AI150"/>
      <c r="AJ150"/>
      <c r="AK150"/>
      <c r="AL150"/>
      <c r="AM150"/>
      <c r="AN150" s="9">
        <f t="shared" si="4"/>
        <v>0</v>
      </c>
      <c r="AO150" s="8"/>
      <c r="AP150" s="9">
        <f>I150-W150-X150-AN150</f>
        <v>0</v>
      </c>
      <c r="AQ150" t="s">
        <v>1316</v>
      </c>
    </row>
    <row r="151" spans="1:43" x14ac:dyDescent="0.3">
      <c r="A151" s="11">
        <f t="shared" si="5"/>
        <v>149</v>
      </c>
      <c r="B151" s="5" t="s">
        <v>1675</v>
      </c>
      <c r="C151" t="s">
        <v>893</v>
      </c>
      <c r="D151" s="24" t="s">
        <v>840</v>
      </c>
      <c r="E151" s="24" t="str">
        <f>IFERROR(VLOOKUP(D151,Dropdown!A:B,2,0),D151)</f>
        <v>LPB Plastic Private Limited</v>
      </c>
      <c r="F151" s="6">
        <v>45778</v>
      </c>
      <c r="G151" s="6" t="str">
        <f>TEXT(F151, "MMM-YY")</f>
        <v>May-25</v>
      </c>
      <c r="H151" t="s">
        <v>176</v>
      </c>
      <c r="I151" s="25">
        <v>95</v>
      </c>
      <c r="J151" s="4">
        <v>3000</v>
      </c>
      <c r="K151" t="s">
        <v>17</v>
      </c>
      <c r="L151" s="4" t="str">
        <f>VLOOKUP(K151, 'Items Master'!A:E,5,0)</f>
        <v>OPAL</v>
      </c>
      <c r="M151" s="4" t="str">
        <f>VLOOKUP(K151, 'Items Master'!A:D,4,0)</f>
        <v>LLDPE</v>
      </c>
      <c r="N151" s="4" t="s">
        <v>24</v>
      </c>
      <c r="Q151" s="6">
        <v>45778</v>
      </c>
      <c r="R151" s="6" t="str">
        <f>TEXT(Q151, "MMM-YY")</f>
        <v>May-25</v>
      </c>
      <c r="W151" s="25">
        <v>95</v>
      </c>
      <c r="Y151"/>
      <c r="Z151"/>
      <c r="AB151"/>
      <c r="AC151"/>
      <c r="AD151"/>
      <c r="AE151"/>
      <c r="AF151"/>
      <c r="AG151"/>
      <c r="AH151"/>
      <c r="AI151"/>
      <c r="AJ151"/>
      <c r="AK151"/>
      <c r="AL151"/>
      <c r="AM151"/>
      <c r="AN151" s="9">
        <f t="shared" si="4"/>
        <v>0</v>
      </c>
      <c r="AO151" s="8"/>
      <c r="AP151" s="9">
        <f>I151-W151-X151-AN151</f>
        <v>0</v>
      </c>
      <c r="AQ151" t="s">
        <v>1316</v>
      </c>
    </row>
    <row r="152" spans="1:43" x14ac:dyDescent="0.3">
      <c r="A152" s="11">
        <f t="shared" si="5"/>
        <v>150</v>
      </c>
      <c r="B152" s="5" t="s">
        <v>1675</v>
      </c>
      <c r="C152" t="s">
        <v>893</v>
      </c>
      <c r="D152" s="24" t="s">
        <v>844</v>
      </c>
      <c r="E152" s="24" t="str">
        <f>IFERROR(VLOOKUP(D152,Dropdown!A:B,2,0),D152)</f>
        <v>APEX TECHNO POLYMER PRIVATE LIMITED</v>
      </c>
      <c r="F152" s="6">
        <v>45779</v>
      </c>
      <c r="G152" s="6" t="str">
        <f>TEXT(F152, "MMM-YY")</f>
        <v>May-25</v>
      </c>
      <c r="H152" t="s">
        <v>177</v>
      </c>
      <c r="I152" s="25">
        <v>175</v>
      </c>
      <c r="J152" s="4">
        <v>25</v>
      </c>
      <c r="K152" t="s">
        <v>946</v>
      </c>
      <c r="L152" s="4" t="str">
        <f>VLOOKUP(K152, 'Items Master'!A:E,5,0)</f>
        <v>NA</v>
      </c>
      <c r="M152" s="4" t="str">
        <f>VLOOKUP(K152, 'Items Master'!A:D,4,0)</f>
        <v>Nylon</v>
      </c>
      <c r="N152" s="4" t="s">
        <v>24</v>
      </c>
      <c r="Q152" s="6">
        <v>45779</v>
      </c>
      <c r="R152" s="6" t="str">
        <f>TEXT(Q152, "MMM-YY")</f>
        <v>May-25</v>
      </c>
      <c r="W152" s="25">
        <v>175</v>
      </c>
      <c r="Y152"/>
      <c r="Z152"/>
      <c r="AB152"/>
      <c r="AC152"/>
      <c r="AD152"/>
      <c r="AE152"/>
      <c r="AF152"/>
      <c r="AG152"/>
      <c r="AH152"/>
      <c r="AI152"/>
      <c r="AJ152"/>
      <c r="AK152"/>
      <c r="AL152"/>
      <c r="AM152"/>
      <c r="AN152" s="9">
        <f t="shared" si="4"/>
        <v>0</v>
      </c>
      <c r="AO152" s="8"/>
      <c r="AP152" s="9">
        <f>I152-W152-X152-AN152</f>
        <v>0</v>
      </c>
      <c r="AQ152" t="s">
        <v>1316</v>
      </c>
    </row>
    <row r="153" spans="1:43" x14ac:dyDescent="0.3">
      <c r="A153" s="11">
        <f t="shared" si="5"/>
        <v>151</v>
      </c>
      <c r="B153" s="5" t="s">
        <v>1675</v>
      </c>
      <c r="C153" t="s">
        <v>893</v>
      </c>
      <c r="D153" s="24" t="s">
        <v>824</v>
      </c>
      <c r="E153" s="24" t="str">
        <f>IFERROR(VLOOKUP(D153,Dropdown!A:B,2,0),D153)</f>
        <v>Paragon</v>
      </c>
      <c r="F153" s="6">
        <v>45779</v>
      </c>
      <c r="G153" s="6" t="str">
        <f>TEXT(F153, "MMM-YY")</f>
        <v>May-25</v>
      </c>
      <c r="H153" t="s">
        <v>178</v>
      </c>
      <c r="I153" s="25">
        <v>98.89</v>
      </c>
      <c r="J153" s="4">
        <v>12000</v>
      </c>
      <c r="K153" t="s">
        <v>947</v>
      </c>
      <c r="L153" s="4" t="str">
        <f>VLOOKUP(K153, 'Items Master'!A:E,5,0)</f>
        <v>RIL</v>
      </c>
      <c r="M153" s="4" t="str">
        <f>VLOOKUP(K153, 'Items Master'!A:D,4,0)</f>
        <v>LLDPE</v>
      </c>
      <c r="N153" s="4" t="s">
        <v>49</v>
      </c>
      <c r="Q153" s="6">
        <v>45779</v>
      </c>
      <c r="R153" s="6" t="str">
        <f>TEXT(Q153, "MMM-YY")</f>
        <v>May-25</v>
      </c>
      <c r="X153" s="25">
        <v>98.89</v>
      </c>
      <c r="AB153"/>
      <c r="AC153"/>
      <c r="AD153"/>
      <c r="AE153"/>
      <c r="AF153"/>
      <c r="AG153"/>
      <c r="AH153"/>
      <c r="AI153"/>
      <c r="AJ153"/>
      <c r="AK153"/>
      <c r="AL153"/>
      <c r="AM153"/>
      <c r="AN153" s="9">
        <f t="shared" si="4"/>
        <v>0</v>
      </c>
      <c r="AO153" s="8"/>
      <c r="AP153" s="9">
        <f>I153-W153-X153-AN153</f>
        <v>0</v>
      </c>
      <c r="AQ153" t="s">
        <v>1324</v>
      </c>
    </row>
    <row r="154" spans="1:43" x14ac:dyDescent="0.3">
      <c r="A154" s="11">
        <f t="shared" si="5"/>
        <v>152</v>
      </c>
      <c r="B154" s="5" t="s">
        <v>1675</v>
      </c>
      <c r="C154" t="s">
        <v>893</v>
      </c>
      <c r="D154" s="24" t="s">
        <v>824</v>
      </c>
      <c r="E154" s="24" t="str">
        <f>IFERROR(VLOOKUP(D154,Dropdown!A:B,2,0),D154)</f>
        <v>Paragon</v>
      </c>
      <c r="F154" s="6">
        <v>45780</v>
      </c>
      <c r="G154" s="6" t="str">
        <f>TEXT(F154, "MMM-YY")</f>
        <v>May-25</v>
      </c>
      <c r="H154" t="s">
        <v>179</v>
      </c>
      <c r="I154" s="25">
        <v>105.98</v>
      </c>
      <c r="J154" s="4">
        <v>3000</v>
      </c>
      <c r="K154" t="s">
        <v>925</v>
      </c>
      <c r="L154" s="4" t="str">
        <f>VLOOKUP(K154, 'Items Master'!A:E,5,0)</f>
        <v>RIL</v>
      </c>
      <c r="M154" s="4" t="str">
        <f>VLOOKUP(K154, 'Items Master'!A:D,4,0)</f>
        <v>PP ICP</v>
      </c>
      <c r="N154" s="4" t="s">
        <v>49</v>
      </c>
      <c r="Q154" s="6">
        <v>45780</v>
      </c>
      <c r="R154" s="6" t="str">
        <f>TEXT(Q154, "MMM-YY")</f>
        <v>May-25</v>
      </c>
      <c r="X154" s="25">
        <v>105.98</v>
      </c>
      <c r="AB154"/>
      <c r="AC154"/>
      <c r="AD154"/>
      <c r="AE154"/>
      <c r="AF154"/>
      <c r="AG154"/>
      <c r="AH154"/>
      <c r="AI154"/>
      <c r="AJ154"/>
      <c r="AK154"/>
      <c r="AL154"/>
      <c r="AM154"/>
      <c r="AN154" s="9">
        <f t="shared" si="4"/>
        <v>0</v>
      </c>
      <c r="AO154" s="8"/>
      <c r="AP154" s="9">
        <f>I154-W154-X154-AN154</f>
        <v>0</v>
      </c>
      <c r="AQ154" t="s">
        <v>1324</v>
      </c>
    </row>
    <row r="155" spans="1:43" x14ac:dyDescent="0.3">
      <c r="A155" s="11">
        <f t="shared" si="5"/>
        <v>153</v>
      </c>
      <c r="B155" s="5" t="s">
        <v>1675</v>
      </c>
      <c r="C155" t="s">
        <v>893</v>
      </c>
      <c r="D155" s="24" t="s">
        <v>840</v>
      </c>
      <c r="E155" s="24" t="str">
        <f>IFERROR(VLOOKUP(D155,Dropdown!A:B,2,0),D155)</f>
        <v>LPB Plastic Private Limited</v>
      </c>
      <c r="F155" s="6">
        <v>45780</v>
      </c>
      <c r="G155" s="6" t="str">
        <f>TEXT(F155, "MMM-YY")</f>
        <v>May-25</v>
      </c>
      <c r="H155" t="s">
        <v>180</v>
      </c>
      <c r="I155" s="25">
        <v>95</v>
      </c>
      <c r="J155" s="4">
        <v>10000</v>
      </c>
      <c r="K155" t="s">
        <v>914</v>
      </c>
      <c r="L155" s="4" t="str">
        <f>VLOOKUP(K155, 'Items Master'!A:E,5,0)</f>
        <v>HMEL</v>
      </c>
      <c r="M155" s="4" t="str">
        <f>VLOOKUP(K155, 'Items Master'!A:D,4,0)</f>
        <v>LLDPE</v>
      </c>
      <c r="N155" s="4" t="s">
        <v>24</v>
      </c>
      <c r="Q155" s="6">
        <v>45780</v>
      </c>
      <c r="R155" s="6" t="str">
        <f>TEXT(Q155, "MMM-YY")</f>
        <v>May-25</v>
      </c>
      <c r="W155" s="25">
        <v>95</v>
      </c>
      <c r="Y155"/>
      <c r="Z155"/>
      <c r="AB155"/>
      <c r="AC155"/>
      <c r="AD155"/>
      <c r="AE155"/>
      <c r="AF155"/>
      <c r="AG155"/>
      <c r="AH155"/>
      <c r="AI155"/>
      <c r="AJ155"/>
      <c r="AK155"/>
      <c r="AL155"/>
      <c r="AM155"/>
      <c r="AN155" s="9">
        <f t="shared" si="4"/>
        <v>0</v>
      </c>
      <c r="AO155" s="8"/>
      <c r="AP155" s="9">
        <f>I155-W155-X155-AN155</f>
        <v>0</v>
      </c>
      <c r="AQ155" t="s">
        <v>1316</v>
      </c>
    </row>
    <row r="156" spans="1:43" x14ac:dyDescent="0.3">
      <c r="A156" s="11">
        <f t="shared" si="5"/>
        <v>154</v>
      </c>
      <c r="B156" s="5" t="s">
        <v>1675</v>
      </c>
      <c r="C156" t="s">
        <v>893</v>
      </c>
      <c r="D156" s="24" t="s">
        <v>824</v>
      </c>
      <c r="E156" s="24" t="str">
        <f>IFERROR(VLOOKUP(D156,Dropdown!A:B,2,0),D156)</f>
        <v>Paragon</v>
      </c>
      <c r="F156" s="6">
        <v>45780</v>
      </c>
      <c r="G156" s="6" t="str">
        <f>TEXT(F156, "MMM-YY")</f>
        <v>May-25</v>
      </c>
      <c r="H156" t="s">
        <v>181</v>
      </c>
      <c r="I156" s="25">
        <v>105.98</v>
      </c>
      <c r="J156" s="4">
        <v>4000</v>
      </c>
      <c r="K156" t="s">
        <v>925</v>
      </c>
      <c r="L156" s="4" t="str">
        <f>VLOOKUP(K156, 'Items Master'!A:E,5,0)</f>
        <v>RIL</v>
      </c>
      <c r="M156" s="4" t="str">
        <f>VLOOKUP(K156, 'Items Master'!A:D,4,0)</f>
        <v>PP ICP</v>
      </c>
      <c r="N156" s="4" t="s">
        <v>49</v>
      </c>
      <c r="Q156" s="6">
        <v>45780</v>
      </c>
      <c r="R156" s="6" t="str">
        <f>TEXT(Q156, "MMM-YY")</f>
        <v>May-25</v>
      </c>
      <c r="X156" s="25">
        <v>105.98</v>
      </c>
      <c r="AB156"/>
      <c r="AC156"/>
      <c r="AD156"/>
      <c r="AE156"/>
      <c r="AF156"/>
      <c r="AG156"/>
      <c r="AH156"/>
      <c r="AI156"/>
      <c r="AJ156"/>
      <c r="AK156"/>
      <c r="AL156"/>
      <c r="AM156"/>
      <c r="AN156" s="9">
        <f t="shared" si="4"/>
        <v>0</v>
      </c>
      <c r="AO156" s="8"/>
      <c r="AP156" s="9">
        <f>I156-W156-X156-AN156</f>
        <v>0</v>
      </c>
      <c r="AQ156" t="s">
        <v>1324</v>
      </c>
    </row>
    <row r="157" spans="1:43" x14ac:dyDescent="0.3">
      <c r="A157" s="11">
        <f t="shared" si="5"/>
        <v>155</v>
      </c>
      <c r="B157" s="5" t="s">
        <v>1675</v>
      </c>
      <c r="C157" t="s">
        <v>893</v>
      </c>
      <c r="D157" s="24" t="s">
        <v>824</v>
      </c>
      <c r="E157" s="24" t="str">
        <f>IFERROR(VLOOKUP(D157,Dropdown!A:B,2,0),D157)</f>
        <v>Paragon</v>
      </c>
      <c r="F157" s="6">
        <v>45780</v>
      </c>
      <c r="G157" s="6" t="str">
        <f>TEXT(F157, "MMM-YY")</f>
        <v>May-25</v>
      </c>
      <c r="H157" t="s">
        <v>181</v>
      </c>
      <c r="I157" s="25">
        <v>110.78</v>
      </c>
      <c r="J157" s="4">
        <v>6000</v>
      </c>
      <c r="K157" t="s">
        <v>948</v>
      </c>
      <c r="L157" s="4" t="str">
        <f>VLOOKUP(K157, 'Items Master'!A:E,5,0)</f>
        <v>RIL</v>
      </c>
      <c r="M157" s="4" t="str">
        <f>VLOOKUP(K157, 'Items Master'!A:D,4,0)</f>
        <v>PP RCP</v>
      </c>
      <c r="N157" s="4" t="s">
        <v>49</v>
      </c>
      <c r="Q157" s="6">
        <v>45780</v>
      </c>
      <c r="R157" s="6" t="str">
        <f>TEXT(Q157, "MMM-YY")</f>
        <v>May-25</v>
      </c>
      <c r="X157" s="25">
        <v>110.78</v>
      </c>
      <c r="AB157"/>
      <c r="AC157"/>
      <c r="AD157"/>
      <c r="AE157"/>
      <c r="AF157"/>
      <c r="AG157"/>
      <c r="AH157"/>
      <c r="AI157"/>
      <c r="AJ157"/>
      <c r="AK157"/>
      <c r="AL157"/>
      <c r="AM157"/>
      <c r="AN157" s="9">
        <f t="shared" si="4"/>
        <v>0</v>
      </c>
      <c r="AO157" s="8"/>
      <c r="AP157" s="9">
        <f>I157-W157-X157-AN157</f>
        <v>0</v>
      </c>
      <c r="AQ157" t="s">
        <v>1324</v>
      </c>
    </row>
    <row r="158" spans="1:43" x14ac:dyDescent="0.3">
      <c r="A158" s="11">
        <f t="shared" si="5"/>
        <v>156</v>
      </c>
      <c r="B158" s="5" t="s">
        <v>1675</v>
      </c>
      <c r="C158" t="s">
        <v>893</v>
      </c>
      <c r="D158" s="24" t="s">
        <v>834</v>
      </c>
      <c r="E158" s="24" t="str">
        <f>IFERROR(VLOOKUP(D158,Dropdown!A:B,2,0),D158)</f>
        <v>D R POLYMERS PRIVATE LIMITED</v>
      </c>
      <c r="F158" s="6">
        <v>45780</v>
      </c>
      <c r="G158" s="6" t="str">
        <f>TEXT(F158, "MMM-YY")</f>
        <v>May-25</v>
      </c>
      <c r="H158" t="s">
        <v>182</v>
      </c>
      <c r="I158" s="25">
        <v>67.849999999999994</v>
      </c>
      <c r="J158" s="4">
        <v>12000</v>
      </c>
      <c r="K158" t="s">
        <v>900</v>
      </c>
      <c r="L158" s="4" t="str">
        <f>VLOOKUP(K158, 'Items Master'!A:E,5,0)</f>
        <v>HANWHA</v>
      </c>
      <c r="M158" s="4" t="str">
        <f>VLOOKUP(K158, 'Items Master'!A:D,4,0)</f>
        <v>PVC</v>
      </c>
      <c r="N158" s="4" t="s">
        <v>24</v>
      </c>
      <c r="Q158" s="6">
        <v>45780</v>
      </c>
      <c r="R158" s="6" t="str">
        <f>TEXT(Q158, "MMM-YY")</f>
        <v>May-25</v>
      </c>
      <c r="W158" s="25">
        <v>67.849999999999994</v>
      </c>
      <c r="Y158"/>
      <c r="Z158"/>
      <c r="AB158"/>
      <c r="AC158"/>
      <c r="AD158"/>
      <c r="AE158"/>
      <c r="AF158"/>
      <c r="AG158"/>
      <c r="AH158"/>
      <c r="AI158"/>
      <c r="AJ158"/>
      <c r="AK158"/>
      <c r="AL158"/>
      <c r="AM158"/>
      <c r="AN158" s="9">
        <f t="shared" si="4"/>
        <v>0</v>
      </c>
      <c r="AO158" s="8"/>
      <c r="AP158" s="9">
        <f>I158-W158-X158-AN158</f>
        <v>0</v>
      </c>
      <c r="AQ158" t="s">
        <v>1316</v>
      </c>
    </row>
    <row r="159" spans="1:43" x14ac:dyDescent="0.3">
      <c r="A159" s="11">
        <f t="shared" si="5"/>
        <v>157</v>
      </c>
      <c r="B159" s="5" t="s">
        <v>1675</v>
      </c>
      <c r="C159" t="s">
        <v>893</v>
      </c>
      <c r="D159" s="24" t="s">
        <v>834</v>
      </c>
      <c r="E159" s="24" t="str">
        <f>IFERROR(VLOOKUP(D159,Dropdown!A:B,2,0),D159)</f>
        <v>D R POLYMERS PRIVATE LIMITED</v>
      </c>
      <c r="F159" s="6">
        <v>45780</v>
      </c>
      <c r="G159" s="6" t="str">
        <f>TEXT(F159, "MMM-YY")</f>
        <v>May-25</v>
      </c>
      <c r="H159" t="s">
        <v>183</v>
      </c>
      <c r="I159" s="25">
        <v>67.849999999999994</v>
      </c>
      <c r="J159" s="4">
        <v>2000</v>
      </c>
      <c r="K159" t="s">
        <v>900</v>
      </c>
      <c r="L159" s="4" t="str">
        <f>VLOOKUP(K159, 'Items Master'!A:E,5,0)</f>
        <v>HANWHA</v>
      </c>
      <c r="M159" s="4" t="str">
        <f>VLOOKUP(K159, 'Items Master'!A:D,4,0)</f>
        <v>PVC</v>
      </c>
      <c r="N159" s="4" t="s">
        <v>24</v>
      </c>
      <c r="Q159" s="6">
        <v>45780</v>
      </c>
      <c r="R159" s="6" t="str">
        <f>TEXT(Q159, "MMM-YY")</f>
        <v>May-25</v>
      </c>
      <c r="W159" s="25">
        <v>67.849999999999994</v>
      </c>
      <c r="Y159"/>
      <c r="Z159"/>
      <c r="AB159"/>
      <c r="AC159"/>
      <c r="AD159"/>
      <c r="AE159"/>
      <c r="AF159"/>
      <c r="AG159"/>
      <c r="AH159"/>
      <c r="AI159"/>
      <c r="AJ159"/>
      <c r="AK159"/>
      <c r="AL159"/>
      <c r="AM159"/>
      <c r="AN159" s="9">
        <f t="shared" si="4"/>
        <v>0</v>
      </c>
      <c r="AO159" s="8"/>
      <c r="AP159" s="9">
        <f>I159-W159-X159-AN159</f>
        <v>0</v>
      </c>
      <c r="AQ159" t="s">
        <v>1316</v>
      </c>
    </row>
    <row r="160" spans="1:43" x14ac:dyDescent="0.3">
      <c r="A160" s="11">
        <f t="shared" si="5"/>
        <v>158</v>
      </c>
      <c r="B160" s="5" t="s">
        <v>1675</v>
      </c>
      <c r="C160" t="s">
        <v>893</v>
      </c>
      <c r="D160" s="24" t="s">
        <v>853</v>
      </c>
      <c r="E160" s="24" t="str">
        <f>IFERROR(VLOOKUP(D160,Dropdown!A:B,2,0),D160)</f>
        <v>ZETWERK MANUFACTURING BUSINESSES PRIVATE LIMITED</v>
      </c>
      <c r="F160" s="6">
        <v>45780</v>
      </c>
      <c r="G160" s="6" t="str">
        <f>TEXT(F160, "MMM-YY")</f>
        <v>May-25</v>
      </c>
      <c r="H160" t="s">
        <v>184</v>
      </c>
      <c r="I160" s="25">
        <v>68</v>
      </c>
      <c r="J160" s="4">
        <v>13000</v>
      </c>
      <c r="K160" t="s">
        <v>924</v>
      </c>
      <c r="L160" s="4" t="str">
        <f>VLOOKUP(K160, 'Items Master'!A:E,5,0)</f>
        <v>LG</v>
      </c>
      <c r="M160" s="4" t="str">
        <f>VLOOKUP(K160, 'Items Master'!A:D,4,0)</f>
        <v>PVC</v>
      </c>
      <c r="N160" s="4" t="s">
        <v>24</v>
      </c>
      <c r="Q160" s="6">
        <v>45780</v>
      </c>
      <c r="R160" s="6" t="str">
        <f>TEXT(Q160, "MMM-YY")</f>
        <v>May-25</v>
      </c>
      <c r="W160" s="25">
        <v>68</v>
      </c>
      <c r="Y160"/>
      <c r="Z160"/>
      <c r="AB160"/>
      <c r="AC160"/>
      <c r="AD160"/>
      <c r="AE160"/>
      <c r="AF160"/>
      <c r="AG160"/>
      <c r="AH160"/>
      <c r="AI160"/>
      <c r="AJ160"/>
      <c r="AK160"/>
      <c r="AL160"/>
      <c r="AM160"/>
      <c r="AN160" s="9">
        <f t="shared" si="4"/>
        <v>0</v>
      </c>
      <c r="AO160" s="8"/>
      <c r="AP160" s="9">
        <f>I160-W160-X160-AN160</f>
        <v>0</v>
      </c>
      <c r="AQ160" t="s">
        <v>1316</v>
      </c>
    </row>
    <row r="161" spans="1:43" x14ac:dyDescent="0.3">
      <c r="A161" s="11">
        <f t="shared" si="5"/>
        <v>159</v>
      </c>
      <c r="B161" s="5" t="s">
        <v>1675</v>
      </c>
      <c r="C161" t="s">
        <v>893</v>
      </c>
      <c r="D161" s="24" t="s">
        <v>824</v>
      </c>
      <c r="E161" s="24" t="str">
        <f>IFERROR(VLOOKUP(D161,Dropdown!A:B,2,0),D161)</f>
        <v>Paragon</v>
      </c>
      <c r="F161" s="6">
        <v>45782</v>
      </c>
      <c r="G161" s="6" t="str">
        <f>TEXT(F161, "MMM-YY")</f>
        <v>May-25</v>
      </c>
      <c r="H161" t="s">
        <v>185</v>
      </c>
      <c r="I161" s="25">
        <v>105.98</v>
      </c>
      <c r="J161" s="4">
        <v>500</v>
      </c>
      <c r="K161" t="s">
        <v>925</v>
      </c>
      <c r="L161" s="4" t="str">
        <f>VLOOKUP(K161, 'Items Master'!A:E,5,0)</f>
        <v>RIL</v>
      </c>
      <c r="M161" s="4" t="str">
        <f>VLOOKUP(K161, 'Items Master'!A:D,4,0)</f>
        <v>PP ICP</v>
      </c>
      <c r="N161" s="4" t="s">
        <v>49</v>
      </c>
      <c r="Q161" s="6">
        <v>45782</v>
      </c>
      <c r="R161" s="6" t="str">
        <f>TEXT(Q161, "MMM-YY")</f>
        <v>May-25</v>
      </c>
      <c r="X161" s="25">
        <v>105.98</v>
      </c>
      <c r="AB161"/>
      <c r="AC161"/>
      <c r="AD161"/>
      <c r="AE161"/>
      <c r="AF161"/>
      <c r="AG161"/>
      <c r="AH161"/>
      <c r="AI161"/>
      <c r="AJ161"/>
      <c r="AK161"/>
      <c r="AL161"/>
      <c r="AM161"/>
      <c r="AN161" s="9">
        <f t="shared" si="4"/>
        <v>0</v>
      </c>
      <c r="AO161" s="8"/>
      <c r="AP161" s="9">
        <f>I161-W161-X161-AN161</f>
        <v>0</v>
      </c>
      <c r="AQ161" t="s">
        <v>1324</v>
      </c>
    </row>
    <row r="162" spans="1:43" x14ac:dyDescent="0.3">
      <c r="A162" s="11">
        <f t="shared" si="5"/>
        <v>160</v>
      </c>
      <c r="B162" s="5" t="s">
        <v>1675</v>
      </c>
      <c r="C162" t="s">
        <v>893</v>
      </c>
      <c r="D162" s="24" t="s">
        <v>48</v>
      </c>
      <c r="E162" s="24" t="str">
        <f>IFERROR(VLOOKUP(D162,Dropdown!A:B,2,0),D162)</f>
        <v>CVPL</v>
      </c>
      <c r="F162" s="6">
        <v>45782</v>
      </c>
      <c r="G162" s="6" t="str">
        <f>TEXT(F162, "MMM-YY")</f>
        <v>May-25</v>
      </c>
      <c r="H162" t="s">
        <v>186</v>
      </c>
      <c r="I162" s="25">
        <v>98.9</v>
      </c>
      <c r="J162" s="4">
        <v>4000</v>
      </c>
      <c r="K162" t="s">
        <v>899</v>
      </c>
      <c r="L162" s="4" t="str">
        <f>VLOOKUP(K162, 'Items Master'!A:E,5,0)</f>
        <v>MRPL</v>
      </c>
      <c r="M162" s="4" t="str">
        <f>VLOOKUP(K162, 'Items Master'!A:D,4,0)</f>
        <v>PP</v>
      </c>
      <c r="N162" s="4" t="s">
        <v>49</v>
      </c>
      <c r="Q162" s="6">
        <v>45782</v>
      </c>
      <c r="R162" s="6" t="str">
        <f>TEXT(Q162, "MMM-YY")</f>
        <v>May-25</v>
      </c>
      <c r="X162" s="25">
        <v>98.896000000000001</v>
      </c>
      <c r="AB162"/>
      <c r="AC162"/>
      <c r="AD162"/>
      <c r="AE162"/>
      <c r="AF162"/>
      <c r="AG162"/>
      <c r="AH162"/>
      <c r="AI162"/>
      <c r="AJ162"/>
      <c r="AK162"/>
      <c r="AL162"/>
      <c r="AM162"/>
      <c r="AN162" s="9">
        <f t="shared" si="4"/>
        <v>0</v>
      </c>
      <c r="AO162" s="8"/>
      <c r="AP162" s="9">
        <f>I162-W162-X162-AN162</f>
        <v>4.0000000000048885E-3</v>
      </c>
      <c r="AQ162" t="s">
        <v>1324</v>
      </c>
    </row>
    <row r="163" spans="1:43" x14ac:dyDescent="0.3">
      <c r="A163" s="11">
        <f t="shared" si="5"/>
        <v>161</v>
      </c>
      <c r="B163" s="5" t="s">
        <v>1675</v>
      </c>
      <c r="C163" t="s">
        <v>893</v>
      </c>
      <c r="D163" s="24" t="s">
        <v>836</v>
      </c>
      <c r="E163" s="24" t="str">
        <f>IFERROR(VLOOKUP(D163,Dropdown!A:B,2,0),D163)</f>
        <v>Intime</v>
      </c>
      <c r="F163" s="6">
        <v>45782</v>
      </c>
      <c r="G163" s="6" t="str">
        <f>TEXT(F163, "MMM-YY")</f>
        <v>May-25</v>
      </c>
      <c r="H163" t="s">
        <v>187</v>
      </c>
      <c r="I163" s="25">
        <v>97.933000000000007</v>
      </c>
      <c r="J163" s="4">
        <v>7500</v>
      </c>
      <c r="K163" t="s">
        <v>911</v>
      </c>
      <c r="L163" s="4" t="str">
        <f>VLOOKUP(K163, 'Items Master'!A:E,5,0)</f>
        <v>BCPL</v>
      </c>
      <c r="M163" s="4" t="str">
        <f>VLOOKUP(K163, 'Items Master'!A:D,4,0)</f>
        <v>LLDPE</v>
      </c>
      <c r="N163" s="4" t="s">
        <v>49</v>
      </c>
      <c r="O163" t="s">
        <v>1295</v>
      </c>
      <c r="Q163" s="6">
        <v>45782</v>
      </c>
      <c r="R163" s="6" t="str">
        <f>TEXT(Q163, "MMM-YY")</f>
        <v>May-25</v>
      </c>
      <c r="X163" s="25">
        <v>95.933000000000007</v>
      </c>
      <c r="AB163"/>
      <c r="AC163"/>
      <c r="AD163"/>
      <c r="AE163"/>
      <c r="AF163"/>
      <c r="AG163"/>
      <c r="AH163"/>
      <c r="AI163"/>
      <c r="AJ163"/>
      <c r="AK163"/>
      <c r="AL163"/>
      <c r="AM163"/>
      <c r="AN163" s="9">
        <f t="shared" si="4"/>
        <v>0</v>
      </c>
      <c r="AO163" s="8"/>
      <c r="AP163" s="9">
        <f>I163-W163-X163-AN163</f>
        <v>2</v>
      </c>
      <c r="AQ163" t="s">
        <v>1324</v>
      </c>
    </row>
    <row r="164" spans="1:43" x14ac:dyDescent="0.3">
      <c r="A164" s="11">
        <f t="shared" si="5"/>
        <v>162</v>
      </c>
      <c r="B164" s="5" t="s">
        <v>1675</v>
      </c>
      <c r="C164" t="s">
        <v>893</v>
      </c>
      <c r="D164" s="24" t="s">
        <v>836</v>
      </c>
      <c r="E164" s="24" t="str">
        <f>IFERROR(VLOOKUP(D164,Dropdown!A:B,2,0),D164)</f>
        <v>Intime</v>
      </c>
      <c r="F164" s="6">
        <v>45782</v>
      </c>
      <c r="G164" s="6" t="str">
        <f>TEXT(F164, "MMM-YY")</f>
        <v>May-25</v>
      </c>
      <c r="H164" t="s">
        <v>187</v>
      </c>
      <c r="I164" s="25">
        <v>97.933000000000007</v>
      </c>
      <c r="J164" s="4">
        <v>5000</v>
      </c>
      <c r="K164" t="s">
        <v>949</v>
      </c>
      <c r="L164" s="4" t="str">
        <f>VLOOKUP(K164, 'Items Master'!A:E,5,0)</f>
        <v>BCPL</v>
      </c>
      <c r="M164" s="4" t="str">
        <f>VLOOKUP(K164, 'Items Master'!A:D,4,0)</f>
        <v>LLDPE</v>
      </c>
      <c r="N164" s="4" t="s">
        <v>49</v>
      </c>
      <c r="Q164" s="6">
        <v>45782</v>
      </c>
      <c r="R164" s="6" t="str">
        <f>TEXT(Q164, "MMM-YY")</f>
        <v>May-25</v>
      </c>
      <c r="X164" s="25">
        <v>97.933000000000007</v>
      </c>
      <c r="AB164"/>
      <c r="AC164"/>
      <c r="AD164"/>
      <c r="AE164"/>
      <c r="AF164"/>
      <c r="AG164"/>
      <c r="AH164"/>
      <c r="AI164"/>
      <c r="AJ164"/>
      <c r="AK164"/>
      <c r="AL164"/>
      <c r="AM164"/>
      <c r="AN164" s="9">
        <f t="shared" si="4"/>
        <v>0</v>
      </c>
      <c r="AO164" s="8"/>
      <c r="AP164" s="9">
        <f>I164-W164-X164-AN164</f>
        <v>0</v>
      </c>
      <c r="AQ164" t="s">
        <v>1324</v>
      </c>
    </row>
    <row r="165" spans="1:43" x14ac:dyDescent="0.3">
      <c r="A165" s="11">
        <f t="shared" si="5"/>
        <v>163</v>
      </c>
      <c r="B165" s="5" t="s">
        <v>1675</v>
      </c>
      <c r="C165" t="s">
        <v>893</v>
      </c>
      <c r="D165" s="24" t="s">
        <v>824</v>
      </c>
      <c r="E165" s="24" t="str">
        <f>IFERROR(VLOOKUP(D165,Dropdown!A:B,2,0),D165)</f>
        <v>Paragon</v>
      </c>
      <c r="F165" s="6">
        <v>45782</v>
      </c>
      <c r="G165" s="6" t="str">
        <f>TEXT(F165, "MMM-YY")</f>
        <v>May-25</v>
      </c>
      <c r="H165" t="s">
        <v>188</v>
      </c>
      <c r="I165" s="25">
        <v>101.25</v>
      </c>
      <c r="J165" s="4">
        <v>1000</v>
      </c>
      <c r="K165" t="s">
        <v>950</v>
      </c>
      <c r="L165" s="4" t="str">
        <f>VLOOKUP(K165, 'Items Master'!A:E,5,0)</f>
        <v>RIL</v>
      </c>
      <c r="M165" s="4" t="str">
        <f>VLOOKUP(K165, 'Items Master'!A:D,4,0)</f>
        <v>PP</v>
      </c>
      <c r="N165" s="4" t="s">
        <v>49</v>
      </c>
      <c r="Q165" s="6">
        <v>45782</v>
      </c>
      <c r="R165" s="6" t="str">
        <f>TEXT(Q165, "MMM-YY")</f>
        <v>May-25</v>
      </c>
      <c r="X165" s="25">
        <v>101.25</v>
      </c>
      <c r="AB165"/>
      <c r="AC165"/>
      <c r="AD165"/>
      <c r="AE165"/>
      <c r="AF165"/>
      <c r="AG165"/>
      <c r="AH165"/>
      <c r="AI165"/>
      <c r="AJ165"/>
      <c r="AK165"/>
      <c r="AL165"/>
      <c r="AM165"/>
      <c r="AN165" s="9">
        <f t="shared" si="4"/>
        <v>0</v>
      </c>
      <c r="AO165" s="8"/>
      <c r="AP165" s="9">
        <f>I165-W165-X165-AN165</f>
        <v>0</v>
      </c>
      <c r="AQ165" t="s">
        <v>1324</v>
      </c>
    </row>
    <row r="166" spans="1:43" x14ac:dyDescent="0.3">
      <c r="A166" s="11">
        <f t="shared" si="5"/>
        <v>164</v>
      </c>
      <c r="B166" s="5" t="s">
        <v>1675</v>
      </c>
      <c r="C166" t="s">
        <v>894</v>
      </c>
      <c r="D166" s="24" t="s">
        <v>856</v>
      </c>
      <c r="E166" s="24" t="str">
        <f>IFERROR(VLOOKUP(D166,Dropdown!A:B,2,0),D166)</f>
        <v>SRI LAKOSHA POLYMER PRIVATE LTD</v>
      </c>
      <c r="F166" s="6">
        <v>45782</v>
      </c>
      <c r="G166" s="6" t="str">
        <f>TEXT(F166, "MMM-YY")</f>
        <v>May-25</v>
      </c>
      <c r="H166" t="s">
        <v>189</v>
      </c>
      <c r="I166" s="25">
        <v>90.25</v>
      </c>
      <c r="J166" s="4">
        <v>8250</v>
      </c>
      <c r="K166" t="s">
        <v>906</v>
      </c>
      <c r="L166" s="4" t="str">
        <f>VLOOKUP(K166, 'Items Master'!A:E,5,0)</f>
        <v>EQUATE</v>
      </c>
      <c r="M166" s="4" t="str">
        <f>VLOOKUP(K166, 'Items Master'!A:D,4,0)</f>
        <v>HDPE</v>
      </c>
      <c r="N166" s="4" t="s">
        <v>24</v>
      </c>
      <c r="Q166" s="6">
        <v>45782</v>
      </c>
      <c r="R166" s="6" t="str">
        <f>TEXT(Q166, "MMM-YY")</f>
        <v>May-25</v>
      </c>
      <c r="W166" s="25">
        <v>90.25</v>
      </c>
      <c r="Y166"/>
      <c r="Z166"/>
      <c r="AB166"/>
      <c r="AC166"/>
      <c r="AD166"/>
      <c r="AE166"/>
      <c r="AF166"/>
      <c r="AG166"/>
      <c r="AH166"/>
      <c r="AI166"/>
      <c r="AJ166"/>
      <c r="AK166"/>
      <c r="AL166"/>
      <c r="AM166"/>
      <c r="AN166" s="9">
        <f t="shared" si="4"/>
        <v>0</v>
      </c>
      <c r="AO166" s="8"/>
      <c r="AP166" s="9">
        <f>I166-W166-X166-AN166</f>
        <v>0</v>
      </c>
      <c r="AQ166" t="s">
        <v>1316</v>
      </c>
    </row>
    <row r="167" spans="1:43" x14ac:dyDescent="0.3">
      <c r="A167" s="11">
        <f t="shared" si="5"/>
        <v>165</v>
      </c>
      <c r="B167" s="5" t="s">
        <v>1675</v>
      </c>
      <c r="C167" t="s">
        <v>894</v>
      </c>
      <c r="D167" s="24" t="s">
        <v>856</v>
      </c>
      <c r="E167" s="24" t="str">
        <f>IFERROR(VLOOKUP(D167,Dropdown!A:B,2,0),D167)</f>
        <v>SRI LAKOSHA POLYMER PRIVATE LTD</v>
      </c>
      <c r="F167" s="6">
        <v>45782</v>
      </c>
      <c r="G167" s="6" t="str">
        <f>TEXT(F167, "MMM-YY")</f>
        <v>May-25</v>
      </c>
      <c r="H167" t="s">
        <v>190</v>
      </c>
      <c r="I167" s="25">
        <v>90.25</v>
      </c>
      <c r="J167" s="4">
        <v>16500</v>
      </c>
      <c r="K167" t="s">
        <v>906</v>
      </c>
      <c r="L167" s="4" t="str">
        <f>VLOOKUP(K167, 'Items Master'!A:E,5,0)</f>
        <v>EQUATE</v>
      </c>
      <c r="M167" s="4" t="str">
        <f>VLOOKUP(K167, 'Items Master'!A:D,4,0)</f>
        <v>HDPE</v>
      </c>
      <c r="N167" s="4" t="s">
        <v>24</v>
      </c>
      <c r="Q167" s="6">
        <v>45782</v>
      </c>
      <c r="R167" s="6" t="str">
        <f>TEXT(Q167, "MMM-YY")</f>
        <v>May-25</v>
      </c>
      <c r="W167" s="25">
        <v>90.25</v>
      </c>
      <c r="Y167"/>
      <c r="Z167"/>
      <c r="AB167"/>
      <c r="AC167"/>
      <c r="AD167"/>
      <c r="AE167"/>
      <c r="AF167"/>
      <c r="AG167"/>
      <c r="AH167"/>
      <c r="AI167"/>
      <c r="AJ167"/>
      <c r="AK167"/>
      <c r="AL167"/>
      <c r="AM167"/>
      <c r="AN167" s="9">
        <f t="shared" si="4"/>
        <v>0</v>
      </c>
      <c r="AO167" s="8"/>
      <c r="AP167" s="9">
        <f>I167-W167-X167-AN167</f>
        <v>0</v>
      </c>
      <c r="AQ167" t="s">
        <v>1316</v>
      </c>
    </row>
    <row r="168" spans="1:43" x14ac:dyDescent="0.3">
      <c r="A168" s="11">
        <f t="shared" si="5"/>
        <v>166</v>
      </c>
      <c r="B168" s="5" t="s">
        <v>1675</v>
      </c>
      <c r="C168" t="s">
        <v>894</v>
      </c>
      <c r="D168" s="24" t="s">
        <v>855</v>
      </c>
      <c r="E168" s="24" t="str">
        <f>IFERROR(VLOOKUP(D168,Dropdown!A:B,2,0),D168)</f>
        <v>TEGRAL INDIA PRIVATE LIMITED</v>
      </c>
      <c r="F168" s="6">
        <v>45782</v>
      </c>
      <c r="G168" s="6" t="str">
        <f>TEXT(F168, "MMM-YY")</f>
        <v>May-25</v>
      </c>
      <c r="H168" t="s">
        <v>191</v>
      </c>
      <c r="I168" s="25">
        <v>90.3</v>
      </c>
      <c r="J168" s="4">
        <v>8000</v>
      </c>
      <c r="K168" t="s">
        <v>907</v>
      </c>
      <c r="L168" s="4" t="str">
        <f>VLOOKUP(K168, 'Items Master'!A:E,5,0)</f>
        <v>MARLEX</v>
      </c>
      <c r="M168" s="4" t="str">
        <f>VLOOKUP(K168, 'Items Master'!A:D,4,0)</f>
        <v>HDPE</v>
      </c>
      <c r="N168" s="4" t="s">
        <v>24</v>
      </c>
      <c r="Q168" s="6">
        <v>45782</v>
      </c>
      <c r="R168" s="6" t="str">
        <f>TEXT(Q168, "MMM-YY")</f>
        <v>May-25</v>
      </c>
      <c r="W168" s="25">
        <v>90.3</v>
      </c>
      <c r="Y168"/>
      <c r="Z168"/>
      <c r="AB168"/>
      <c r="AC168"/>
      <c r="AD168"/>
      <c r="AE168"/>
      <c r="AF168"/>
      <c r="AG168"/>
      <c r="AH168"/>
      <c r="AI168"/>
      <c r="AJ168"/>
      <c r="AK168"/>
      <c r="AL168"/>
      <c r="AM168"/>
      <c r="AN168" s="9">
        <f t="shared" si="4"/>
        <v>0</v>
      </c>
      <c r="AO168" s="8"/>
      <c r="AP168" s="9">
        <f>I168-W168-X168-AN168</f>
        <v>0</v>
      </c>
      <c r="AQ168" t="s">
        <v>1316</v>
      </c>
    </row>
    <row r="169" spans="1:43" x14ac:dyDescent="0.3">
      <c r="A169" s="11">
        <f t="shared" si="5"/>
        <v>167</v>
      </c>
      <c r="B169" s="5" t="s">
        <v>1675</v>
      </c>
      <c r="C169" t="s">
        <v>893</v>
      </c>
      <c r="D169" s="24" t="s">
        <v>844</v>
      </c>
      <c r="E169" s="24" t="str">
        <f>IFERROR(VLOOKUP(D169,Dropdown!A:B,2,0),D169)</f>
        <v>APEX TECHNO POLYMER PRIVATE LIMITED</v>
      </c>
      <c r="F169" s="6">
        <v>45783</v>
      </c>
      <c r="G169" s="6" t="str">
        <f>TEXT(F169, "MMM-YY")</f>
        <v>May-25</v>
      </c>
      <c r="H169" t="s">
        <v>192</v>
      </c>
      <c r="I169" s="25">
        <v>172</v>
      </c>
      <c r="J169" s="4">
        <v>3000</v>
      </c>
      <c r="K169" t="s">
        <v>946</v>
      </c>
      <c r="L169" s="4" t="str">
        <f>VLOOKUP(K169, 'Items Master'!A:E,5,0)</f>
        <v>NA</v>
      </c>
      <c r="M169" s="4" t="str">
        <f>VLOOKUP(K169, 'Items Master'!A:D,4,0)</f>
        <v>Nylon</v>
      </c>
      <c r="N169" s="4" t="s">
        <v>24</v>
      </c>
      <c r="Q169" s="6">
        <v>45783</v>
      </c>
      <c r="R169" s="6" t="str">
        <f>TEXT(Q169, "MMM-YY")</f>
        <v>May-25</v>
      </c>
      <c r="W169" s="25">
        <v>172</v>
      </c>
      <c r="Y169"/>
      <c r="Z169"/>
      <c r="AB169"/>
      <c r="AC169"/>
      <c r="AD169"/>
      <c r="AE169"/>
      <c r="AF169"/>
      <c r="AG169"/>
      <c r="AH169"/>
      <c r="AI169"/>
      <c r="AJ169"/>
      <c r="AK169"/>
      <c r="AL169"/>
      <c r="AM169"/>
      <c r="AN169" s="9">
        <f t="shared" si="4"/>
        <v>0</v>
      </c>
      <c r="AO169" s="8"/>
      <c r="AP169" s="9">
        <f>I169-W169-X169-AN169</f>
        <v>0</v>
      </c>
      <c r="AQ169" t="s">
        <v>1316</v>
      </c>
    </row>
    <row r="170" spans="1:43" x14ac:dyDescent="0.3">
      <c r="A170" s="11">
        <f t="shared" si="5"/>
        <v>168</v>
      </c>
      <c r="B170" s="5" t="s">
        <v>1675</v>
      </c>
      <c r="C170" t="s">
        <v>893</v>
      </c>
      <c r="D170" s="24" t="s">
        <v>840</v>
      </c>
      <c r="E170" s="24" t="str">
        <f>IFERROR(VLOOKUP(D170,Dropdown!A:B,2,0),D170)</f>
        <v>LPB Plastic Private Limited</v>
      </c>
      <c r="F170" s="6">
        <v>45783</v>
      </c>
      <c r="G170" s="6" t="str">
        <f>TEXT(F170, "MMM-YY")</f>
        <v>May-25</v>
      </c>
      <c r="H170" t="s">
        <v>193</v>
      </c>
      <c r="I170" s="25">
        <v>94</v>
      </c>
      <c r="J170" s="4">
        <v>1000</v>
      </c>
      <c r="K170" t="s">
        <v>951</v>
      </c>
      <c r="L170" s="4" t="str">
        <f>VLOOKUP(K170, 'Items Master'!A:E,5,0)</f>
        <v>HMEL</v>
      </c>
      <c r="M170" s="4" t="str">
        <f>VLOOKUP(K170, 'Items Master'!A:D,4,0)</f>
        <v>LLDPE</v>
      </c>
      <c r="N170" s="4" t="s">
        <v>24</v>
      </c>
      <c r="Q170" s="6">
        <v>45783</v>
      </c>
      <c r="R170" s="6" t="str">
        <f>TEXT(Q170, "MMM-YY")</f>
        <v>May-25</v>
      </c>
      <c r="W170" s="25">
        <v>94</v>
      </c>
      <c r="Y170"/>
      <c r="Z170"/>
      <c r="AB170"/>
      <c r="AC170"/>
      <c r="AD170"/>
      <c r="AE170"/>
      <c r="AF170"/>
      <c r="AG170"/>
      <c r="AH170"/>
      <c r="AI170"/>
      <c r="AJ170"/>
      <c r="AK170"/>
      <c r="AL170"/>
      <c r="AM170"/>
      <c r="AN170" s="9">
        <f t="shared" si="4"/>
        <v>0</v>
      </c>
      <c r="AO170" s="8"/>
      <c r="AP170" s="9">
        <f>I170-W170-X170-AN170</f>
        <v>0</v>
      </c>
      <c r="AQ170" t="s">
        <v>1316</v>
      </c>
    </row>
    <row r="171" spans="1:43" x14ac:dyDescent="0.3">
      <c r="A171" s="11">
        <f t="shared" si="5"/>
        <v>169</v>
      </c>
      <c r="B171" s="5" t="s">
        <v>1675</v>
      </c>
      <c r="C171" t="s">
        <v>893</v>
      </c>
      <c r="D171" s="24" t="s">
        <v>48</v>
      </c>
      <c r="E171" s="24" t="str">
        <f>IFERROR(VLOOKUP(D171,Dropdown!A:B,2,0),D171)</f>
        <v>CVPL</v>
      </c>
      <c r="F171" s="6">
        <v>45783</v>
      </c>
      <c r="G171" s="6" t="str">
        <f>TEXT(F171, "MMM-YY")</f>
        <v>May-25</v>
      </c>
      <c r="H171" t="s">
        <v>194</v>
      </c>
      <c r="I171" s="25">
        <v>92.75</v>
      </c>
      <c r="J171" s="4">
        <v>1000</v>
      </c>
      <c r="K171" t="s">
        <v>903</v>
      </c>
      <c r="L171" s="4" t="str">
        <f>VLOOKUP(K171, 'Items Master'!A:E,5,0)</f>
        <v>GAIL</v>
      </c>
      <c r="M171" s="4" t="str">
        <f>VLOOKUP(K171, 'Items Master'!A:D,4,0)</f>
        <v>LLDPE</v>
      </c>
      <c r="N171" s="4" t="s">
        <v>24</v>
      </c>
      <c r="Q171" s="6">
        <v>45783</v>
      </c>
      <c r="R171" s="6" t="str">
        <f>TEXT(Q171, "MMM-YY")</f>
        <v>May-25</v>
      </c>
      <c r="X171" s="25">
        <v>98.974000000000004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 s="9">
        <f t="shared" si="4"/>
        <v>0</v>
      </c>
      <c r="AO171" s="8"/>
      <c r="AP171" s="9">
        <f>I171-W171-X171-AN171</f>
        <v>-6.2240000000000038</v>
      </c>
      <c r="AQ171" t="s">
        <v>1324</v>
      </c>
    </row>
    <row r="172" spans="1:43" x14ac:dyDescent="0.3">
      <c r="A172" s="11">
        <f t="shared" si="5"/>
        <v>170</v>
      </c>
      <c r="B172" s="5" t="s">
        <v>1675</v>
      </c>
      <c r="C172" t="s">
        <v>893</v>
      </c>
      <c r="D172" s="24" t="s">
        <v>857</v>
      </c>
      <c r="E172" s="24" t="str">
        <f>IFERROR(VLOOKUP(D172,Dropdown!A:B,2,0),D172)</f>
        <v>Purav</v>
      </c>
      <c r="F172" s="6">
        <v>45783</v>
      </c>
      <c r="G172" s="6" t="str">
        <f>TEXT(F172, "MMM-YY")</f>
        <v>May-25</v>
      </c>
      <c r="H172" t="s">
        <v>195</v>
      </c>
      <c r="I172" s="25">
        <v>97.43</v>
      </c>
      <c r="J172" s="4">
        <v>8000</v>
      </c>
      <c r="K172" t="s">
        <v>17</v>
      </c>
      <c r="L172" s="4" t="str">
        <f>VLOOKUP(K172, 'Items Master'!A:E,5,0)</f>
        <v>OPAL</v>
      </c>
      <c r="M172" s="4" t="str">
        <f>VLOOKUP(K172, 'Items Master'!A:D,4,0)</f>
        <v>LLDPE</v>
      </c>
      <c r="N172" s="4" t="s">
        <v>49</v>
      </c>
      <c r="O172" t="s">
        <v>1295</v>
      </c>
      <c r="Q172" s="6">
        <v>45783</v>
      </c>
      <c r="R172" s="6" t="str">
        <f>TEXT(Q172, "MMM-YY")</f>
        <v>May-25</v>
      </c>
      <c r="S172" t="s">
        <v>21</v>
      </c>
      <c r="T172" t="s">
        <v>21</v>
      </c>
      <c r="U172" t="s">
        <v>1605</v>
      </c>
      <c r="X172" s="25">
        <v>97.33</v>
      </c>
      <c r="AH172" s="8">
        <v>0.1</v>
      </c>
      <c r="AN172" s="9">
        <f t="shared" si="4"/>
        <v>0.1</v>
      </c>
      <c r="AO172" s="8"/>
      <c r="AP172" s="9">
        <f>I172-W172-X172-AN172</f>
        <v>8.5209617139980764E-15</v>
      </c>
      <c r="AQ172" t="s">
        <v>1316</v>
      </c>
    </row>
    <row r="173" spans="1:43" x14ac:dyDescent="0.3">
      <c r="A173" s="11">
        <f t="shared" si="5"/>
        <v>171</v>
      </c>
      <c r="B173" s="5" t="s">
        <v>1675</v>
      </c>
      <c r="C173" t="s">
        <v>893</v>
      </c>
      <c r="D173" s="24" t="s">
        <v>857</v>
      </c>
      <c r="E173" s="24" t="str">
        <f>IFERROR(VLOOKUP(D173,Dropdown!A:B,2,0),D173)</f>
        <v>Purav</v>
      </c>
      <c r="F173" s="6">
        <v>45783</v>
      </c>
      <c r="G173" s="6" t="str">
        <f>TEXT(F173, "MMM-YY")</f>
        <v>May-25</v>
      </c>
      <c r="H173" t="s">
        <v>196</v>
      </c>
      <c r="I173" s="25">
        <v>97.43</v>
      </c>
      <c r="J173" s="4">
        <v>2500</v>
      </c>
      <c r="K173" t="s">
        <v>17</v>
      </c>
      <c r="L173" s="4" t="str">
        <f>VLOOKUP(K173, 'Items Master'!A:E,5,0)</f>
        <v>OPAL</v>
      </c>
      <c r="M173" s="4" t="str">
        <f>VLOOKUP(K173, 'Items Master'!A:D,4,0)</f>
        <v>LLDPE</v>
      </c>
      <c r="N173" s="4" t="s">
        <v>49</v>
      </c>
      <c r="O173" t="s">
        <v>1295</v>
      </c>
      <c r="Q173" s="6">
        <v>45783</v>
      </c>
      <c r="R173" s="6" t="str">
        <f>TEXT(Q173, "MMM-YY")</f>
        <v>May-25</v>
      </c>
      <c r="S173" t="s">
        <v>21</v>
      </c>
      <c r="T173" t="s">
        <v>21</v>
      </c>
      <c r="U173" t="s">
        <v>1605</v>
      </c>
      <c r="X173" s="25">
        <v>97.33</v>
      </c>
      <c r="AH173" s="8">
        <v>0.1</v>
      </c>
      <c r="AN173" s="9">
        <f t="shared" si="4"/>
        <v>0.1</v>
      </c>
      <c r="AO173" s="8"/>
      <c r="AP173" s="9">
        <f>I173-W173-X173-AN173</f>
        <v>8.5209617139980764E-15</v>
      </c>
      <c r="AQ173" t="s">
        <v>1316</v>
      </c>
    </row>
    <row r="174" spans="1:43" x14ac:dyDescent="0.3">
      <c r="A174" s="11">
        <f t="shared" si="5"/>
        <v>172</v>
      </c>
      <c r="B174" s="5" t="s">
        <v>1675</v>
      </c>
      <c r="C174" t="s">
        <v>893</v>
      </c>
      <c r="D174" s="24" t="s">
        <v>824</v>
      </c>
      <c r="E174" s="24" t="str">
        <f>IFERROR(VLOOKUP(D174,Dropdown!A:B,2,0),D174)</f>
        <v>Paragon</v>
      </c>
      <c r="F174" s="6">
        <v>45783</v>
      </c>
      <c r="G174" s="6" t="str">
        <f>TEXT(F174, "MMM-YY")</f>
        <v>May-25</v>
      </c>
      <c r="H174" t="s">
        <v>197</v>
      </c>
      <c r="I174" s="25">
        <v>102.68</v>
      </c>
      <c r="J174" s="4">
        <v>1500</v>
      </c>
      <c r="K174" t="s">
        <v>912</v>
      </c>
      <c r="L174" s="4" t="str">
        <f>VLOOKUP(K174, 'Items Master'!A:E,5,0)</f>
        <v>RIL</v>
      </c>
      <c r="M174" s="4" t="str">
        <f>VLOOKUP(K174, 'Items Master'!A:D,4,0)</f>
        <v>PP</v>
      </c>
      <c r="N174" s="4" t="s">
        <v>49</v>
      </c>
      <c r="Q174" s="6">
        <v>45783</v>
      </c>
      <c r="R174" s="6" t="str">
        <f>TEXT(Q174, "MMM-YY")</f>
        <v>May-25</v>
      </c>
      <c r="X174" s="25">
        <v>102.68</v>
      </c>
      <c r="AB174"/>
      <c r="AC174"/>
      <c r="AD174"/>
      <c r="AE174"/>
      <c r="AF174"/>
      <c r="AG174"/>
      <c r="AH174"/>
      <c r="AI174"/>
      <c r="AJ174"/>
      <c r="AK174"/>
      <c r="AL174"/>
      <c r="AM174"/>
      <c r="AN174" s="9">
        <f t="shared" si="4"/>
        <v>0</v>
      </c>
      <c r="AO174" s="8"/>
      <c r="AP174" s="9">
        <f>I174-W174-X174-AN174</f>
        <v>0</v>
      </c>
      <c r="AQ174" t="s">
        <v>1324</v>
      </c>
    </row>
    <row r="175" spans="1:43" x14ac:dyDescent="0.3">
      <c r="A175" s="11">
        <f t="shared" si="5"/>
        <v>173</v>
      </c>
      <c r="B175" s="5" t="s">
        <v>1675</v>
      </c>
      <c r="C175" t="s">
        <v>893</v>
      </c>
      <c r="D175" s="24" t="s">
        <v>857</v>
      </c>
      <c r="E175" s="24" t="str">
        <f>IFERROR(VLOOKUP(D175,Dropdown!A:B,2,0),D175)</f>
        <v>Purav</v>
      </c>
      <c r="F175" s="6">
        <v>45783</v>
      </c>
      <c r="G175" s="6" t="str">
        <f>TEXT(F175, "MMM-YY")</f>
        <v>May-25</v>
      </c>
      <c r="H175" t="s">
        <v>25</v>
      </c>
      <c r="I175" s="25">
        <v>91.1</v>
      </c>
      <c r="J175" s="4">
        <v>20000</v>
      </c>
      <c r="K175" t="s">
        <v>952</v>
      </c>
      <c r="L175" s="4" t="str">
        <f>VLOOKUP(K175, 'Items Master'!A:E,5,0)</f>
        <v>GAIL</v>
      </c>
      <c r="M175" s="4" t="str">
        <f>VLOOKUP(K175, 'Items Master'!A:D,4,0)</f>
        <v>HDPE</v>
      </c>
      <c r="N175" s="4" t="s">
        <v>24</v>
      </c>
      <c r="Q175" s="6">
        <v>45783</v>
      </c>
      <c r="R175" s="6" t="str">
        <f>TEXT(Q175, "MMM-YY")</f>
        <v>May-25</v>
      </c>
      <c r="U175" t="s">
        <v>1606</v>
      </c>
      <c r="W175" s="25">
        <v>91</v>
      </c>
      <c r="Y175"/>
      <c r="Z175"/>
      <c r="AH175" s="8">
        <v>0.1</v>
      </c>
      <c r="AN175" s="9">
        <f t="shared" si="4"/>
        <v>0.1</v>
      </c>
      <c r="AO175" s="8"/>
      <c r="AP175" s="9">
        <f>I175-W175-X175-AN175</f>
        <v>-5.6898930012039273E-15</v>
      </c>
      <c r="AQ175" t="s">
        <v>1316</v>
      </c>
    </row>
    <row r="176" spans="1:43" x14ac:dyDescent="0.3">
      <c r="A176" s="11">
        <f t="shared" si="5"/>
        <v>174</v>
      </c>
      <c r="B176" s="5" t="s">
        <v>1675</v>
      </c>
      <c r="C176" t="s">
        <v>894</v>
      </c>
      <c r="D176" s="24" t="s">
        <v>837</v>
      </c>
      <c r="E176" s="24" t="str">
        <f>IFERROR(VLOOKUP(D176,Dropdown!A:B,2,0),D176)</f>
        <v>SYNTHETIC PACKERS LIMITED</v>
      </c>
      <c r="F176" s="6">
        <v>45783</v>
      </c>
      <c r="G176" s="6" t="str">
        <f>TEXT(F176, "MMM-YY")</f>
        <v>May-25</v>
      </c>
      <c r="H176" t="s">
        <v>198</v>
      </c>
      <c r="I176" s="25">
        <v>90</v>
      </c>
      <c r="J176" s="4">
        <v>24750</v>
      </c>
      <c r="K176" t="s">
        <v>909</v>
      </c>
      <c r="L176" s="4" t="str">
        <f>VLOOKUP(K176, 'Items Master'!A:E,5,0)</f>
        <v>LUBAN</v>
      </c>
      <c r="M176" s="4" t="str">
        <f>VLOOKUP(K176, 'Items Master'!A:D,4,0)</f>
        <v>HDPE</v>
      </c>
      <c r="N176" s="4" t="s">
        <v>24</v>
      </c>
      <c r="Q176" s="6">
        <v>45783</v>
      </c>
      <c r="R176" s="6" t="str">
        <f>TEXT(Q176, "MMM-YY")</f>
        <v>May-25</v>
      </c>
      <c r="W176" s="25">
        <v>90</v>
      </c>
      <c r="Y176"/>
      <c r="Z176"/>
      <c r="AB176"/>
      <c r="AC176"/>
      <c r="AD176"/>
      <c r="AE176"/>
      <c r="AF176"/>
      <c r="AG176"/>
      <c r="AH176"/>
      <c r="AI176"/>
      <c r="AJ176"/>
      <c r="AK176"/>
      <c r="AL176"/>
      <c r="AM176"/>
      <c r="AN176" s="9">
        <f t="shared" si="4"/>
        <v>0</v>
      </c>
      <c r="AO176" s="8"/>
      <c r="AP176" s="9">
        <f>I176-W176-X176-AN176</f>
        <v>0</v>
      </c>
      <c r="AQ176" t="s">
        <v>1316</v>
      </c>
    </row>
    <row r="177" spans="1:44" x14ac:dyDescent="0.3">
      <c r="A177" s="11">
        <f t="shared" si="5"/>
        <v>175</v>
      </c>
      <c r="B177" s="5" t="s">
        <v>1675</v>
      </c>
      <c r="C177" t="s">
        <v>893</v>
      </c>
      <c r="D177" s="24" t="s">
        <v>48</v>
      </c>
      <c r="E177" s="24" t="str">
        <f>IFERROR(VLOOKUP(D177,Dropdown!A:B,2,0),D177)</f>
        <v>CVPL</v>
      </c>
      <c r="F177" s="6">
        <v>45784</v>
      </c>
      <c r="G177" s="6" t="str">
        <f>TEXT(F177, "MMM-YY")</f>
        <v>May-25</v>
      </c>
      <c r="H177" t="s">
        <v>199</v>
      </c>
      <c r="I177" s="25">
        <v>96</v>
      </c>
      <c r="J177" s="4">
        <v>1000</v>
      </c>
      <c r="K177" t="s">
        <v>937</v>
      </c>
      <c r="L177" s="4" t="str">
        <f>VLOOKUP(K177, 'Items Master'!A:E,5,0)</f>
        <v>MRPL</v>
      </c>
      <c r="M177" s="4" t="str">
        <f>VLOOKUP(K177, 'Items Master'!A:D,4,0)</f>
        <v>PP</v>
      </c>
      <c r="N177" s="4" t="s">
        <v>49</v>
      </c>
      <c r="O177" t="s">
        <v>1295</v>
      </c>
      <c r="Q177" s="6">
        <v>45784</v>
      </c>
      <c r="R177" s="6" t="str">
        <f>TEXT(Q177, "MMM-YY")</f>
        <v>May-25</v>
      </c>
      <c r="X177" s="25">
        <v>96.745999999999995</v>
      </c>
      <c r="AB177"/>
      <c r="AC177"/>
      <c r="AD177"/>
      <c r="AE177"/>
      <c r="AF177"/>
      <c r="AG177"/>
      <c r="AH177"/>
      <c r="AI177"/>
      <c r="AJ177"/>
      <c r="AK177"/>
      <c r="AL177"/>
      <c r="AM177"/>
      <c r="AN177" s="9">
        <f t="shared" si="4"/>
        <v>0</v>
      </c>
      <c r="AO177" s="8"/>
      <c r="AP177" s="9">
        <f>I177-W177-X177-AN177</f>
        <v>-0.74599999999999511</v>
      </c>
      <c r="AQ177" t="s">
        <v>1324</v>
      </c>
    </row>
    <row r="178" spans="1:44" x14ac:dyDescent="0.3">
      <c r="A178" s="11">
        <f t="shared" si="5"/>
        <v>176</v>
      </c>
      <c r="B178" s="5" t="s">
        <v>1675</v>
      </c>
      <c r="C178" t="s">
        <v>893</v>
      </c>
      <c r="D178" s="24" t="s">
        <v>48</v>
      </c>
      <c r="E178" s="24" t="str">
        <f>IFERROR(VLOOKUP(D178,Dropdown!A:B,2,0),D178)</f>
        <v>CVPL</v>
      </c>
      <c r="F178" s="6">
        <v>45784</v>
      </c>
      <c r="G178" s="6" t="str">
        <f>TEXT(F178, "MMM-YY")</f>
        <v>May-25</v>
      </c>
      <c r="H178" t="s">
        <v>200</v>
      </c>
      <c r="I178" s="25">
        <v>98.9</v>
      </c>
      <c r="J178" s="4">
        <v>6000</v>
      </c>
      <c r="K178" t="s">
        <v>899</v>
      </c>
      <c r="L178" s="4" t="str">
        <f>VLOOKUP(K178, 'Items Master'!A:E,5,0)</f>
        <v>MRPL</v>
      </c>
      <c r="M178" s="4" t="str">
        <f>VLOOKUP(K178, 'Items Master'!A:D,4,0)</f>
        <v>PP</v>
      </c>
      <c r="N178" s="4" t="s">
        <v>49</v>
      </c>
      <c r="Q178" s="6">
        <v>45784</v>
      </c>
      <c r="R178" s="6" t="str">
        <f>TEXT(Q178, "MMM-YY")</f>
        <v>May-25</v>
      </c>
      <c r="X178" s="25">
        <v>98.896000000000001</v>
      </c>
      <c r="AB178"/>
      <c r="AC178"/>
      <c r="AD178"/>
      <c r="AE178"/>
      <c r="AF178"/>
      <c r="AG178"/>
      <c r="AH178"/>
      <c r="AI178"/>
      <c r="AJ178"/>
      <c r="AK178"/>
      <c r="AL178"/>
      <c r="AM178"/>
      <c r="AN178" s="9">
        <f t="shared" si="4"/>
        <v>0</v>
      </c>
      <c r="AO178" s="8"/>
      <c r="AP178" s="9">
        <f>I178-W178-X178-AN178</f>
        <v>4.0000000000048885E-3</v>
      </c>
      <c r="AQ178" t="s">
        <v>1324</v>
      </c>
    </row>
    <row r="179" spans="1:44" x14ac:dyDescent="0.3">
      <c r="A179" s="11">
        <f t="shared" si="5"/>
        <v>177</v>
      </c>
      <c r="B179" s="5" t="s">
        <v>1675</v>
      </c>
      <c r="C179" t="s">
        <v>893</v>
      </c>
      <c r="D179" s="24" t="s">
        <v>48</v>
      </c>
      <c r="E179" s="24" t="str">
        <f>IFERROR(VLOOKUP(D179,Dropdown!A:B,2,0),D179)</f>
        <v>CVPL</v>
      </c>
      <c r="F179" s="6">
        <v>45784</v>
      </c>
      <c r="G179" s="6" t="str">
        <f>TEXT(F179, "MMM-YY")</f>
        <v>May-25</v>
      </c>
      <c r="H179" t="s">
        <v>201</v>
      </c>
      <c r="I179" s="25">
        <v>98.9</v>
      </c>
      <c r="J179" s="4">
        <v>2500</v>
      </c>
      <c r="K179" t="s">
        <v>899</v>
      </c>
      <c r="L179" s="4" t="str">
        <f>VLOOKUP(K179, 'Items Master'!A:E,5,0)</f>
        <v>MRPL</v>
      </c>
      <c r="M179" s="4" t="str">
        <f>VLOOKUP(K179, 'Items Master'!A:D,4,0)</f>
        <v>PP</v>
      </c>
      <c r="N179" s="4" t="s">
        <v>49</v>
      </c>
      <c r="Q179" s="6">
        <v>45784</v>
      </c>
      <c r="R179" s="6" t="str">
        <f>TEXT(Q179, "MMM-YY")</f>
        <v>May-25</v>
      </c>
      <c r="X179" s="25">
        <v>98.896000000000001</v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 s="9">
        <f t="shared" si="4"/>
        <v>0</v>
      </c>
      <c r="AO179" s="8"/>
      <c r="AP179" s="9">
        <f>I179-W179-X179-AN179</f>
        <v>4.0000000000048885E-3</v>
      </c>
      <c r="AQ179" t="s">
        <v>1324</v>
      </c>
    </row>
    <row r="180" spans="1:44" x14ac:dyDescent="0.3">
      <c r="A180" s="11">
        <f t="shared" si="5"/>
        <v>178</v>
      </c>
      <c r="B180" s="5" t="s">
        <v>1675</v>
      </c>
      <c r="C180" t="s">
        <v>893</v>
      </c>
      <c r="D180" s="24" t="s">
        <v>857</v>
      </c>
      <c r="E180" s="24" t="str">
        <f>IFERROR(VLOOKUP(D180,Dropdown!A:B,2,0),D180)</f>
        <v>Purav</v>
      </c>
      <c r="F180" s="6">
        <v>45784</v>
      </c>
      <c r="G180" s="6" t="str">
        <f>TEXT(F180, "MMM-YY")</f>
        <v>May-25</v>
      </c>
      <c r="H180" t="s">
        <v>26</v>
      </c>
      <c r="I180" s="25">
        <v>97.43</v>
      </c>
      <c r="J180" s="4">
        <v>10000</v>
      </c>
      <c r="K180" t="s">
        <v>17</v>
      </c>
      <c r="L180" s="4" t="str">
        <f>VLOOKUP(K180, 'Items Master'!A:E,5,0)</f>
        <v>OPAL</v>
      </c>
      <c r="M180" s="4" t="str">
        <f>VLOOKUP(K180, 'Items Master'!A:D,4,0)</f>
        <v>LLDPE</v>
      </c>
      <c r="N180" s="4" t="s">
        <v>49</v>
      </c>
      <c r="O180" t="s">
        <v>1295</v>
      </c>
      <c r="Q180" s="6">
        <v>45784</v>
      </c>
      <c r="R180" s="6" t="str">
        <f>TEXT(Q180, "MMM-YY")</f>
        <v>May-25</v>
      </c>
      <c r="S180" t="s">
        <v>21</v>
      </c>
      <c r="T180" t="s">
        <v>21</v>
      </c>
      <c r="U180" t="s">
        <v>1605</v>
      </c>
      <c r="X180" s="25">
        <v>97.33</v>
      </c>
      <c r="AH180" s="8">
        <v>0.1</v>
      </c>
      <c r="AN180" s="9">
        <f t="shared" si="4"/>
        <v>0.1</v>
      </c>
      <c r="AO180" s="8"/>
      <c r="AP180" s="9">
        <f>I180-W180-X180-AN180</f>
        <v>8.5209617139980764E-15</v>
      </c>
      <c r="AQ180" t="s">
        <v>1316</v>
      </c>
    </row>
    <row r="181" spans="1:44" x14ac:dyDescent="0.3">
      <c r="A181" s="11">
        <f t="shared" si="5"/>
        <v>179</v>
      </c>
      <c r="B181" s="5" t="s">
        <v>1675</v>
      </c>
      <c r="C181" t="s">
        <v>893</v>
      </c>
      <c r="D181" s="24" t="s">
        <v>858</v>
      </c>
      <c r="E181" s="24" t="str">
        <f>IFERROR(VLOOKUP(D181,Dropdown!A:B,2,0),D181)</f>
        <v>PRISHA POLYTECH LLP</v>
      </c>
      <c r="F181" s="6">
        <v>45784</v>
      </c>
      <c r="G181" s="6" t="str">
        <f>TEXT(F181, "MMM-YY")</f>
        <v>May-25</v>
      </c>
      <c r="H181" t="s">
        <v>202</v>
      </c>
      <c r="I181" s="25">
        <v>91.35</v>
      </c>
      <c r="J181" s="4">
        <v>2500</v>
      </c>
      <c r="K181" t="s">
        <v>909</v>
      </c>
      <c r="L181" s="4" t="str">
        <f>VLOOKUP(K181, 'Items Master'!A:E,5,0)</f>
        <v>LUBAN</v>
      </c>
      <c r="M181" s="4" t="str">
        <f>VLOOKUP(K181, 'Items Master'!A:D,4,0)</f>
        <v>HDPE</v>
      </c>
      <c r="N181" s="4" t="s">
        <v>24</v>
      </c>
      <c r="Q181" s="6">
        <v>45784</v>
      </c>
      <c r="R181" s="6" t="str">
        <f>TEXT(Q181, "MMM-YY")</f>
        <v>May-25</v>
      </c>
      <c r="W181" s="25">
        <v>91.35</v>
      </c>
      <c r="Y181"/>
      <c r="Z181"/>
      <c r="AB181"/>
      <c r="AC181"/>
      <c r="AD181"/>
      <c r="AE181"/>
      <c r="AF181"/>
      <c r="AG181"/>
      <c r="AH181"/>
      <c r="AI181"/>
      <c r="AJ181"/>
      <c r="AK181"/>
      <c r="AL181"/>
      <c r="AM181"/>
      <c r="AN181" s="9">
        <f t="shared" si="4"/>
        <v>0</v>
      </c>
      <c r="AO181" s="8"/>
      <c r="AP181" s="9">
        <f>I181-W181-X181-AN181</f>
        <v>0</v>
      </c>
      <c r="AQ181" t="s">
        <v>1316</v>
      </c>
    </row>
    <row r="182" spans="1:44" x14ac:dyDescent="0.3">
      <c r="A182" s="11">
        <f t="shared" si="5"/>
        <v>180</v>
      </c>
      <c r="B182" s="5" t="s">
        <v>1675</v>
      </c>
      <c r="C182" t="s">
        <v>893</v>
      </c>
      <c r="D182" s="24" t="s">
        <v>48</v>
      </c>
      <c r="E182" s="24" t="str">
        <f>IFERROR(VLOOKUP(D182,Dropdown!A:B,2,0),D182)</f>
        <v>CVPL</v>
      </c>
      <c r="F182" s="6">
        <v>45784</v>
      </c>
      <c r="G182" s="6" t="str">
        <f>TEXT(F182, "MMM-YY")</f>
        <v>May-25</v>
      </c>
      <c r="H182" t="s">
        <v>203</v>
      </c>
      <c r="I182" s="25">
        <v>98.75</v>
      </c>
      <c r="J182" s="4">
        <v>4000</v>
      </c>
      <c r="K182" t="s">
        <v>937</v>
      </c>
      <c r="L182" s="4" t="str">
        <f>VLOOKUP(K182, 'Items Master'!A:E,5,0)</f>
        <v>MRPL</v>
      </c>
      <c r="M182" s="4" t="str">
        <f>VLOOKUP(K182, 'Items Master'!A:D,4,0)</f>
        <v>PP</v>
      </c>
      <c r="N182" s="4" t="s">
        <v>49</v>
      </c>
      <c r="Q182" s="6">
        <v>45784</v>
      </c>
      <c r="R182" s="6" t="str">
        <f>TEXT(Q182, "MMM-YY")</f>
        <v>May-25</v>
      </c>
      <c r="X182" s="25">
        <v>98.75</v>
      </c>
      <c r="AB182"/>
      <c r="AC182"/>
      <c r="AD182"/>
      <c r="AE182"/>
      <c r="AF182"/>
      <c r="AG182"/>
      <c r="AH182"/>
      <c r="AI182"/>
      <c r="AJ182"/>
      <c r="AK182"/>
      <c r="AL182"/>
      <c r="AM182"/>
      <c r="AN182" s="9">
        <f t="shared" si="4"/>
        <v>0</v>
      </c>
      <c r="AO182" s="8"/>
      <c r="AP182" s="9">
        <f>I182-W182-X182-AN182</f>
        <v>0</v>
      </c>
      <c r="AQ182" t="s">
        <v>1324</v>
      </c>
    </row>
    <row r="183" spans="1:44" x14ac:dyDescent="0.3">
      <c r="A183" s="11">
        <f t="shared" si="5"/>
        <v>181</v>
      </c>
      <c r="B183" s="5" t="s">
        <v>1675</v>
      </c>
      <c r="C183" t="s">
        <v>893</v>
      </c>
      <c r="D183" s="24" t="s">
        <v>858</v>
      </c>
      <c r="E183" s="24" t="str">
        <f>IFERROR(VLOOKUP(D183,Dropdown!A:B,2,0),D183)</f>
        <v>PRISHA POLYTECH LLP</v>
      </c>
      <c r="F183" s="6">
        <v>45784</v>
      </c>
      <c r="G183" s="6" t="str">
        <f>TEXT(F183, "MMM-YY")</f>
        <v>May-25</v>
      </c>
      <c r="H183" t="s">
        <v>204</v>
      </c>
      <c r="I183" s="25">
        <v>93.5</v>
      </c>
      <c r="J183" s="4">
        <v>500</v>
      </c>
      <c r="K183" t="s">
        <v>909</v>
      </c>
      <c r="L183" s="4" t="str">
        <f>VLOOKUP(K183, 'Items Master'!A:E,5,0)</f>
        <v>LUBAN</v>
      </c>
      <c r="M183" s="4" t="str">
        <f>VLOOKUP(K183, 'Items Master'!A:D,4,0)</f>
        <v>HDPE</v>
      </c>
      <c r="N183" s="4" t="s">
        <v>24</v>
      </c>
      <c r="Q183" s="6">
        <v>45784</v>
      </c>
      <c r="R183" s="6" t="str">
        <f>TEXT(Q183, "MMM-YY")</f>
        <v>May-25</v>
      </c>
      <c r="W183" s="25">
        <v>93.5</v>
      </c>
      <c r="Y183"/>
      <c r="Z183"/>
      <c r="AB183"/>
      <c r="AC183"/>
      <c r="AD183"/>
      <c r="AE183"/>
      <c r="AF183"/>
      <c r="AG183"/>
      <c r="AH183"/>
      <c r="AI183"/>
      <c r="AJ183"/>
      <c r="AK183"/>
      <c r="AL183"/>
      <c r="AM183"/>
      <c r="AN183" s="9">
        <f t="shared" si="4"/>
        <v>0</v>
      </c>
      <c r="AO183" s="8"/>
      <c r="AP183" s="9">
        <f>I183-W183-X183-AN183</f>
        <v>0</v>
      </c>
      <c r="AQ183" t="s">
        <v>1316</v>
      </c>
    </row>
    <row r="184" spans="1:44" x14ac:dyDescent="0.3">
      <c r="A184" s="11">
        <f t="shared" si="5"/>
        <v>182</v>
      </c>
      <c r="B184" s="5" t="s">
        <v>1675</v>
      </c>
      <c r="C184" t="s">
        <v>894</v>
      </c>
      <c r="D184" s="24" t="s">
        <v>853</v>
      </c>
      <c r="E184" s="24" t="str">
        <f>IFERROR(VLOOKUP(D184,Dropdown!A:B,2,0),D184)</f>
        <v>ZETWERK MANUFACTURING BUSINESSES PRIVATE LIMITED</v>
      </c>
      <c r="F184" s="6">
        <v>45784</v>
      </c>
      <c r="G184" s="6" t="str">
        <f>TEXT(F184, "MMM-YY")</f>
        <v>May-25</v>
      </c>
      <c r="H184" t="s">
        <v>205</v>
      </c>
      <c r="I184" s="25">
        <v>65</v>
      </c>
      <c r="J184" s="4">
        <v>30000</v>
      </c>
      <c r="K184" t="s">
        <v>900</v>
      </c>
      <c r="L184" s="4" t="str">
        <f>VLOOKUP(K184, 'Items Master'!A:E,5,0)</f>
        <v>HANWHA</v>
      </c>
      <c r="M184" s="4" t="str">
        <f>VLOOKUP(K184, 'Items Master'!A:D,4,0)</f>
        <v>PVC</v>
      </c>
      <c r="N184" s="4" t="s">
        <v>24</v>
      </c>
      <c r="Q184" s="6">
        <v>45784</v>
      </c>
      <c r="R184" s="6" t="str">
        <f>TEXT(Q184, "MMM-YY")</f>
        <v>May-25</v>
      </c>
      <c r="W184" s="25">
        <v>65</v>
      </c>
      <c r="Y184"/>
      <c r="Z184"/>
      <c r="AB184"/>
      <c r="AC184"/>
      <c r="AD184"/>
      <c r="AE184"/>
      <c r="AF184"/>
      <c r="AG184"/>
      <c r="AH184"/>
      <c r="AI184"/>
      <c r="AJ184"/>
      <c r="AK184"/>
      <c r="AL184"/>
      <c r="AM184"/>
      <c r="AN184" s="9">
        <f t="shared" si="4"/>
        <v>0</v>
      </c>
      <c r="AO184" s="8"/>
      <c r="AP184" s="9">
        <f>I184-W184-X184-AN184</f>
        <v>0</v>
      </c>
      <c r="AQ184" t="s">
        <v>1316</v>
      </c>
    </row>
    <row r="185" spans="1:44" x14ac:dyDescent="0.3">
      <c r="A185" s="11">
        <f t="shared" si="5"/>
        <v>183</v>
      </c>
      <c r="B185" s="5" t="s">
        <v>1675</v>
      </c>
      <c r="C185" t="s">
        <v>893</v>
      </c>
      <c r="D185" s="24" t="s">
        <v>848</v>
      </c>
      <c r="E185" s="24" t="str">
        <f>IFERROR(VLOOKUP(D185,Dropdown!A:B,2,0),D185)</f>
        <v>ASHOKA ENTERPRISE</v>
      </c>
      <c r="F185" s="6">
        <v>45785</v>
      </c>
      <c r="G185" s="6" t="str">
        <f>TEXT(F185, "MMM-YY")</f>
        <v>May-25</v>
      </c>
      <c r="H185" t="s">
        <v>206</v>
      </c>
      <c r="I185" s="25">
        <v>71.5</v>
      </c>
      <c r="J185" s="4">
        <v>1000</v>
      </c>
      <c r="K185" t="s">
        <v>924</v>
      </c>
      <c r="L185" s="4" t="str">
        <f>VLOOKUP(K185, 'Items Master'!A:E,5,0)</f>
        <v>LG</v>
      </c>
      <c r="M185" s="4" t="str">
        <f>VLOOKUP(K185, 'Items Master'!A:D,4,0)</f>
        <v>PVC</v>
      </c>
      <c r="N185" s="4" t="s">
        <v>24</v>
      </c>
      <c r="Q185" s="6">
        <v>45785</v>
      </c>
      <c r="R185" s="6" t="str">
        <f>TEXT(Q185, "MMM-YY")</f>
        <v>May-25</v>
      </c>
      <c r="W185" s="25">
        <v>71.5</v>
      </c>
      <c r="Y185"/>
      <c r="Z185"/>
      <c r="AB185"/>
      <c r="AC185"/>
      <c r="AD185"/>
      <c r="AE185"/>
      <c r="AF185"/>
      <c r="AG185"/>
      <c r="AH185"/>
      <c r="AI185"/>
      <c r="AJ185"/>
      <c r="AK185"/>
      <c r="AL185"/>
      <c r="AM185"/>
      <c r="AN185" s="9">
        <f t="shared" si="4"/>
        <v>0</v>
      </c>
      <c r="AO185" s="8"/>
      <c r="AP185" s="9">
        <f>I185-W185-X185-AN185</f>
        <v>0</v>
      </c>
      <c r="AQ185" t="s">
        <v>1316</v>
      </c>
    </row>
    <row r="186" spans="1:44" x14ac:dyDescent="0.3">
      <c r="A186" s="11">
        <f t="shared" si="5"/>
        <v>184</v>
      </c>
      <c r="B186" s="5" t="s">
        <v>1675</v>
      </c>
      <c r="C186" t="s">
        <v>893</v>
      </c>
      <c r="D186" s="24" t="s">
        <v>858</v>
      </c>
      <c r="E186" s="24" t="str">
        <f>IFERROR(VLOOKUP(D186,Dropdown!A:B,2,0),D186)</f>
        <v>PRISHA POLYTECH LLP</v>
      </c>
      <c r="F186" s="6">
        <v>45785</v>
      </c>
      <c r="G186" s="6" t="str">
        <f>TEXT(F186, "MMM-YY")</f>
        <v>May-25</v>
      </c>
      <c r="H186" t="s">
        <v>207</v>
      </c>
      <c r="I186" s="25">
        <v>95.7</v>
      </c>
      <c r="J186" s="4">
        <v>2500</v>
      </c>
      <c r="K186" t="s">
        <v>952</v>
      </c>
      <c r="L186" s="4" t="str">
        <f>VLOOKUP(K186, 'Items Master'!A:E,5,0)</f>
        <v>GAIL</v>
      </c>
      <c r="M186" s="4" t="str">
        <f>VLOOKUP(K186, 'Items Master'!A:D,4,0)</f>
        <v>HDPE</v>
      </c>
      <c r="N186" s="4" t="s">
        <v>24</v>
      </c>
      <c r="Q186" s="6">
        <v>45785</v>
      </c>
      <c r="R186" s="6" t="str">
        <f>TEXT(Q186, "MMM-YY")</f>
        <v>May-25</v>
      </c>
      <c r="W186" s="25">
        <v>95.7</v>
      </c>
      <c r="Y186"/>
      <c r="Z186"/>
      <c r="AB186"/>
      <c r="AC186"/>
      <c r="AD186"/>
      <c r="AE186"/>
      <c r="AF186"/>
      <c r="AG186"/>
      <c r="AH186"/>
      <c r="AI186"/>
      <c r="AJ186"/>
      <c r="AK186"/>
      <c r="AL186"/>
      <c r="AM186"/>
      <c r="AN186" s="9">
        <f t="shared" si="4"/>
        <v>0</v>
      </c>
      <c r="AO186" s="8"/>
      <c r="AP186" s="9">
        <f>I186-W186-X186-AN186</f>
        <v>0</v>
      </c>
      <c r="AQ186" t="s">
        <v>1316</v>
      </c>
    </row>
    <row r="187" spans="1:44" x14ac:dyDescent="0.3">
      <c r="A187" s="11">
        <f t="shared" si="5"/>
        <v>185</v>
      </c>
      <c r="B187" s="5" t="s">
        <v>1675</v>
      </c>
      <c r="C187" t="s">
        <v>893</v>
      </c>
      <c r="D187" s="24" t="s">
        <v>839</v>
      </c>
      <c r="E187" s="24" t="str">
        <f>IFERROR(VLOOKUP(D187,Dropdown!A:B,2,0),D187)</f>
        <v>Prestine</v>
      </c>
      <c r="F187" s="6">
        <v>45785</v>
      </c>
      <c r="G187" s="6" t="str">
        <f>TEXT(F187, "MMM-YY")</f>
        <v>May-25</v>
      </c>
      <c r="H187" t="s">
        <v>208</v>
      </c>
      <c r="I187" s="25">
        <v>107</v>
      </c>
      <c r="J187" s="4">
        <v>2500</v>
      </c>
      <c r="K187" t="s">
        <v>916</v>
      </c>
      <c r="L187" s="4" t="str">
        <f>VLOOKUP(K187, 'Items Master'!A:E,5,0)</f>
        <v>RIL</v>
      </c>
      <c r="M187" s="4" t="str">
        <f>VLOOKUP(K187, 'Items Master'!A:D,4,0)</f>
        <v>PP</v>
      </c>
      <c r="N187" s="4" t="s">
        <v>49</v>
      </c>
      <c r="Q187" s="6">
        <v>45785</v>
      </c>
      <c r="R187" s="6" t="str">
        <f>TEXT(Q187, "MMM-YY")</f>
        <v>May-25</v>
      </c>
      <c r="X187" s="25">
        <v>107.03</v>
      </c>
      <c r="Y187" s="25" t="s">
        <v>1303</v>
      </c>
      <c r="Z187" s="25" t="s">
        <v>1644</v>
      </c>
      <c r="AB187"/>
      <c r="AC187"/>
      <c r="AD187"/>
      <c r="AE187"/>
      <c r="AF187"/>
      <c r="AG187"/>
      <c r="AH187"/>
      <c r="AI187"/>
      <c r="AJ187"/>
      <c r="AK187"/>
      <c r="AL187"/>
      <c r="AM187"/>
      <c r="AN187" s="9">
        <f t="shared" si="4"/>
        <v>0</v>
      </c>
      <c r="AO187" s="8"/>
      <c r="AP187" s="9">
        <f>I187-W187-X187-AN187</f>
        <v>-3.0000000000001137E-2</v>
      </c>
      <c r="AQ187" t="s">
        <v>1316</v>
      </c>
      <c r="AR187" t="s">
        <v>1309</v>
      </c>
    </row>
    <row r="188" spans="1:44" x14ac:dyDescent="0.3">
      <c r="A188" s="11">
        <f t="shared" si="5"/>
        <v>186</v>
      </c>
      <c r="B188" s="5" t="s">
        <v>1675</v>
      </c>
      <c r="C188" t="s">
        <v>893</v>
      </c>
      <c r="D188" s="24" t="s">
        <v>857</v>
      </c>
      <c r="E188" s="24" t="str">
        <f>IFERROR(VLOOKUP(D188,Dropdown!A:B,2,0),D188)</f>
        <v>Purav</v>
      </c>
      <c r="F188" s="6">
        <v>45785</v>
      </c>
      <c r="G188" s="6" t="str">
        <f>TEXT(F188, "MMM-YY")</f>
        <v>May-25</v>
      </c>
      <c r="H188" t="s">
        <v>209</v>
      </c>
      <c r="I188" s="25">
        <v>97.43</v>
      </c>
      <c r="J188" s="4">
        <v>8000</v>
      </c>
      <c r="K188" t="s">
        <v>17</v>
      </c>
      <c r="L188" s="4" t="str">
        <f>VLOOKUP(K188, 'Items Master'!A:E,5,0)</f>
        <v>OPAL</v>
      </c>
      <c r="M188" s="4" t="str">
        <f>VLOOKUP(K188, 'Items Master'!A:D,4,0)</f>
        <v>LLDPE</v>
      </c>
      <c r="N188" s="4" t="s">
        <v>49</v>
      </c>
      <c r="O188" t="s">
        <v>1295</v>
      </c>
      <c r="Q188" s="6">
        <v>45785</v>
      </c>
      <c r="R188" s="6" t="str">
        <f>TEXT(Q188, "MMM-YY")</f>
        <v>May-25</v>
      </c>
      <c r="S188" t="s">
        <v>21</v>
      </c>
      <c r="T188" t="s">
        <v>21</v>
      </c>
      <c r="U188" t="s">
        <v>1605</v>
      </c>
      <c r="X188" s="25">
        <v>97.33</v>
      </c>
      <c r="AH188" s="8">
        <v>0.1</v>
      </c>
      <c r="AN188" s="9">
        <f t="shared" si="4"/>
        <v>0.1</v>
      </c>
      <c r="AO188" s="8"/>
      <c r="AP188" s="9">
        <f>I188-W188-X188-AN188</f>
        <v>8.5209617139980764E-15</v>
      </c>
      <c r="AQ188" t="s">
        <v>1316</v>
      </c>
    </row>
    <row r="189" spans="1:44" x14ac:dyDescent="0.3">
      <c r="A189" s="11">
        <f t="shared" si="5"/>
        <v>187</v>
      </c>
      <c r="B189" s="5" t="s">
        <v>1675</v>
      </c>
      <c r="C189" t="s">
        <v>893</v>
      </c>
      <c r="D189" s="24" t="s">
        <v>857</v>
      </c>
      <c r="E189" s="24" t="str">
        <f>IFERROR(VLOOKUP(D189,Dropdown!A:B,2,0),D189)</f>
        <v>Purav</v>
      </c>
      <c r="F189" s="6">
        <v>45785</v>
      </c>
      <c r="G189" s="6" t="str">
        <f>TEXT(F189, "MMM-YY")</f>
        <v>May-25</v>
      </c>
      <c r="H189" t="s">
        <v>210</v>
      </c>
      <c r="I189" s="25">
        <v>97.43</v>
      </c>
      <c r="J189" s="4">
        <v>2000</v>
      </c>
      <c r="K189" t="s">
        <v>17</v>
      </c>
      <c r="L189" s="4" t="str">
        <f>VLOOKUP(K189, 'Items Master'!A:E,5,0)</f>
        <v>OPAL</v>
      </c>
      <c r="M189" s="4" t="str">
        <f>VLOOKUP(K189, 'Items Master'!A:D,4,0)</f>
        <v>LLDPE</v>
      </c>
      <c r="N189" s="4" t="s">
        <v>49</v>
      </c>
      <c r="O189" t="s">
        <v>1295</v>
      </c>
      <c r="Q189" s="6">
        <v>45785</v>
      </c>
      <c r="R189" s="6" t="str">
        <f>TEXT(Q189, "MMM-YY")</f>
        <v>May-25</v>
      </c>
      <c r="S189" t="s">
        <v>21</v>
      </c>
      <c r="T189" t="s">
        <v>21</v>
      </c>
      <c r="U189" t="s">
        <v>1605</v>
      </c>
      <c r="X189" s="25">
        <v>97.33</v>
      </c>
      <c r="AH189" s="8">
        <v>0.1</v>
      </c>
      <c r="AN189" s="9">
        <f t="shared" si="4"/>
        <v>0.1</v>
      </c>
      <c r="AO189" s="8"/>
      <c r="AP189" s="9">
        <f>I189-W189-X189-AN189</f>
        <v>8.5209617139980764E-15</v>
      </c>
      <c r="AQ189" t="s">
        <v>1316</v>
      </c>
    </row>
    <row r="190" spans="1:44" x14ac:dyDescent="0.3">
      <c r="A190" s="11">
        <f t="shared" si="5"/>
        <v>188</v>
      </c>
      <c r="B190" s="5" t="s">
        <v>1675</v>
      </c>
      <c r="C190" t="s">
        <v>893</v>
      </c>
      <c r="D190" s="24" t="s">
        <v>48</v>
      </c>
      <c r="E190" s="24" t="str">
        <f>IFERROR(VLOOKUP(D190,Dropdown!A:B,2,0),D190)</f>
        <v>CVPL</v>
      </c>
      <c r="F190" s="6">
        <v>45785</v>
      </c>
      <c r="G190" s="6" t="str">
        <f>TEXT(F190, "MMM-YY")</f>
        <v>May-25</v>
      </c>
      <c r="H190" t="s">
        <v>211</v>
      </c>
      <c r="I190" s="25">
        <v>102.15</v>
      </c>
      <c r="J190" s="4">
        <v>1750</v>
      </c>
      <c r="K190" t="s">
        <v>901</v>
      </c>
      <c r="L190" s="4" t="str">
        <f>VLOOKUP(K190, 'Items Master'!A:E,5,0)</f>
        <v>MRPL</v>
      </c>
      <c r="M190" s="4" t="str">
        <f>VLOOKUP(K190, 'Items Master'!A:D,4,0)</f>
        <v>PP</v>
      </c>
      <c r="N190" s="4" t="s">
        <v>49</v>
      </c>
      <c r="Q190" s="6">
        <v>45785</v>
      </c>
      <c r="R190" s="6" t="str">
        <f>TEXT(Q190, "MMM-YY")</f>
        <v>May-25</v>
      </c>
      <c r="X190" s="25">
        <v>102.15</v>
      </c>
      <c r="AB190"/>
      <c r="AC190"/>
      <c r="AD190"/>
      <c r="AE190"/>
      <c r="AF190"/>
      <c r="AG190"/>
      <c r="AH190"/>
      <c r="AI190"/>
      <c r="AJ190"/>
      <c r="AK190"/>
      <c r="AL190"/>
      <c r="AM190"/>
      <c r="AN190" s="9">
        <f t="shared" si="4"/>
        <v>0</v>
      </c>
      <c r="AO190" s="8"/>
      <c r="AP190" s="9">
        <f>I190-W190-X190-AN190</f>
        <v>0</v>
      </c>
      <c r="AQ190" t="s">
        <v>1324</v>
      </c>
    </row>
    <row r="191" spans="1:44" x14ac:dyDescent="0.3">
      <c r="A191" s="11">
        <f t="shared" si="5"/>
        <v>189</v>
      </c>
      <c r="B191" s="5" t="s">
        <v>1675</v>
      </c>
      <c r="C191" t="s">
        <v>893</v>
      </c>
      <c r="D191" s="24" t="s">
        <v>48</v>
      </c>
      <c r="E191" s="24" t="str">
        <f>IFERROR(VLOOKUP(D191,Dropdown!A:B,2,0),D191)</f>
        <v>CVPL</v>
      </c>
      <c r="F191" s="6">
        <v>45785</v>
      </c>
      <c r="G191" s="6" t="str">
        <f>TEXT(F191, "MMM-YY")</f>
        <v>May-25</v>
      </c>
      <c r="H191" t="s">
        <v>211</v>
      </c>
      <c r="I191" s="25">
        <v>97.5</v>
      </c>
      <c r="J191" s="4">
        <v>1000</v>
      </c>
      <c r="K191" t="s">
        <v>912</v>
      </c>
      <c r="L191" s="4" t="str">
        <f>VLOOKUP(K191, 'Items Master'!A:E,5,0)</f>
        <v>RIL</v>
      </c>
      <c r="M191" s="4" t="str">
        <f>VLOOKUP(K191, 'Items Master'!A:D,4,0)</f>
        <v>PP</v>
      </c>
      <c r="N191" s="4" t="s">
        <v>24</v>
      </c>
      <c r="Q191" s="6">
        <v>45785</v>
      </c>
      <c r="R191" s="6" t="str">
        <f>TEXT(Q191, "MMM-YY")</f>
        <v>May-25</v>
      </c>
      <c r="W191" s="25">
        <v>97.5</v>
      </c>
      <c r="Y191"/>
      <c r="Z191"/>
      <c r="AB191"/>
      <c r="AC191"/>
      <c r="AD191"/>
      <c r="AE191"/>
      <c r="AF191"/>
      <c r="AG191"/>
      <c r="AH191"/>
      <c r="AI191"/>
      <c r="AJ191"/>
      <c r="AK191"/>
      <c r="AL191"/>
      <c r="AM191"/>
      <c r="AN191" s="9">
        <f t="shared" si="4"/>
        <v>0</v>
      </c>
      <c r="AO191" s="8"/>
      <c r="AP191" s="9">
        <f>I191-W191-X191-AN191</f>
        <v>0</v>
      </c>
      <c r="AQ191" t="s">
        <v>1316</v>
      </c>
    </row>
    <row r="192" spans="1:44" x14ac:dyDescent="0.3">
      <c r="A192" s="11">
        <f t="shared" si="5"/>
        <v>190</v>
      </c>
      <c r="B192" s="5" t="s">
        <v>1675</v>
      </c>
      <c r="C192" t="s">
        <v>893</v>
      </c>
      <c r="D192" s="24" t="s">
        <v>48</v>
      </c>
      <c r="E192" s="24" t="str">
        <f>IFERROR(VLOOKUP(D192,Dropdown!A:B,2,0),D192)</f>
        <v>CVPL</v>
      </c>
      <c r="F192" s="6">
        <v>45785</v>
      </c>
      <c r="G192" s="6" t="str">
        <f>TEXT(F192, "MMM-YY")</f>
        <v>May-25</v>
      </c>
      <c r="H192" t="s">
        <v>211</v>
      </c>
      <c r="I192" s="25">
        <v>118.25</v>
      </c>
      <c r="J192" s="4">
        <v>50</v>
      </c>
      <c r="K192" t="s">
        <v>953</v>
      </c>
      <c r="L192" s="4" t="str">
        <f>VLOOKUP(K192, 'Items Master'!A:E,5,0)</f>
        <v>LOTRENE</v>
      </c>
      <c r="M192" s="4" t="str">
        <f>VLOOKUP(K192, 'Items Master'!A:D,4,0)</f>
        <v>LDPE</v>
      </c>
      <c r="N192" s="4" t="s">
        <v>24</v>
      </c>
      <c r="Q192" s="6">
        <v>45785</v>
      </c>
      <c r="R192" s="6" t="str">
        <f>TEXT(Q192, "MMM-YY")</f>
        <v>May-25</v>
      </c>
      <c r="W192" s="25">
        <v>118.25</v>
      </c>
      <c r="AB192"/>
      <c r="AC192"/>
      <c r="AD192"/>
      <c r="AE192"/>
      <c r="AF192"/>
      <c r="AG192"/>
      <c r="AH192"/>
      <c r="AI192"/>
      <c r="AJ192"/>
      <c r="AK192"/>
      <c r="AL192"/>
      <c r="AM192"/>
      <c r="AN192" s="9">
        <f t="shared" si="4"/>
        <v>0</v>
      </c>
      <c r="AO192" s="8"/>
      <c r="AP192" s="9">
        <f>I192-W192-X192-AN192</f>
        <v>0</v>
      </c>
      <c r="AQ192" t="s">
        <v>1316</v>
      </c>
    </row>
    <row r="193" spans="1:44" x14ac:dyDescent="0.3">
      <c r="A193" s="11">
        <f t="shared" si="5"/>
        <v>191</v>
      </c>
      <c r="B193" s="5" t="s">
        <v>1675</v>
      </c>
      <c r="C193" t="s">
        <v>893</v>
      </c>
      <c r="D193" s="24" t="s">
        <v>824</v>
      </c>
      <c r="E193" s="24" t="str">
        <f>IFERROR(VLOOKUP(D193,Dropdown!A:B,2,0),D193)</f>
        <v>Paragon</v>
      </c>
      <c r="F193" s="6">
        <v>45785</v>
      </c>
      <c r="G193" s="6" t="str">
        <f>TEXT(F193, "MMM-YY")</f>
        <v>May-25</v>
      </c>
      <c r="H193" t="s">
        <v>212</v>
      </c>
      <c r="I193" s="25">
        <v>102.68</v>
      </c>
      <c r="J193" s="4">
        <v>500</v>
      </c>
      <c r="K193" t="s">
        <v>912</v>
      </c>
      <c r="L193" s="4" t="str">
        <f>VLOOKUP(K193, 'Items Master'!A:E,5,0)</f>
        <v>RIL</v>
      </c>
      <c r="M193" s="4" t="str">
        <f>VLOOKUP(K193, 'Items Master'!A:D,4,0)</f>
        <v>PP</v>
      </c>
      <c r="N193" s="4" t="s">
        <v>49</v>
      </c>
      <c r="Q193" s="6">
        <v>45785</v>
      </c>
      <c r="R193" s="6" t="str">
        <f>TEXT(Q193, "MMM-YY")</f>
        <v>May-25</v>
      </c>
      <c r="X193" s="25">
        <v>102.68</v>
      </c>
      <c r="AB193"/>
      <c r="AC193"/>
      <c r="AD193"/>
      <c r="AE193"/>
      <c r="AF193"/>
      <c r="AG193"/>
      <c r="AH193"/>
      <c r="AI193"/>
      <c r="AJ193"/>
      <c r="AK193"/>
      <c r="AL193"/>
      <c r="AM193"/>
      <c r="AN193" s="9">
        <f t="shared" si="4"/>
        <v>0</v>
      </c>
      <c r="AO193" s="8"/>
      <c r="AP193" s="9">
        <f>I193-W193-X193-AN193</f>
        <v>0</v>
      </c>
      <c r="AQ193" t="s">
        <v>1324</v>
      </c>
    </row>
    <row r="194" spans="1:44" x14ac:dyDescent="0.3">
      <c r="A194" s="11">
        <f t="shared" si="5"/>
        <v>192</v>
      </c>
      <c r="B194" s="5" t="s">
        <v>1675</v>
      </c>
      <c r="C194" t="s">
        <v>893</v>
      </c>
      <c r="D194" s="24" t="s">
        <v>824</v>
      </c>
      <c r="E194" s="24" t="str">
        <f>IFERROR(VLOOKUP(D194,Dropdown!A:B,2,0),D194)</f>
        <v>Paragon</v>
      </c>
      <c r="F194" s="6">
        <v>45785</v>
      </c>
      <c r="G194" s="6" t="str">
        <f>TEXT(F194, "MMM-YY")</f>
        <v>May-25</v>
      </c>
      <c r="H194" t="s">
        <v>212</v>
      </c>
      <c r="I194" s="25">
        <v>119.18</v>
      </c>
      <c r="J194" s="4">
        <v>2000</v>
      </c>
      <c r="K194" t="s">
        <v>895</v>
      </c>
      <c r="L194" s="4" t="str">
        <f>VLOOKUP(K194, 'Items Master'!A:E,5,0)</f>
        <v>RIL</v>
      </c>
      <c r="M194" s="4" t="str">
        <f>VLOOKUP(K194, 'Items Master'!A:D,4,0)</f>
        <v>LDPE</v>
      </c>
      <c r="N194" s="4" t="s">
        <v>24</v>
      </c>
      <c r="Q194" s="6">
        <v>45785</v>
      </c>
      <c r="R194" s="6" t="str">
        <f>TEXT(Q194, "MMM-YY")</f>
        <v>May-25</v>
      </c>
      <c r="T194" t="s">
        <v>21</v>
      </c>
      <c r="W194" s="25">
        <v>119.18</v>
      </c>
      <c r="X194"/>
      <c r="Y194"/>
      <c r="Z194"/>
      <c r="AB194"/>
      <c r="AC194"/>
      <c r="AD194"/>
      <c r="AE194"/>
      <c r="AF194"/>
      <c r="AG194"/>
      <c r="AH194"/>
      <c r="AI194"/>
      <c r="AJ194"/>
      <c r="AK194"/>
      <c r="AL194"/>
      <c r="AM194"/>
      <c r="AN194" s="9">
        <f t="shared" si="4"/>
        <v>0</v>
      </c>
      <c r="AO194" s="8"/>
      <c r="AP194" s="9">
        <f>I194-W194-X194-AN194</f>
        <v>0</v>
      </c>
      <c r="AQ194" t="s">
        <v>1316</v>
      </c>
    </row>
    <row r="195" spans="1:44" x14ac:dyDescent="0.3">
      <c r="A195" s="11">
        <f t="shared" si="5"/>
        <v>193</v>
      </c>
      <c r="B195" s="5" t="s">
        <v>1675</v>
      </c>
      <c r="C195" t="s">
        <v>893</v>
      </c>
      <c r="D195" s="24" t="s">
        <v>824</v>
      </c>
      <c r="E195" s="24" t="str">
        <f>IFERROR(VLOOKUP(D195,Dropdown!A:B,2,0),D195)</f>
        <v>Paragon</v>
      </c>
      <c r="F195" s="6">
        <v>45785</v>
      </c>
      <c r="G195" s="6" t="str">
        <f>TEXT(F195, "MMM-YY")</f>
        <v>May-25</v>
      </c>
      <c r="H195" t="s">
        <v>213</v>
      </c>
      <c r="I195" s="25">
        <v>105.78</v>
      </c>
      <c r="J195" s="4">
        <v>2000</v>
      </c>
      <c r="K195" t="s">
        <v>932</v>
      </c>
      <c r="L195" s="4" t="str">
        <f>VLOOKUP(K195, 'Items Master'!A:E,5,0)</f>
        <v>RIL</v>
      </c>
      <c r="M195" s="4" t="str">
        <f>VLOOKUP(K195, 'Items Master'!A:D,4,0)</f>
        <v>PP ICP</v>
      </c>
      <c r="N195" s="4" t="s">
        <v>49</v>
      </c>
      <c r="Q195" s="6">
        <v>45785</v>
      </c>
      <c r="R195" s="6" t="str">
        <f>TEXT(Q195, "MMM-YY")</f>
        <v>May-25</v>
      </c>
      <c r="X195" s="25">
        <v>105.78</v>
      </c>
      <c r="AB195"/>
      <c r="AC195"/>
      <c r="AD195"/>
      <c r="AE195"/>
      <c r="AF195"/>
      <c r="AG195"/>
      <c r="AH195"/>
      <c r="AI195"/>
      <c r="AJ195"/>
      <c r="AK195"/>
      <c r="AL195"/>
      <c r="AM195"/>
      <c r="AN195" s="9">
        <f t="shared" si="4"/>
        <v>0</v>
      </c>
      <c r="AO195" s="8"/>
      <c r="AP195" s="9">
        <f>I195-W195-X195-AN195</f>
        <v>0</v>
      </c>
      <c r="AQ195" t="s">
        <v>1324</v>
      </c>
    </row>
    <row r="196" spans="1:44" x14ac:dyDescent="0.3">
      <c r="A196" s="11">
        <f t="shared" si="5"/>
        <v>194</v>
      </c>
      <c r="B196" s="5" t="s">
        <v>1675</v>
      </c>
      <c r="C196" t="s">
        <v>893</v>
      </c>
      <c r="D196" s="24" t="s">
        <v>824</v>
      </c>
      <c r="E196" s="24" t="str">
        <f>IFERROR(VLOOKUP(D196,Dropdown!A:B,2,0),D196)</f>
        <v>Paragon</v>
      </c>
      <c r="F196" s="6">
        <v>45785</v>
      </c>
      <c r="G196" s="6" t="str">
        <f>TEXT(F196, "MMM-YY")</f>
        <v>May-25</v>
      </c>
      <c r="H196" t="s">
        <v>213</v>
      </c>
      <c r="I196" s="25">
        <v>119.18</v>
      </c>
      <c r="J196" s="4">
        <v>400</v>
      </c>
      <c r="K196" t="s">
        <v>895</v>
      </c>
      <c r="L196" s="4" t="str">
        <f>VLOOKUP(K196, 'Items Master'!A:E,5,0)</f>
        <v>RIL</v>
      </c>
      <c r="M196" s="4" t="str">
        <f>VLOOKUP(K196, 'Items Master'!A:D,4,0)</f>
        <v>LDPE</v>
      </c>
      <c r="N196" s="4" t="s">
        <v>24</v>
      </c>
      <c r="Q196" s="6">
        <v>45785</v>
      </c>
      <c r="R196" s="6" t="str">
        <f>TEXT(Q196, "MMM-YY")</f>
        <v>May-25</v>
      </c>
      <c r="T196" t="s">
        <v>21</v>
      </c>
      <c r="W196" s="25">
        <v>119.18</v>
      </c>
      <c r="X196"/>
      <c r="Y196"/>
      <c r="Z196"/>
      <c r="AB196"/>
      <c r="AC196"/>
      <c r="AD196"/>
      <c r="AE196"/>
      <c r="AF196"/>
      <c r="AG196"/>
      <c r="AH196"/>
      <c r="AI196"/>
      <c r="AJ196"/>
      <c r="AK196"/>
      <c r="AL196"/>
      <c r="AM196"/>
      <c r="AN196" s="9">
        <f t="shared" si="4"/>
        <v>0</v>
      </c>
      <c r="AO196" s="8"/>
      <c r="AP196" s="9">
        <f>I196-W196-X196-AN196</f>
        <v>0</v>
      </c>
      <c r="AQ196" t="s">
        <v>1316</v>
      </c>
    </row>
    <row r="197" spans="1:44" x14ac:dyDescent="0.3">
      <c r="A197" s="11">
        <f t="shared" si="5"/>
        <v>195</v>
      </c>
      <c r="B197" s="5" t="s">
        <v>1675</v>
      </c>
      <c r="C197" t="s">
        <v>893</v>
      </c>
      <c r="D197" s="24" t="s">
        <v>859</v>
      </c>
      <c r="E197" s="24" t="str">
        <f>IFERROR(VLOOKUP(D197,Dropdown!A:B,2,0),D197)</f>
        <v>SPRING POLYMERS</v>
      </c>
      <c r="F197" s="6">
        <v>45786</v>
      </c>
      <c r="G197" s="6" t="str">
        <f>TEXT(F197, "MMM-YY")</f>
        <v>May-25</v>
      </c>
      <c r="H197" t="s">
        <v>214</v>
      </c>
      <c r="I197" s="25">
        <v>91</v>
      </c>
      <c r="J197" s="4">
        <v>10000</v>
      </c>
      <c r="K197" t="s">
        <v>952</v>
      </c>
      <c r="L197" s="4" t="str">
        <f>VLOOKUP(K197, 'Items Master'!A:E,5,0)</f>
        <v>GAIL</v>
      </c>
      <c r="M197" s="4" t="str">
        <f>VLOOKUP(K197, 'Items Master'!A:D,4,0)</f>
        <v>HDPE</v>
      </c>
      <c r="N197" s="4" t="s">
        <v>24</v>
      </c>
      <c r="Q197" s="6">
        <v>45786</v>
      </c>
      <c r="R197" s="6" t="str">
        <f>TEXT(Q197, "MMM-YY")</f>
        <v>May-25</v>
      </c>
      <c r="W197" s="25">
        <v>91</v>
      </c>
      <c r="Y197"/>
      <c r="Z197"/>
      <c r="AB197"/>
      <c r="AC197"/>
      <c r="AD197"/>
      <c r="AE197"/>
      <c r="AF197"/>
      <c r="AG197"/>
      <c r="AH197"/>
      <c r="AI197"/>
      <c r="AJ197"/>
      <c r="AK197"/>
      <c r="AL197"/>
      <c r="AM197"/>
      <c r="AN197" s="9">
        <f t="shared" ref="AN197:AN260" si="7">SUM(AB197:AM197)</f>
        <v>0</v>
      </c>
      <c r="AO197" s="8"/>
      <c r="AP197" s="9">
        <f>I197-W197-X197-AN197</f>
        <v>0</v>
      </c>
      <c r="AQ197" t="s">
        <v>1316</v>
      </c>
    </row>
    <row r="198" spans="1:44" x14ac:dyDescent="0.3">
      <c r="A198" s="11">
        <f t="shared" si="5"/>
        <v>196</v>
      </c>
      <c r="B198" s="5" t="s">
        <v>1675</v>
      </c>
      <c r="C198" t="s">
        <v>893</v>
      </c>
      <c r="D198" s="24" t="s">
        <v>858</v>
      </c>
      <c r="E198" s="24" t="str">
        <f>IFERROR(VLOOKUP(D198,Dropdown!A:B,2,0),D198)</f>
        <v>PRISHA POLYTECH LLP</v>
      </c>
      <c r="F198" s="6">
        <v>45786</v>
      </c>
      <c r="G198" s="6" t="str">
        <f>TEXT(F198, "MMM-YY")</f>
        <v>May-25</v>
      </c>
      <c r="H198" t="s">
        <v>215</v>
      </c>
      <c r="I198" s="25">
        <v>95.75</v>
      </c>
      <c r="J198" s="4">
        <v>875</v>
      </c>
      <c r="K198" t="s">
        <v>952</v>
      </c>
      <c r="L198" s="4" t="str">
        <f>VLOOKUP(K198, 'Items Master'!A:E,5,0)</f>
        <v>GAIL</v>
      </c>
      <c r="M198" s="4" t="str">
        <f>VLOOKUP(K198, 'Items Master'!A:D,4,0)</f>
        <v>HDPE</v>
      </c>
      <c r="N198" s="4" t="s">
        <v>24</v>
      </c>
      <c r="Q198" s="6">
        <v>45786</v>
      </c>
      <c r="R198" s="6" t="str">
        <f>TEXT(Q198, "MMM-YY")</f>
        <v>May-25</v>
      </c>
      <c r="W198" s="25">
        <v>95.75</v>
      </c>
      <c r="Y198"/>
      <c r="Z198"/>
      <c r="AB198"/>
      <c r="AC198"/>
      <c r="AD198"/>
      <c r="AE198"/>
      <c r="AF198"/>
      <c r="AG198"/>
      <c r="AH198"/>
      <c r="AI198"/>
      <c r="AJ198"/>
      <c r="AK198"/>
      <c r="AL198"/>
      <c r="AM198"/>
      <c r="AN198" s="9">
        <f t="shared" si="7"/>
        <v>0</v>
      </c>
      <c r="AO198" s="8"/>
      <c r="AP198" s="9">
        <f>I198-W198-X198-AN198</f>
        <v>0</v>
      </c>
      <c r="AQ198" t="s">
        <v>1316</v>
      </c>
    </row>
    <row r="199" spans="1:44" x14ac:dyDescent="0.3">
      <c r="A199" s="11">
        <f t="shared" ref="A199:A262" si="8">A198+1</f>
        <v>197</v>
      </c>
      <c r="B199" s="5" t="s">
        <v>1675</v>
      </c>
      <c r="C199" t="s">
        <v>893</v>
      </c>
      <c r="D199" s="24" t="s">
        <v>858</v>
      </c>
      <c r="E199" s="24" t="str">
        <f>IFERROR(VLOOKUP(D199,Dropdown!A:B,2,0),D199)</f>
        <v>PRISHA POLYTECH LLP</v>
      </c>
      <c r="F199" s="6">
        <v>45786</v>
      </c>
      <c r="G199" s="6" t="str">
        <f>TEXT(F199, "MMM-YY")</f>
        <v>May-25</v>
      </c>
      <c r="H199" t="s">
        <v>215</v>
      </c>
      <c r="I199" s="25">
        <v>93.5</v>
      </c>
      <c r="J199" s="4">
        <v>875</v>
      </c>
      <c r="K199" t="s">
        <v>909</v>
      </c>
      <c r="L199" s="4" t="str">
        <f>VLOOKUP(K199, 'Items Master'!A:E,5,0)</f>
        <v>LUBAN</v>
      </c>
      <c r="M199" s="4" t="str">
        <f>VLOOKUP(K199, 'Items Master'!A:D,4,0)</f>
        <v>HDPE</v>
      </c>
      <c r="N199" s="4" t="s">
        <v>24</v>
      </c>
      <c r="Q199" s="6">
        <v>45786</v>
      </c>
      <c r="R199" s="6" t="str">
        <f>TEXT(Q199, "MMM-YY")</f>
        <v>May-25</v>
      </c>
      <c r="W199" s="25">
        <v>93.5</v>
      </c>
      <c r="Y199"/>
      <c r="Z199"/>
      <c r="AB199"/>
      <c r="AC199"/>
      <c r="AD199"/>
      <c r="AE199"/>
      <c r="AF199"/>
      <c r="AG199"/>
      <c r="AH199"/>
      <c r="AI199"/>
      <c r="AJ199"/>
      <c r="AK199"/>
      <c r="AL199"/>
      <c r="AM199"/>
      <c r="AN199" s="9">
        <f t="shared" si="7"/>
        <v>0</v>
      </c>
      <c r="AO199" s="8"/>
      <c r="AP199" s="9">
        <f>I199-W199-X199-AN199</f>
        <v>0</v>
      </c>
      <c r="AQ199" t="s">
        <v>1316</v>
      </c>
    </row>
    <row r="200" spans="1:44" x14ac:dyDescent="0.3">
      <c r="A200" s="11">
        <f t="shared" si="8"/>
        <v>198</v>
      </c>
      <c r="B200" s="5" t="s">
        <v>1675</v>
      </c>
      <c r="C200" t="s">
        <v>893</v>
      </c>
      <c r="D200" s="24" t="s">
        <v>859</v>
      </c>
      <c r="E200" s="24" t="str">
        <f>IFERROR(VLOOKUP(D200,Dropdown!A:B,2,0),D200)</f>
        <v>SPRING POLYMERS</v>
      </c>
      <c r="F200" s="6">
        <v>45786</v>
      </c>
      <c r="G200" s="6" t="str">
        <f>TEXT(F200, "MMM-YY")</f>
        <v>May-25</v>
      </c>
      <c r="H200" t="s">
        <v>216</v>
      </c>
      <c r="I200" s="25">
        <v>91</v>
      </c>
      <c r="J200" s="4">
        <v>10000</v>
      </c>
      <c r="K200" t="s">
        <v>952</v>
      </c>
      <c r="L200" s="4" t="str">
        <f>VLOOKUP(K200, 'Items Master'!A:E,5,0)</f>
        <v>GAIL</v>
      </c>
      <c r="M200" s="4" t="str">
        <f>VLOOKUP(K200, 'Items Master'!A:D,4,0)</f>
        <v>HDPE</v>
      </c>
      <c r="N200" s="4" t="s">
        <v>24</v>
      </c>
      <c r="Q200" s="6">
        <v>45786</v>
      </c>
      <c r="R200" s="6" t="str">
        <f>TEXT(Q200, "MMM-YY")</f>
        <v>May-25</v>
      </c>
      <c r="W200" s="25">
        <v>91</v>
      </c>
      <c r="Y200"/>
      <c r="Z200"/>
      <c r="AB200"/>
      <c r="AC200"/>
      <c r="AD200"/>
      <c r="AE200"/>
      <c r="AF200"/>
      <c r="AG200"/>
      <c r="AH200"/>
      <c r="AI200"/>
      <c r="AJ200"/>
      <c r="AK200"/>
      <c r="AL200"/>
      <c r="AM200"/>
      <c r="AN200" s="9">
        <f t="shared" si="7"/>
        <v>0</v>
      </c>
      <c r="AO200" s="8"/>
      <c r="AP200" s="9">
        <f>I200-W200-X200-AN200</f>
        <v>0</v>
      </c>
      <c r="AQ200" t="s">
        <v>1316</v>
      </c>
    </row>
    <row r="201" spans="1:44" x14ac:dyDescent="0.3">
      <c r="A201" s="11">
        <f t="shared" si="8"/>
        <v>199</v>
      </c>
      <c r="B201" s="5" t="s">
        <v>1675</v>
      </c>
      <c r="C201" t="s">
        <v>894</v>
      </c>
      <c r="D201" s="24" t="s">
        <v>860</v>
      </c>
      <c r="E201" s="24" t="str">
        <f>IFERROR(VLOOKUP(D201,Dropdown!A:B,2,0),D201)</f>
        <v>VINAY PLASTICS</v>
      </c>
      <c r="F201" s="6">
        <v>45786</v>
      </c>
      <c r="G201" s="6" t="str">
        <f>TEXT(F201, "MMM-YY")</f>
        <v>May-25</v>
      </c>
      <c r="H201" t="s">
        <v>217</v>
      </c>
      <c r="I201" s="25">
        <v>117</v>
      </c>
      <c r="J201" s="4">
        <v>10000</v>
      </c>
      <c r="K201" t="s">
        <v>954</v>
      </c>
      <c r="L201" s="4" t="str">
        <f>VLOOKUP(K201, 'Items Master'!A:E,5,0)</f>
        <v>RIL</v>
      </c>
      <c r="M201" s="4" t="str">
        <f>VLOOKUP(K201, 'Items Master'!A:D,4,0)</f>
        <v>LDPE</v>
      </c>
      <c r="N201" s="4" t="s">
        <v>24</v>
      </c>
      <c r="Q201" s="6">
        <v>45786</v>
      </c>
      <c r="R201" s="6" t="str">
        <f>TEXT(Q201, "MMM-YY")</f>
        <v>May-25</v>
      </c>
      <c r="W201" s="25">
        <v>117</v>
      </c>
      <c r="Y201"/>
      <c r="Z201"/>
      <c r="AB201"/>
      <c r="AC201"/>
      <c r="AD201"/>
      <c r="AE201"/>
      <c r="AF201"/>
      <c r="AG201"/>
      <c r="AH201"/>
      <c r="AI201"/>
      <c r="AJ201"/>
      <c r="AK201"/>
      <c r="AL201"/>
      <c r="AM201"/>
      <c r="AN201" s="9">
        <f t="shared" si="7"/>
        <v>0</v>
      </c>
      <c r="AO201" s="8"/>
      <c r="AP201" s="9">
        <f>I201-W201-X201-AN201</f>
        <v>0</v>
      </c>
      <c r="AQ201" t="s">
        <v>1316</v>
      </c>
    </row>
    <row r="202" spans="1:44" x14ac:dyDescent="0.3">
      <c r="A202" s="11">
        <f t="shared" si="8"/>
        <v>200</v>
      </c>
      <c r="B202" s="5" t="s">
        <v>1675</v>
      </c>
      <c r="C202" t="s">
        <v>893</v>
      </c>
      <c r="D202" s="24" t="s">
        <v>48</v>
      </c>
      <c r="E202" s="24" t="str">
        <f>IFERROR(VLOOKUP(D202,Dropdown!A:B,2,0),D202)</f>
        <v>CVPL</v>
      </c>
      <c r="F202" s="6">
        <v>45787</v>
      </c>
      <c r="G202" s="6" t="str">
        <f>TEXT(F202, "MMM-YY")</f>
        <v>May-25</v>
      </c>
      <c r="H202" t="s">
        <v>218</v>
      </c>
      <c r="I202" s="25">
        <v>98.9</v>
      </c>
      <c r="J202" s="4">
        <v>2000</v>
      </c>
      <c r="K202" t="s">
        <v>899</v>
      </c>
      <c r="L202" s="4" t="str">
        <f>VLOOKUP(K202, 'Items Master'!A:E,5,0)</f>
        <v>MRPL</v>
      </c>
      <c r="M202" s="4" t="str">
        <f>VLOOKUP(K202, 'Items Master'!A:D,4,0)</f>
        <v>PP</v>
      </c>
      <c r="N202" s="4" t="s">
        <v>49</v>
      </c>
      <c r="Q202" s="6">
        <v>45787</v>
      </c>
      <c r="R202" s="6" t="str">
        <f>TEXT(Q202, "MMM-YY")</f>
        <v>May-25</v>
      </c>
      <c r="X202" s="25">
        <v>98.896000000000001</v>
      </c>
      <c r="AB202"/>
      <c r="AC202"/>
      <c r="AD202"/>
      <c r="AE202"/>
      <c r="AF202"/>
      <c r="AG202"/>
      <c r="AH202"/>
      <c r="AI202"/>
      <c r="AJ202"/>
      <c r="AK202"/>
      <c r="AL202"/>
      <c r="AM202"/>
      <c r="AN202" s="9">
        <f t="shared" si="7"/>
        <v>0</v>
      </c>
      <c r="AO202" s="8"/>
      <c r="AP202" s="9">
        <f>I202-W202-X202-AN202</f>
        <v>4.0000000000048885E-3</v>
      </c>
      <c r="AQ202" t="s">
        <v>1324</v>
      </c>
    </row>
    <row r="203" spans="1:44" x14ac:dyDescent="0.3">
      <c r="A203" s="11">
        <f t="shared" si="8"/>
        <v>201</v>
      </c>
      <c r="B203" s="5" t="s">
        <v>1675</v>
      </c>
      <c r="C203" t="s">
        <v>893</v>
      </c>
      <c r="D203" s="24" t="s">
        <v>48</v>
      </c>
      <c r="E203" s="24" t="str">
        <f>IFERROR(VLOOKUP(D203,Dropdown!A:B,2,0),D203)</f>
        <v>CVPL</v>
      </c>
      <c r="F203" s="6">
        <v>45787</v>
      </c>
      <c r="G203" s="6" t="str">
        <f>TEXT(F203, "MMM-YY")</f>
        <v>May-25</v>
      </c>
      <c r="H203" t="s">
        <v>219</v>
      </c>
      <c r="I203" s="25">
        <v>98.99</v>
      </c>
      <c r="J203" s="4">
        <v>2000</v>
      </c>
      <c r="K203" t="s">
        <v>903</v>
      </c>
      <c r="L203" s="4" t="str">
        <f>VLOOKUP(K203, 'Items Master'!A:E,5,0)</f>
        <v>GAIL</v>
      </c>
      <c r="M203" s="4" t="str">
        <f>VLOOKUP(K203, 'Items Master'!A:D,4,0)</f>
        <v>LLDPE</v>
      </c>
      <c r="N203" s="4" t="s">
        <v>49</v>
      </c>
      <c r="O203" t="s">
        <v>1295</v>
      </c>
      <c r="Q203" s="6">
        <v>45787</v>
      </c>
      <c r="R203" s="6" t="str">
        <f>TEXT(Q203, "MMM-YY")</f>
        <v>May-25</v>
      </c>
      <c r="X203" s="25">
        <v>99.486000000000004</v>
      </c>
      <c r="AB203"/>
      <c r="AC203"/>
      <c r="AD203"/>
      <c r="AE203"/>
      <c r="AF203"/>
      <c r="AG203"/>
      <c r="AH203"/>
      <c r="AI203"/>
      <c r="AJ203"/>
      <c r="AK203"/>
      <c r="AL203"/>
      <c r="AM203"/>
      <c r="AN203" s="9">
        <f t="shared" si="7"/>
        <v>0</v>
      </c>
      <c r="AO203" s="8"/>
      <c r="AP203" s="9">
        <f>I203-W203-X203-AN203</f>
        <v>-0.49600000000000932</v>
      </c>
      <c r="AQ203" t="s">
        <v>1324</v>
      </c>
    </row>
    <row r="204" spans="1:44" x14ac:dyDescent="0.3">
      <c r="A204" s="11">
        <f t="shared" si="8"/>
        <v>202</v>
      </c>
      <c r="B204" s="5" t="s">
        <v>1675</v>
      </c>
      <c r="C204" t="s">
        <v>893</v>
      </c>
      <c r="D204" s="24" t="s">
        <v>48</v>
      </c>
      <c r="E204" s="24" t="str">
        <f>IFERROR(VLOOKUP(D204,Dropdown!A:B,2,0),D204)</f>
        <v>CVPL</v>
      </c>
      <c r="F204" s="6">
        <v>45787</v>
      </c>
      <c r="G204" s="6" t="str">
        <f>TEXT(F204, "MMM-YY")</f>
        <v>May-25</v>
      </c>
      <c r="H204" t="s">
        <v>219</v>
      </c>
      <c r="I204" s="25">
        <v>118</v>
      </c>
      <c r="J204" s="4">
        <v>200</v>
      </c>
      <c r="K204" t="s">
        <v>953</v>
      </c>
      <c r="L204" s="4" t="str">
        <f>VLOOKUP(K204, 'Items Master'!A:E,5,0)</f>
        <v>LOTRENE</v>
      </c>
      <c r="M204" s="4" t="str">
        <f>VLOOKUP(K204, 'Items Master'!A:D,4,0)</f>
        <v>LDPE</v>
      </c>
      <c r="N204" s="4" t="s">
        <v>24</v>
      </c>
      <c r="Q204" s="6">
        <v>45787</v>
      </c>
      <c r="R204" s="6" t="str">
        <f>TEXT(Q204, "MMM-YY")</f>
        <v>May-25</v>
      </c>
      <c r="W204" s="25">
        <v>118</v>
      </c>
      <c r="Y204"/>
      <c r="Z204"/>
      <c r="AB204"/>
      <c r="AC204"/>
      <c r="AD204"/>
      <c r="AE204"/>
      <c r="AF204"/>
      <c r="AG204"/>
      <c r="AH204"/>
      <c r="AI204"/>
      <c r="AJ204"/>
      <c r="AK204"/>
      <c r="AL204"/>
      <c r="AM204"/>
      <c r="AN204" s="9">
        <f t="shared" si="7"/>
        <v>0</v>
      </c>
      <c r="AO204" s="8"/>
      <c r="AP204" s="9">
        <f>I204-W204-X204-AN204</f>
        <v>0</v>
      </c>
      <c r="AQ204" t="s">
        <v>1316</v>
      </c>
    </row>
    <row r="205" spans="1:44" x14ac:dyDescent="0.3">
      <c r="A205" s="11">
        <f t="shared" si="8"/>
        <v>203</v>
      </c>
      <c r="B205" s="5" t="s">
        <v>1675</v>
      </c>
      <c r="C205" t="s">
        <v>893</v>
      </c>
      <c r="D205" s="24" t="s">
        <v>48</v>
      </c>
      <c r="E205" s="24" t="str">
        <f>IFERROR(VLOOKUP(D205,Dropdown!A:B,2,0),D205)</f>
        <v>CVPL</v>
      </c>
      <c r="F205" s="6">
        <v>45787</v>
      </c>
      <c r="G205" s="6" t="str">
        <f>TEXT(F205, "MMM-YY")</f>
        <v>May-25</v>
      </c>
      <c r="H205" t="s">
        <v>220</v>
      </c>
      <c r="I205" s="25">
        <v>98.75</v>
      </c>
      <c r="J205" s="4">
        <v>2500</v>
      </c>
      <c r="K205" t="s">
        <v>937</v>
      </c>
      <c r="L205" s="4" t="str">
        <f>VLOOKUP(K205, 'Items Master'!A:E,5,0)</f>
        <v>MRPL</v>
      </c>
      <c r="M205" s="4" t="str">
        <f>VLOOKUP(K205, 'Items Master'!A:D,4,0)</f>
        <v>PP</v>
      </c>
      <c r="N205" s="4" t="s">
        <v>49</v>
      </c>
      <c r="Q205" s="6">
        <v>45787</v>
      </c>
      <c r="R205" s="6" t="str">
        <f>TEXT(Q205, "MMM-YY")</f>
        <v>May-25</v>
      </c>
      <c r="X205" s="25">
        <v>98.75</v>
      </c>
      <c r="AB205"/>
      <c r="AC205"/>
      <c r="AD205"/>
      <c r="AE205"/>
      <c r="AF205"/>
      <c r="AG205"/>
      <c r="AH205"/>
      <c r="AI205"/>
      <c r="AJ205"/>
      <c r="AK205"/>
      <c r="AL205"/>
      <c r="AM205"/>
      <c r="AN205" s="9">
        <f t="shared" si="7"/>
        <v>0</v>
      </c>
      <c r="AO205" s="8"/>
      <c r="AP205" s="9">
        <f>I205-W205-X205-AN205</f>
        <v>0</v>
      </c>
      <c r="AQ205" t="s">
        <v>1324</v>
      </c>
    </row>
    <row r="206" spans="1:44" x14ac:dyDescent="0.3">
      <c r="A206" s="11">
        <f t="shared" si="8"/>
        <v>204</v>
      </c>
      <c r="B206" s="5" t="s">
        <v>1675</v>
      </c>
      <c r="C206" t="s">
        <v>893</v>
      </c>
      <c r="D206" s="24" t="s">
        <v>839</v>
      </c>
      <c r="E206" s="24" t="str">
        <f>IFERROR(VLOOKUP(D206,Dropdown!A:B,2,0),D206)</f>
        <v>Prestine</v>
      </c>
      <c r="F206" s="6">
        <v>45787</v>
      </c>
      <c r="G206" s="6" t="str">
        <f>TEXT(F206, "MMM-YY")</f>
        <v>May-25</v>
      </c>
      <c r="H206" t="s">
        <v>221</v>
      </c>
      <c r="I206" s="25">
        <v>107</v>
      </c>
      <c r="J206" s="4">
        <v>2500</v>
      </c>
      <c r="K206" t="s">
        <v>916</v>
      </c>
      <c r="L206" s="4" t="str">
        <f>VLOOKUP(K206, 'Items Master'!A:E,5,0)</f>
        <v>RIL</v>
      </c>
      <c r="M206" s="4" t="str">
        <f>VLOOKUP(K206, 'Items Master'!A:D,4,0)</f>
        <v>PP</v>
      </c>
      <c r="N206" s="4" t="s">
        <v>49</v>
      </c>
      <c r="Q206" s="6">
        <v>45787</v>
      </c>
      <c r="R206" s="6" t="str">
        <f>TEXT(Q206, "MMM-YY")</f>
        <v>May-25</v>
      </c>
      <c r="X206" s="25">
        <v>107.03</v>
      </c>
      <c r="Y206" s="25" t="s">
        <v>1303</v>
      </c>
      <c r="Z206" s="25" t="s">
        <v>1644</v>
      </c>
      <c r="AB206"/>
      <c r="AC206"/>
      <c r="AD206"/>
      <c r="AE206"/>
      <c r="AF206"/>
      <c r="AG206"/>
      <c r="AH206"/>
      <c r="AI206"/>
      <c r="AJ206"/>
      <c r="AK206"/>
      <c r="AL206"/>
      <c r="AM206"/>
      <c r="AN206" s="9">
        <f t="shared" si="7"/>
        <v>0</v>
      </c>
      <c r="AO206" s="8"/>
      <c r="AP206" s="9">
        <f>I206-W206-X206-AN206</f>
        <v>-3.0000000000001137E-2</v>
      </c>
      <c r="AQ206" t="s">
        <v>1316</v>
      </c>
      <c r="AR206" t="s">
        <v>1309</v>
      </c>
    </row>
    <row r="207" spans="1:44" x14ac:dyDescent="0.3">
      <c r="A207" s="11">
        <f t="shared" si="8"/>
        <v>205</v>
      </c>
      <c r="B207" s="5" t="s">
        <v>1675</v>
      </c>
      <c r="C207" t="s">
        <v>893</v>
      </c>
      <c r="D207" s="24" t="s">
        <v>48</v>
      </c>
      <c r="E207" s="24" t="str">
        <f>IFERROR(VLOOKUP(D207,Dropdown!A:B,2,0),D207)</f>
        <v>CVPL</v>
      </c>
      <c r="F207" s="6">
        <v>45787</v>
      </c>
      <c r="G207" s="6" t="str">
        <f>TEXT(F207, "MMM-YY")</f>
        <v>May-25</v>
      </c>
      <c r="H207" t="s">
        <v>222</v>
      </c>
      <c r="I207" s="25">
        <v>91.25</v>
      </c>
      <c r="J207" s="4">
        <v>2500</v>
      </c>
      <c r="K207" t="s">
        <v>909</v>
      </c>
      <c r="L207" s="4" t="str">
        <f>VLOOKUP(K207, 'Items Master'!A:E,5,0)</f>
        <v>LUBAN</v>
      </c>
      <c r="M207" s="4" t="str">
        <f>VLOOKUP(K207, 'Items Master'!A:D,4,0)</f>
        <v>HDPE</v>
      </c>
      <c r="N207" s="4" t="s">
        <v>24</v>
      </c>
      <c r="Q207" s="6">
        <v>45787</v>
      </c>
      <c r="R207" s="6" t="str">
        <f>TEXT(Q207, "MMM-YY")</f>
        <v>May-25</v>
      </c>
      <c r="W207" s="25">
        <v>91.25</v>
      </c>
      <c r="Y207"/>
      <c r="Z207"/>
      <c r="AB207"/>
      <c r="AC207"/>
      <c r="AD207"/>
      <c r="AE207"/>
      <c r="AF207"/>
      <c r="AG207"/>
      <c r="AH207"/>
      <c r="AI207"/>
      <c r="AJ207"/>
      <c r="AK207"/>
      <c r="AL207"/>
      <c r="AM207"/>
      <c r="AN207" s="9">
        <f t="shared" si="7"/>
        <v>0</v>
      </c>
      <c r="AO207" s="8"/>
      <c r="AP207" s="9">
        <f>I207-W207-X207-AN207</f>
        <v>0</v>
      </c>
      <c r="AQ207" t="s">
        <v>1316</v>
      </c>
    </row>
    <row r="208" spans="1:44" x14ac:dyDescent="0.3">
      <c r="A208" s="11">
        <f t="shared" si="8"/>
        <v>206</v>
      </c>
      <c r="B208" s="5" t="s">
        <v>1675</v>
      </c>
      <c r="C208" t="s">
        <v>893</v>
      </c>
      <c r="D208" s="24" t="s">
        <v>861</v>
      </c>
      <c r="E208" s="24" t="str">
        <f>IFERROR(VLOOKUP(D208,Dropdown!A:B,2,0),D208)</f>
        <v>SADGURU INDUSTRIES</v>
      </c>
      <c r="F208" s="6">
        <v>45787</v>
      </c>
      <c r="G208" s="6" t="str">
        <f>TEXT(F208, "MMM-YY")</f>
        <v>May-25</v>
      </c>
      <c r="H208" t="s">
        <v>223</v>
      </c>
      <c r="I208" s="25">
        <v>93</v>
      </c>
      <c r="J208" s="4">
        <v>10000</v>
      </c>
      <c r="K208" t="s">
        <v>955</v>
      </c>
      <c r="L208" s="4" t="str">
        <f>VLOOKUP(K208, 'Items Master'!A:E,5,0)</f>
        <v>MARLEX</v>
      </c>
      <c r="M208" s="4" t="str">
        <f>VLOOKUP(K208, 'Items Master'!A:D,4,0)</f>
        <v>HDPE</v>
      </c>
      <c r="N208" s="4" t="s">
        <v>24</v>
      </c>
      <c r="Q208" s="6">
        <v>45787</v>
      </c>
      <c r="R208" s="6" t="str">
        <f>TEXT(Q208, "MMM-YY")</f>
        <v>May-25</v>
      </c>
      <c r="W208" s="25">
        <v>93</v>
      </c>
      <c r="Y208"/>
      <c r="Z208"/>
      <c r="AB208"/>
      <c r="AC208"/>
      <c r="AD208"/>
      <c r="AE208"/>
      <c r="AF208"/>
      <c r="AG208"/>
      <c r="AH208"/>
      <c r="AI208"/>
      <c r="AJ208"/>
      <c r="AK208"/>
      <c r="AL208"/>
      <c r="AM208"/>
      <c r="AN208" s="9">
        <f t="shared" si="7"/>
        <v>0</v>
      </c>
      <c r="AO208" s="8"/>
      <c r="AP208" s="9">
        <f>I208-W208-X208-AN208</f>
        <v>0</v>
      </c>
      <c r="AQ208" t="s">
        <v>1316</v>
      </c>
    </row>
    <row r="209" spans="1:44" x14ac:dyDescent="0.3">
      <c r="A209" s="11">
        <f t="shared" si="8"/>
        <v>207</v>
      </c>
      <c r="B209" s="5" t="s">
        <v>1675</v>
      </c>
      <c r="C209" t="s">
        <v>893</v>
      </c>
      <c r="D209" s="24" t="s">
        <v>838</v>
      </c>
      <c r="E209" s="24" t="str">
        <f>IFERROR(VLOOKUP(D209,Dropdown!A:B,2,0),D209)</f>
        <v>Treenity</v>
      </c>
      <c r="F209" s="6">
        <v>45787</v>
      </c>
      <c r="G209" s="6" t="str">
        <f>TEXT(F209, "MMM-YY")</f>
        <v>May-25</v>
      </c>
      <c r="H209" t="s">
        <v>224</v>
      </c>
      <c r="I209" s="25">
        <v>100.4</v>
      </c>
      <c r="J209" s="4">
        <v>10000</v>
      </c>
      <c r="K209" t="s">
        <v>937</v>
      </c>
      <c r="L209" s="4" t="str">
        <f>VLOOKUP(K209, 'Items Master'!A:E,5,0)</f>
        <v>MRPL</v>
      </c>
      <c r="M209" s="4" t="str">
        <f>VLOOKUP(K209, 'Items Master'!A:D,4,0)</f>
        <v>PP</v>
      </c>
      <c r="N209" s="4" t="s">
        <v>49</v>
      </c>
      <c r="Q209" s="6">
        <v>45787</v>
      </c>
      <c r="R209" s="6" t="str">
        <f>TEXT(Q209, "MMM-YY")</f>
        <v>May-25</v>
      </c>
      <c r="U209" t="s">
        <v>1320</v>
      </c>
      <c r="W209"/>
      <c r="X209" s="8">
        <v>98.75</v>
      </c>
      <c r="Y209" t="s">
        <v>1304</v>
      </c>
      <c r="Z209" t="s">
        <v>1305</v>
      </c>
      <c r="AB209"/>
      <c r="AC209"/>
      <c r="AD209"/>
      <c r="AE209"/>
      <c r="AF209"/>
      <c r="AG209"/>
      <c r="AH209"/>
      <c r="AI209" s="8">
        <v>1.65</v>
      </c>
      <c r="AN209" s="9">
        <f t="shared" si="7"/>
        <v>1.65</v>
      </c>
      <c r="AO209" s="8"/>
      <c r="AP209" s="9">
        <f>I209-W209-X209-AN209</f>
        <v>5.773159728050814E-15</v>
      </c>
      <c r="AQ209" t="s">
        <v>1316</v>
      </c>
    </row>
    <row r="210" spans="1:44" x14ac:dyDescent="0.3">
      <c r="A210" s="11">
        <f t="shared" si="8"/>
        <v>208</v>
      </c>
      <c r="B210" s="5" t="s">
        <v>1675</v>
      </c>
      <c r="C210" t="s">
        <v>893</v>
      </c>
      <c r="D210" s="24" t="s">
        <v>862</v>
      </c>
      <c r="E210" s="24" t="str">
        <f>IFERROR(VLOOKUP(D210,Dropdown!A:B,2,0),D210)</f>
        <v>STAVIAN CHEMICAL JOINT STOCK COMPANY</v>
      </c>
      <c r="F210" s="6">
        <v>45787</v>
      </c>
      <c r="G210" s="6" t="str">
        <f>TEXT(F210, "MMM-YY")</f>
        <v>May-25</v>
      </c>
      <c r="H210" t="s">
        <v>225</v>
      </c>
      <c r="I210" s="25">
        <v>0.96</v>
      </c>
      <c r="J210" s="4">
        <v>56000</v>
      </c>
      <c r="K210" t="s">
        <v>905</v>
      </c>
      <c r="L210" s="4" t="str">
        <f>VLOOKUP(K210, 'Items Master'!A:E,5,0)</f>
        <v>SINOPEC</v>
      </c>
      <c r="M210" s="4" t="str">
        <f>VLOOKUP(K210, 'Items Master'!A:D,4,0)</f>
        <v>PP</v>
      </c>
      <c r="N210" s="4" t="s">
        <v>24</v>
      </c>
      <c r="Q210" s="6">
        <v>45787</v>
      </c>
      <c r="R210" s="6" t="str">
        <f>TEXT(Q210, "MMM-YY")</f>
        <v>May-25</v>
      </c>
      <c r="W210" s="25">
        <v>0.96</v>
      </c>
      <c r="Y210"/>
      <c r="Z210"/>
      <c r="AB210"/>
      <c r="AC210"/>
      <c r="AD210"/>
      <c r="AE210"/>
      <c r="AF210"/>
      <c r="AG210"/>
      <c r="AH210"/>
      <c r="AI210"/>
      <c r="AJ210"/>
      <c r="AK210"/>
      <c r="AL210"/>
      <c r="AM210"/>
      <c r="AN210" s="9">
        <f t="shared" si="7"/>
        <v>0</v>
      </c>
      <c r="AO210" s="8"/>
      <c r="AP210" s="9">
        <f>I210-W210-X210-AN210</f>
        <v>0</v>
      </c>
      <c r="AQ210" t="s">
        <v>1316</v>
      </c>
    </row>
    <row r="211" spans="1:44" x14ac:dyDescent="0.3">
      <c r="A211" s="11">
        <f t="shared" si="8"/>
        <v>209</v>
      </c>
      <c r="B211" s="5" t="s">
        <v>1675</v>
      </c>
      <c r="C211" t="s">
        <v>893</v>
      </c>
      <c r="D211" s="24" t="s">
        <v>838</v>
      </c>
      <c r="E211" s="24" t="str">
        <f>IFERROR(VLOOKUP(D211,Dropdown!A:B,2,0),D211)</f>
        <v>Treenity</v>
      </c>
      <c r="F211" s="6">
        <v>45789</v>
      </c>
      <c r="G211" s="6" t="str">
        <f>TEXT(F211, "MMM-YY")</f>
        <v>May-25</v>
      </c>
      <c r="H211" t="s">
        <v>226</v>
      </c>
      <c r="I211" s="25">
        <v>102</v>
      </c>
      <c r="J211" s="4">
        <v>10000</v>
      </c>
      <c r="K211" t="s">
        <v>901</v>
      </c>
      <c r="L211" s="4" t="str">
        <f>VLOOKUP(K211, 'Items Master'!A:E,5,0)</f>
        <v>MRPL</v>
      </c>
      <c r="M211" s="4" t="str">
        <f>VLOOKUP(K211, 'Items Master'!A:D,4,0)</f>
        <v>PP</v>
      </c>
      <c r="N211" s="4" t="s">
        <v>49</v>
      </c>
      <c r="Q211" s="6">
        <v>45789</v>
      </c>
      <c r="R211" s="6" t="str">
        <f>TEXT(Q211, "MMM-YY")</f>
        <v>May-25</v>
      </c>
      <c r="U211" t="s">
        <v>1320</v>
      </c>
      <c r="W211"/>
      <c r="X211" s="8">
        <v>100.35</v>
      </c>
      <c r="Y211" t="s">
        <v>1304</v>
      </c>
      <c r="Z211" t="s">
        <v>1305</v>
      </c>
      <c r="AB211"/>
      <c r="AC211"/>
      <c r="AD211"/>
      <c r="AE211"/>
      <c r="AF211"/>
      <c r="AG211"/>
      <c r="AH211"/>
      <c r="AI211" s="8">
        <v>1.65</v>
      </c>
      <c r="AN211" s="9">
        <f t="shared" si="7"/>
        <v>1.65</v>
      </c>
      <c r="AO211" s="8"/>
      <c r="AP211" s="9">
        <f>I211-W211-X211-AN211</f>
        <v>5.773159728050814E-15</v>
      </c>
      <c r="AQ211" t="s">
        <v>1316</v>
      </c>
    </row>
    <row r="212" spans="1:44" x14ac:dyDescent="0.3">
      <c r="A212" s="11">
        <f t="shared" si="8"/>
        <v>210</v>
      </c>
      <c r="B212" s="5" t="s">
        <v>1675</v>
      </c>
      <c r="C212" t="s">
        <v>893</v>
      </c>
      <c r="D212" s="24" t="s">
        <v>838</v>
      </c>
      <c r="E212" s="24" t="str">
        <f>IFERROR(VLOOKUP(D212,Dropdown!A:B,2,0),D212)</f>
        <v>Treenity</v>
      </c>
      <c r="F212" s="6">
        <v>45789</v>
      </c>
      <c r="G212" s="6" t="str">
        <f>TEXT(F212, "MMM-YY")</f>
        <v>May-25</v>
      </c>
      <c r="H212" t="s">
        <v>226</v>
      </c>
      <c r="I212" s="25">
        <v>100.55</v>
      </c>
      <c r="J212" s="4">
        <v>10000</v>
      </c>
      <c r="K212" t="s">
        <v>899</v>
      </c>
      <c r="L212" s="4" t="str">
        <f>VLOOKUP(K212, 'Items Master'!A:E,5,0)</f>
        <v>MRPL</v>
      </c>
      <c r="M212" s="4" t="str">
        <f>VLOOKUP(K212, 'Items Master'!A:D,4,0)</f>
        <v>PP</v>
      </c>
      <c r="N212" s="4" t="s">
        <v>49</v>
      </c>
      <c r="Q212" s="6">
        <v>45789</v>
      </c>
      <c r="R212" s="6" t="str">
        <f>TEXT(Q212, "MMM-YY")</f>
        <v>May-25</v>
      </c>
      <c r="U212" t="s">
        <v>1320</v>
      </c>
      <c r="W212"/>
      <c r="X212" s="8">
        <v>98.9</v>
      </c>
      <c r="Y212" t="s">
        <v>1304</v>
      </c>
      <c r="Z212" t="s">
        <v>1305</v>
      </c>
      <c r="AB212"/>
      <c r="AC212"/>
      <c r="AD212"/>
      <c r="AE212"/>
      <c r="AF212"/>
      <c r="AG212"/>
      <c r="AH212"/>
      <c r="AI212" s="8">
        <v>1.65</v>
      </c>
      <c r="AN212" s="9">
        <f t="shared" si="7"/>
        <v>1.65</v>
      </c>
      <c r="AO212" s="8"/>
      <c r="AP212" s="9">
        <f>I212-W212-X212-AN212</f>
        <v>-8.4376949871511897E-15</v>
      </c>
      <c r="AQ212" t="s">
        <v>1316</v>
      </c>
    </row>
    <row r="213" spans="1:44" x14ac:dyDescent="0.3">
      <c r="A213" s="11">
        <f t="shared" si="8"/>
        <v>211</v>
      </c>
      <c r="B213" s="5" t="s">
        <v>1675</v>
      </c>
      <c r="C213" t="s">
        <v>893</v>
      </c>
      <c r="D213" s="24" t="s">
        <v>838</v>
      </c>
      <c r="E213" s="24" t="str">
        <f>IFERROR(VLOOKUP(D213,Dropdown!A:B,2,0),D213)</f>
        <v>Treenity</v>
      </c>
      <c r="F213" s="6">
        <v>45789</v>
      </c>
      <c r="G213" s="6" t="str">
        <f>TEXT(F213, "MMM-YY")</f>
        <v>May-25</v>
      </c>
      <c r="H213" t="s">
        <v>226</v>
      </c>
      <c r="I213" s="25">
        <v>100.4</v>
      </c>
      <c r="J213" s="4">
        <v>5000</v>
      </c>
      <c r="K213" t="s">
        <v>937</v>
      </c>
      <c r="L213" s="4" t="str">
        <f>VLOOKUP(K213, 'Items Master'!A:E,5,0)</f>
        <v>MRPL</v>
      </c>
      <c r="M213" s="4" t="str">
        <f>VLOOKUP(K213, 'Items Master'!A:D,4,0)</f>
        <v>PP</v>
      </c>
      <c r="N213" s="4" t="s">
        <v>49</v>
      </c>
      <c r="Q213" s="6">
        <v>45789</v>
      </c>
      <c r="R213" s="6" t="str">
        <f>TEXT(Q213, "MMM-YY")</f>
        <v>May-25</v>
      </c>
      <c r="U213" t="s">
        <v>1320</v>
      </c>
      <c r="W213"/>
      <c r="X213" s="8">
        <v>98.75</v>
      </c>
      <c r="Y213" t="s">
        <v>1304</v>
      </c>
      <c r="Z213" t="s">
        <v>1305</v>
      </c>
      <c r="AB213"/>
      <c r="AC213"/>
      <c r="AD213"/>
      <c r="AE213"/>
      <c r="AF213"/>
      <c r="AG213"/>
      <c r="AH213"/>
      <c r="AI213" s="8">
        <v>1.65</v>
      </c>
      <c r="AN213" s="9">
        <f t="shared" si="7"/>
        <v>1.65</v>
      </c>
      <c r="AO213" s="8"/>
      <c r="AP213" s="9">
        <f>I213-W213-X213-AN213</f>
        <v>5.773159728050814E-15</v>
      </c>
      <c r="AQ213" t="s">
        <v>1316</v>
      </c>
    </row>
    <row r="214" spans="1:44" x14ac:dyDescent="0.3">
      <c r="A214" s="11">
        <f t="shared" si="8"/>
        <v>212</v>
      </c>
      <c r="B214" s="5" t="s">
        <v>1675</v>
      </c>
      <c r="C214" t="s">
        <v>893</v>
      </c>
      <c r="D214" s="24" t="s">
        <v>48</v>
      </c>
      <c r="E214" s="24" t="str">
        <f>IFERROR(VLOOKUP(D214,Dropdown!A:B,2,0),D214)</f>
        <v>CVPL</v>
      </c>
      <c r="F214" s="6">
        <v>45789</v>
      </c>
      <c r="G214" s="6" t="str">
        <f>TEXT(F214, "MMM-YY")</f>
        <v>May-25</v>
      </c>
      <c r="H214" t="s">
        <v>227</v>
      </c>
      <c r="I214" s="25">
        <v>99.49</v>
      </c>
      <c r="J214" s="4">
        <v>3000</v>
      </c>
      <c r="K214" t="s">
        <v>911</v>
      </c>
      <c r="L214" s="4" t="str">
        <f>VLOOKUP(K214, 'Items Master'!A:E,5,0)</f>
        <v>BCPL</v>
      </c>
      <c r="M214" s="4" t="str">
        <f>VLOOKUP(K214, 'Items Master'!A:D,4,0)</f>
        <v>LLDPE</v>
      </c>
      <c r="N214" s="4" t="s">
        <v>49</v>
      </c>
      <c r="Q214" s="6">
        <v>45789</v>
      </c>
      <c r="R214" s="6" t="str">
        <f>TEXT(Q214, "MMM-YY")</f>
        <v>May-25</v>
      </c>
      <c r="X214" s="25">
        <v>99.49</v>
      </c>
      <c r="AB214"/>
      <c r="AC214"/>
      <c r="AD214"/>
      <c r="AE214"/>
      <c r="AF214"/>
      <c r="AG214"/>
      <c r="AH214"/>
      <c r="AI214"/>
      <c r="AJ214"/>
      <c r="AK214"/>
      <c r="AL214"/>
      <c r="AM214"/>
      <c r="AN214" s="9">
        <f t="shared" si="7"/>
        <v>0</v>
      </c>
      <c r="AO214" s="8"/>
      <c r="AP214" s="9">
        <f>I214-W214-X214-AN214</f>
        <v>0</v>
      </c>
      <c r="AQ214" t="s">
        <v>1324</v>
      </c>
    </row>
    <row r="215" spans="1:44" x14ac:dyDescent="0.3">
      <c r="A215" s="11">
        <f t="shared" si="8"/>
        <v>213</v>
      </c>
      <c r="B215" s="5" t="s">
        <v>1675</v>
      </c>
      <c r="C215" t="s">
        <v>893</v>
      </c>
      <c r="D215" s="24" t="s">
        <v>48</v>
      </c>
      <c r="E215" s="24" t="str">
        <f>IFERROR(VLOOKUP(D215,Dropdown!A:B,2,0),D215)</f>
        <v>CVPL</v>
      </c>
      <c r="F215" s="6">
        <v>45789</v>
      </c>
      <c r="G215" s="6" t="str">
        <f>TEXT(F215, "MMM-YY")</f>
        <v>May-25</v>
      </c>
      <c r="H215" t="s">
        <v>228</v>
      </c>
      <c r="I215" s="25">
        <v>98.9</v>
      </c>
      <c r="J215" s="4">
        <v>3000</v>
      </c>
      <c r="K215" t="s">
        <v>899</v>
      </c>
      <c r="L215" s="4" t="str">
        <f>VLOOKUP(K215, 'Items Master'!A:E,5,0)</f>
        <v>MRPL</v>
      </c>
      <c r="M215" s="4" t="str">
        <f>VLOOKUP(K215, 'Items Master'!A:D,4,0)</f>
        <v>PP</v>
      </c>
      <c r="N215" s="4" t="s">
        <v>49</v>
      </c>
      <c r="Q215" s="6">
        <v>45789</v>
      </c>
      <c r="R215" s="6" t="str">
        <f>TEXT(Q215, "MMM-YY")</f>
        <v>May-25</v>
      </c>
      <c r="X215" s="25">
        <v>98.896000000000001</v>
      </c>
      <c r="AB215"/>
      <c r="AC215"/>
      <c r="AD215"/>
      <c r="AE215"/>
      <c r="AF215"/>
      <c r="AG215"/>
      <c r="AH215"/>
      <c r="AI215"/>
      <c r="AJ215"/>
      <c r="AK215"/>
      <c r="AL215"/>
      <c r="AM215"/>
      <c r="AN215" s="9">
        <f t="shared" si="7"/>
        <v>0</v>
      </c>
      <c r="AO215" s="8"/>
      <c r="AP215" s="9">
        <f>I215-W215-X215-AN215</f>
        <v>4.0000000000048885E-3</v>
      </c>
      <c r="AQ215" t="s">
        <v>1324</v>
      </c>
    </row>
    <row r="216" spans="1:44" x14ac:dyDescent="0.3">
      <c r="A216" s="11">
        <f t="shared" si="8"/>
        <v>214</v>
      </c>
      <c r="B216" s="5" t="s">
        <v>1675</v>
      </c>
      <c r="C216" t="s">
        <v>893</v>
      </c>
      <c r="D216" s="24" t="s">
        <v>48</v>
      </c>
      <c r="E216" s="24" t="str">
        <f>IFERROR(VLOOKUP(D216,Dropdown!A:B,2,0),D216)</f>
        <v>CVPL</v>
      </c>
      <c r="F216" s="6">
        <v>45789</v>
      </c>
      <c r="G216" s="6" t="str">
        <f>TEXT(F216, "MMM-YY")</f>
        <v>May-25</v>
      </c>
      <c r="H216" t="s">
        <v>229</v>
      </c>
      <c r="I216" s="25">
        <v>100.35</v>
      </c>
      <c r="J216" s="4">
        <v>3000</v>
      </c>
      <c r="K216" t="s">
        <v>901</v>
      </c>
      <c r="L216" s="4" t="str">
        <f>VLOOKUP(K216, 'Items Master'!A:E,5,0)</f>
        <v>MRPL</v>
      </c>
      <c r="M216" s="4" t="str">
        <f>VLOOKUP(K216, 'Items Master'!A:D,4,0)</f>
        <v>PP</v>
      </c>
      <c r="N216" s="4" t="s">
        <v>49</v>
      </c>
      <c r="Q216" s="6">
        <v>45789</v>
      </c>
      <c r="R216" s="6" t="str">
        <f>TEXT(Q216, "MMM-YY")</f>
        <v>May-25</v>
      </c>
      <c r="X216" s="25">
        <v>100.35</v>
      </c>
      <c r="AB216"/>
      <c r="AC216"/>
      <c r="AD216"/>
      <c r="AE216"/>
      <c r="AF216"/>
      <c r="AG216"/>
      <c r="AH216"/>
      <c r="AI216"/>
      <c r="AJ216"/>
      <c r="AK216"/>
      <c r="AL216"/>
      <c r="AM216"/>
      <c r="AN216" s="9">
        <f t="shared" si="7"/>
        <v>0</v>
      </c>
      <c r="AO216" s="8"/>
      <c r="AP216" s="9">
        <f>I216-W216-X216-AN216</f>
        <v>0</v>
      </c>
      <c r="AQ216" t="s">
        <v>1324</v>
      </c>
    </row>
    <row r="217" spans="1:44" x14ac:dyDescent="0.3">
      <c r="A217" s="11">
        <f t="shared" si="8"/>
        <v>215</v>
      </c>
      <c r="B217" s="5" t="s">
        <v>1675</v>
      </c>
      <c r="C217" t="s">
        <v>893</v>
      </c>
      <c r="D217" s="24" t="s">
        <v>48</v>
      </c>
      <c r="E217" s="24" t="str">
        <f>IFERROR(VLOOKUP(D217,Dropdown!A:B,2,0),D217)</f>
        <v>CVPL</v>
      </c>
      <c r="F217" s="6">
        <v>45789</v>
      </c>
      <c r="G217" s="6" t="str">
        <f>TEXT(F217, "MMM-YY")</f>
        <v>May-25</v>
      </c>
      <c r="H217" t="s">
        <v>230</v>
      </c>
      <c r="I217" s="25">
        <v>94.11</v>
      </c>
      <c r="J217" s="4">
        <v>2500</v>
      </c>
      <c r="K217" t="s">
        <v>926</v>
      </c>
      <c r="L217" s="4" t="str">
        <f>VLOOKUP(K217, 'Items Master'!A:E,5,0)</f>
        <v>GAIL</v>
      </c>
      <c r="M217" s="4" t="str">
        <f>VLOOKUP(K217, 'Items Master'!A:D,4,0)</f>
        <v>HDPE</v>
      </c>
      <c r="N217" s="4" t="s">
        <v>49</v>
      </c>
      <c r="Q217" s="6">
        <v>45789</v>
      </c>
      <c r="R217" s="6" t="str">
        <f>TEXT(Q217, "MMM-YY")</f>
        <v>May-25</v>
      </c>
      <c r="X217" s="25">
        <v>94.105999999999995</v>
      </c>
      <c r="AB217"/>
      <c r="AC217"/>
      <c r="AD217"/>
      <c r="AE217"/>
      <c r="AF217"/>
      <c r="AG217"/>
      <c r="AH217"/>
      <c r="AI217"/>
      <c r="AJ217"/>
      <c r="AK217"/>
      <c r="AL217"/>
      <c r="AM217"/>
      <c r="AN217" s="9">
        <f t="shared" si="7"/>
        <v>0</v>
      </c>
      <c r="AO217" s="8"/>
      <c r="AP217" s="9">
        <f>I217-W217-X217-AN217</f>
        <v>4.0000000000048885E-3</v>
      </c>
      <c r="AQ217" t="s">
        <v>1324</v>
      </c>
    </row>
    <row r="218" spans="1:44" x14ac:dyDescent="0.3">
      <c r="A218" s="11">
        <f t="shared" si="8"/>
        <v>216</v>
      </c>
      <c r="B218" s="5" t="s">
        <v>1675</v>
      </c>
      <c r="C218" t="s">
        <v>893</v>
      </c>
      <c r="D218" s="24" t="s">
        <v>48</v>
      </c>
      <c r="E218" s="24" t="str">
        <f>IFERROR(VLOOKUP(D218,Dropdown!A:B,2,0),D218)</f>
        <v>CVPL</v>
      </c>
      <c r="F218" s="6">
        <v>45789</v>
      </c>
      <c r="G218" s="6" t="str">
        <f>TEXT(F218, "MMM-YY")</f>
        <v>May-25</v>
      </c>
      <c r="H218" t="s">
        <v>230</v>
      </c>
      <c r="I218" s="25">
        <v>94.75</v>
      </c>
      <c r="J218" s="4">
        <v>500</v>
      </c>
      <c r="K218" t="s">
        <v>956</v>
      </c>
      <c r="L218" s="4" t="str">
        <f>VLOOKUP(K218, 'Items Master'!A:E,5,0)</f>
        <v>GAIL</v>
      </c>
      <c r="M218" s="4" t="str">
        <f>VLOOKUP(K218, 'Items Master'!A:D,4,0)</f>
        <v>HDPE</v>
      </c>
      <c r="N218" s="4" t="s">
        <v>49</v>
      </c>
      <c r="Q218" s="6">
        <v>45789</v>
      </c>
      <c r="R218" s="6" t="str">
        <f>TEXT(Q218, "MMM-YY")</f>
        <v>May-25</v>
      </c>
      <c r="X218" s="25">
        <v>94.75</v>
      </c>
      <c r="AB218"/>
      <c r="AC218"/>
      <c r="AD218"/>
      <c r="AE218"/>
      <c r="AF218"/>
      <c r="AG218"/>
      <c r="AH218"/>
      <c r="AI218"/>
      <c r="AJ218"/>
      <c r="AK218"/>
      <c r="AL218"/>
      <c r="AM218"/>
      <c r="AN218" s="9">
        <f t="shared" si="7"/>
        <v>0</v>
      </c>
      <c r="AO218" s="8"/>
      <c r="AP218" s="9">
        <f>I218-W218-X218-AN218</f>
        <v>0</v>
      </c>
      <c r="AQ218" t="s">
        <v>1324</v>
      </c>
    </row>
    <row r="219" spans="1:44" x14ac:dyDescent="0.3">
      <c r="A219" s="11">
        <f t="shared" si="8"/>
        <v>217</v>
      </c>
      <c r="B219" s="5" t="s">
        <v>1675</v>
      </c>
      <c r="C219" t="s">
        <v>894</v>
      </c>
      <c r="D219" s="24" t="s">
        <v>835</v>
      </c>
      <c r="E219" s="24" t="str">
        <f>IFERROR(VLOOKUP(D219,Dropdown!A:B,2,0),D219)</f>
        <v>IVORY POLYMERS</v>
      </c>
      <c r="F219" s="6">
        <v>45789</v>
      </c>
      <c r="G219" s="6" t="str">
        <f>TEXT(F219, "MMM-YY")</f>
        <v>May-25</v>
      </c>
      <c r="H219" t="s">
        <v>231</v>
      </c>
      <c r="I219" s="25">
        <v>97</v>
      </c>
      <c r="J219" s="4">
        <v>25500</v>
      </c>
      <c r="K219" t="s">
        <v>938</v>
      </c>
      <c r="L219" s="4" t="str">
        <f>VLOOKUP(K219, 'Items Master'!A:E,5,0)</f>
        <v>EXXON</v>
      </c>
      <c r="M219" s="4" t="str">
        <f>VLOOKUP(K219, 'Items Master'!A:D,4,0)</f>
        <v>PP</v>
      </c>
      <c r="N219" s="4" t="s">
        <v>24</v>
      </c>
      <c r="Q219" s="6">
        <v>45789</v>
      </c>
      <c r="R219" s="6" t="str">
        <f>TEXT(Q219, "MMM-YY")</f>
        <v>May-25</v>
      </c>
      <c r="W219" s="25">
        <v>97</v>
      </c>
      <c r="Y219"/>
      <c r="Z219"/>
      <c r="AB219"/>
      <c r="AC219"/>
      <c r="AD219"/>
      <c r="AE219"/>
      <c r="AF219"/>
      <c r="AG219"/>
      <c r="AH219"/>
      <c r="AI219"/>
      <c r="AJ219"/>
      <c r="AK219"/>
      <c r="AL219"/>
      <c r="AM219"/>
      <c r="AN219" s="9">
        <f t="shared" si="7"/>
        <v>0</v>
      </c>
      <c r="AO219" s="8"/>
      <c r="AP219" s="9">
        <f>I219-W219-X219-AN219</f>
        <v>0</v>
      </c>
      <c r="AQ219" t="s">
        <v>1316</v>
      </c>
    </row>
    <row r="220" spans="1:44" x14ac:dyDescent="0.3">
      <c r="A220" s="11">
        <f t="shared" si="8"/>
        <v>218</v>
      </c>
      <c r="B220" s="5" t="s">
        <v>1675</v>
      </c>
      <c r="C220" t="s">
        <v>893</v>
      </c>
      <c r="D220" s="24" t="s">
        <v>839</v>
      </c>
      <c r="E220" s="24" t="str">
        <f>IFERROR(VLOOKUP(D220,Dropdown!A:B,2,0),D220)</f>
        <v>Prestine</v>
      </c>
      <c r="F220" s="6">
        <v>45790</v>
      </c>
      <c r="G220" s="6" t="str">
        <f>TEXT(F220, "MMM-YY")</f>
        <v>May-25</v>
      </c>
      <c r="H220" t="s">
        <v>232</v>
      </c>
      <c r="I220" s="25">
        <v>111</v>
      </c>
      <c r="J220" s="4">
        <v>1000</v>
      </c>
      <c r="K220" t="s">
        <v>948</v>
      </c>
      <c r="L220" s="4" t="str">
        <f>VLOOKUP(K220, 'Items Master'!A:E,5,0)</f>
        <v>RIL</v>
      </c>
      <c r="M220" s="4" t="str">
        <f>VLOOKUP(K220, 'Items Master'!A:D,4,0)</f>
        <v>PP RCP</v>
      </c>
      <c r="N220" s="4" t="s">
        <v>49</v>
      </c>
      <c r="Q220" s="6">
        <v>45790</v>
      </c>
      <c r="R220" s="6" t="str">
        <f>TEXT(Q220, "MMM-YY")</f>
        <v>May-25</v>
      </c>
      <c r="X220" s="25">
        <v>111.06</v>
      </c>
      <c r="Y220" s="25" t="s">
        <v>1303</v>
      </c>
      <c r="Z220" s="25" t="s">
        <v>1644</v>
      </c>
      <c r="AB220"/>
      <c r="AC220"/>
      <c r="AD220"/>
      <c r="AE220"/>
      <c r="AF220"/>
      <c r="AG220"/>
      <c r="AH220"/>
      <c r="AI220"/>
      <c r="AJ220"/>
      <c r="AK220"/>
      <c r="AL220"/>
      <c r="AM220"/>
      <c r="AN220" s="9">
        <f t="shared" si="7"/>
        <v>0</v>
      </c>
      <c r="AO220" s="8"/>
      <c r="AP220" s="9">
        <f>I220-W220-X220-AN220</f>
        <v>-6.0000000000002274E-2</v>
      </c>
      <c r="AQ220" t="s">
        <v>1316</v>
      </c>
      <c r="AR220" t="s">
        <v>1309</v>
      </c>
    </row>
    <row r="221" spans="1:44" x14ac:dyDescent="0.3">
      <c r="A221" s="11">
        <f t="shared" si="8"/>
        <v>219</v>
      </c>
      <c r="B221" s="5" t="s">
        <v>1675</v>
      </c>
      <c r="C221" t="s">
        <v>893</v>
      </c>
      <c r="D221" s="24" t="s">
        <v>824</v>
      </c>
      <c r="E221" s="24" t="str">
        <f>IFERROR(VLOOKUP(D221,Dropdown!A:B,2,0),D221)</f>
        <v>Paragon</v>
      </c>
      <c r="F221" s="6">
        <v>45790</v>
      </c>
      <c r="G221" s="6" t="str">
        <f>TEXT(F221, "MMM-YY")</f>
        <v>May-25</v>
      </c>
      <c r="H221" t="s">
        <v>233</v>
      </c>
      <c r="I221" s="25">
        <v>98.9</v>
      </c>
      <c r="J221" s="4">
        <v>1250</v>
      </c>
      <c r="K221" t="s">
        <v>915</v>
      </c>
      <c r="L221" s="4" t="str">
        <f>VLOOKUP(K221, 'Items Master'!A:E,5,0)</f>
        <v>RIL</v>
      </c>
      <c r="M221" s="4" t="str">
        <f>VLOOKUP(K221, 'Items Master'!A:D,4,0)</f>
        <v>LLDPE</v>
      </c>
      <c r="N221" s="4" t="s">
        <v>49</v>
      </c>
      <c r="Q221" s="6">
        <v>45790</v>
      </c>
      <c r="R221" s="6" t="str">
        <f>TEXT(Q221, "MMM-YY")</f>
        <v>May-25</v>
      </c>
      <c r="X221" s="25">
        <v>98.9</v>
      </c>
      <c r="AB221"/>
      <c r="AC221"/>
      <c r="AD221"/>
      <c r="AE221"/>
      <c r="AF221"/>
      <c r="AG221"/>
      <c r="AH221"/>
      <c r="AI221"/>
      <c r="AJ221"/>
      <c r="AK221"/>
      <c r="AL221"/>
      <c r="AM221"/>
      <c r="AN221" s="9">
        <f t="shared" si="7"/>
        <v>0</v>
      </c>
      <c r="AO221" s="8"/>
      <c r="AP221" s="9">
        <f>I221-W221-X221-AN221</f>
        <v>0</v>
      </c>
      <c r="AQ221" t="s">
        <v>1324</v>
      </c>
    </row>
    <row r="222" spans="1:44" x14ac:dyDescent="0.3">
      <c r="A222" s="11">
        <f t="shared" si="8"/>
        <v>220</v>
      </c>
      <c r="B222" s="5" t="s">
        <v>1675</v>
      </c>
      <c r="C222" t="s">
        <v>893</v>
      </c>
      <c r="D222" s="24" t="s">
        <v>48</v>
      </c>
      <c r="E222" s="24" t="str">
        <f>IFERROR(VLOOKUP(D222,Dropdown!A:B,2,0),D222)</f>
        <v>CVPL</v>
      </c>
      <c r="F222" s="6">
        <v>45790</v>
      </c>
      <c r="G222" s="6" t="str">
        <f>TEXT(F222, "MMM-YY")</f>
        <v>May-25</v>
      </c>
      <c r="H222" t="s">
        <v>234</v>
      </c>
      <c r="I222" s="25">
        <v>98.9</v>
      </c>
      <c r="J222" s="4">
        <v>3000</v>
      </c>
      <c r="K222" t="s">
        <v>899</v>
      </c>
      <c r="L222" s="4" t="str">
        <f>VLOOKUP(K222, 'Items Master'!A:E,5,0)</f>
        <v>MRPL</v>
      </c>
      <c r="M222" s="4" t="str">
        <f>VLOOKUP(K222, 'Items Master'!A:D,4,0)</f>
        <v>PP</v>
      </c>
      <c r="N222" s="4" t="s">
        <v>49</v>
      </c>
      <c r="Q222" s="6">
        <v>45790</v>
      </c>
      <c r="R222" s="6" t="str">
        <f>TEXT(Q222, "MMM-YY")</f>
        <v>May-25</v>
      </c>
      <c r="X222" s="25">
        <v>98.896000000000001</v>
      </c>
      <c r="AB222"/>
      <c r="AC222"/>
      <c r="AD222"/>
      <c r="AE222"/>
      <c r="AF222"/>
      <c r="AG222"/>
      <c r="AH222"/>
      <c r="AI222"/>
      <c r="AJ222"/>
      <c r="AK222"/>
      <c r="AL222"/>
      <c r="AM222"/>
      <c r="AN222" s="9">
        <f t="shared" si="7"/>
        <v>0</v>
      </c>
      <c r="AO222" s="8"/>
      <c r="AP222" s="9">
        <f>I222-W222-X222-AN222</f>
        <v>4.0000000000048885E-3</v>
      </c>
      <c r="AQ222" t="s">
        <v>1324</v>
      </c>
    </row>
    <row r="223" spans="1:44" x14ac:dyDescent="0.3">
      <c r="A223" s="11">
        <f t="shared" si="8"/>
        <v>221</v>
      </c>
      <c r="B223" s="5" t="s">
        <v>1675</v>
      </c>
      <c r="C223" t="s">
        <v>893</v>
      </c>
      <c r="D223" s="24" t="s">
        <v>857</v>
      </c>
      <c r="E223" s="24" t="str">
        <f>IFERROR(VLOOKUP(D223,Dropdown!A:B,2,0),D223)</f>
        <v>Purav</v>
      </c>
      <c r="F223" s="6">
        <v>45790</v>
      </c>
      <c r="G223" s="6" t="str">
        <f>TEXT(F223, "MMM-YY")</f>
        <v>May-25</v>
      </c>
      <c r="H223" t="s">
        <v>235</v>
      </c>
      <c r="I223" s="25">
        <v>91.1</v>
      </c>
      <c r="J223" s="4">
        <v>10000</v>
      </c>
      <c r="K223" t="s">
        <v>952</v>
      </c>
      <c r="L223" s="4" t="str">
        <f>VLOOKUP(K223, 'Items Master'!A:E,5,0)</f>
        <v>GAIL</v>
      </c>
      <c r="M223" s="4" t="str">
        <f>VLOOKUP(K223, 'Items Master'!A:D,4,0)</f>
        <v>HDPE</v>
      </c>
      <c r="N223" s="4" t="s">
        <v>24</v>
      </c>
      <c r="Q223" s="6">
        <v>45790</v>
      </c>
      <c r="R223" s="6" t="str">
        <f>TEXT(Q223, "MMM-YY")</f>
        <v>May-25</v>
      </c>
      <c r="U223" t="s">
        <v>1606</v>
      </c>
      <c r="W223" s="25">
        <v>91</v>
      </c>
      <c r="Y223"/>
      <c r="Z223"/>
      <c r="AH223" s="8">
        <v>0.1</v>
      </c>
      <c r="AN223" s="9">
        <f t="shared" si="7"/>
        <v>0.1</v>
      </c>
      <c r="AO223" s="8"/>
      <c r="AP223" s="9">
        <f>I223-W223-X223-AN223</f>
        <v>-5.6898930012039273E-15</v>
      </c>
      <c r="AQ223" t="s">
        <v>1316</v>
      </c>
    </row>
    <row r="224" spans="1:44" x14ac:dyDescent="0.3">
      <c r="A224" s="11">
        <f t="shared" si="8"/>
        <v>222</v>
      </c>
      <c r="B224" s="5" t="s">
        <v>1675</v>
      </c>
      <c r="C224" t="s">
        <v>893</v>
      </c>
      <c r="D224" s="24" t="s">
        <v>824</v>
      </c>
      <c r="E224" s="24" t="str">
        <f>IFERROR(VLOOKUP(D224,Dropdown!A:B,2,0),D224)</f>
        <v>Paragon</v>
      </c>
      <c r="F224" s="6">
        <v>45790</v>
      </c>
      <c r="G224" s="6" t="str">
        <f>TEXT(F224, "MMM-YY")</f>
        <v>May-25</v>
      </c>
      <c r="H224" t="s">
        <v>236</v>
      </c>
      <c r="I224" s="25">
        <v>105.78</v>
      </c>
      <c r="J224" s="4">
        <v>1750</v>
      </c>
      <c r="K224" t="s">
        <v>925</v>
      </c>
      <c r="L224" s="4" t="str">
        <f>VLOOKUP(K224, 'Items Master'!A:E,5,0)</f>
        <v>RIL</v>
      </c>
      <c r="M224" s="4" t="str">
        <f>VLOOKUP(K224, 'Items Master'!A:D,4,0)</f>
        <v>PP ICP</v>
      </c>
      <c r="N224" s="4" t="s">
        <v>49</v>
      </c>
      <c r="Q224" s="6">
        <v>45790</v>
      </c>
      <c r="R224" s="6" t="str">
        <f>TEXT(Q224, "MMM-YY")</f>
        <v>May-25</v>
      </c>
      <c r="X224" s="25">
        <v>105.78</v>
      </c>
      <c r="AB224"/>
      <c r="AC224"/>
      <c r="AD224"/>
      <c r="AE224"/>
      <c r="AF224"/>
      <c r="AG224"/>
      <c r="AH224"/>
      <c r="AI224"/>
      <c r="AJ224"/>
      <c r="AK224"/>
      <c r="AL224"/>
      <c r="AM224"/>
      <c r="AN224" s="9">
        <f t="shared" si="7"/>
        <v>0</v>
      </c>
      <c r="AO224" s="8"/>
      <c r="AP224" s="9">
        <f>I224-W224-X224-AN224</f>
        <v>0</v>
      </c>
      <c r="AQ224" t="s">
        <v>1324</v>
      </c>
    </row>
    <row r="225" spans="1:43" x14ac:dyDescent="0.3">
      <c r="A225" s="11">
        <f t="shared" si="8"/>
        <v>223</v>
      </c>
      <c r="B225" s="5" t="s">
        <v>1675</v>
      </c>
      <c r="C225" t="s">
        <v>893</v>
      </c>
      <c r="D225" s="24" t="s">
        <v>48</v>
      </c>
      <c r="E225" s="24" t="str">
        <f>IFERROR(VLOOKUP(D225,Dropdown!A:B,2,0),D225)</f>
        <v>CVPL</v>
      </c>
      <c r="F225" s="6">
        <v>45790</v>
      </c>
      <c r="G225" s="6" t="str">
        <f>TEXT(F225, "MMM-YY")</f>
        <v>May-25</v>
      </c>
      <c r="H225" t="s">
        <v>237</v>
      </c>
      <c r="I225" s="25">
        <v>91.25</v>
      </c>
      <c r="J225" s="4">
        <v>1600</v>
      </c>
      <c r="K225" t="s">
        <v>909</v>
      </c>
      <c r="L225" s="4" t="str">
        <f>VLOOKUP(K225, 'Items Master'!A:E,5,0)</f>
        <v>LUBAN</v>
      </c>
      <c r="M225" s="4" t="str">
        <f>VLOOKUP(K225, 'Items Master'!A:D,4,0)</f>
        <v>HDPE</v>
      </c>
      <c r="N225" s="4" t="s">
        <v>24</v>
      </c>
      <c r="Q225" s="6">
        <v>45790</v>
      </c>
      <c r="R225" s="6" t="str">
        <f>TEXT(Q225, "MMM-YY")</f>
        <v>May-25</v>
      </c>
      <c r="W225" s="25">
        <v>91.25</v>
      </c>
      <c r="AB225"/>
      <c r="AC225"/>
      <c r="AD225"/>
      <c r="AE225"/>
      <c r="AF225"/>
      <c r="AG225"/>
      <c r="AH225"/>
      <c r="AI225"/>
      <c r="AJ225"/>
      <c r="AK225"/>
      <c r="AL225"/>
      <c r="AM225"/>
      <c r="AN225" s="9">
        <f t="shared" si="7"/>
        <v>0</v>
      </c>
      <c r="AO225" s="8"/>
      <c r="AP225" s="9">
        <f>I225-W225-X225-AN225</f>
        <v>0</v>
      </c>
      <c r="AQ225" t="s">
        <v>1316</v>
      </c>
    </row>
    <row r="226" spans="1:43" x14ac:dyDescent="0.3">
      <c r="A226" s="11">
        <f t="shared" si="8"/>
        <v>224</v>
      </c>
      <c r="B226" s="5" t="s">
        <v>1675</v>
      </c>
      <c r="C226" t="s">
        <v>894</v>
      </c>
      <c r="D226" s="24" t="s">
        <v>837</v>
      </c>
      <c r="E226" s="24" t="str">
        <f>IFERROR(VLOOKUP(D226,Dropdown!A:B,2,0),D226)</f>
        <v>SYNTHETIC PACKERS LIMITED</v>
      </c>
      <c r="F226" s="6">
        <v>45790</v>
      </c>
      <c r="G226" s="6" t="str">
        <f>TEXT(F226, "MMM-YY")</f>
        <v>May-25</v>
      </c>
      <c r="H226" t="s">
        <v>238</v>
      </c>
      <c r="I226" s="25">
        <v>88.5</v>
      </c>
      <c r="J226" s="4">
        <v>15000</v>
      </c>
      <c r="K226" t="s">
        <v>909</v>
      </c>
      <c r="L226" s="4" t="str">
        <f>VLOOKUP(K226, 'Items Master'!A:E,5,0)</f>
        <v>LUBAN</v>
      </c>
      <c r="M226" s="4" t="str">
        <f>VLOOKUP(K226, 'Items Master'!A:D,4,0)</f>
        <v>HDPE</v>
      </c>
      <c r="N226" s="4" t="s">
        <v>24</v>
      </c>
      <c r="Q226" s="6">
        <v>45790</v>
      </c>
      <c r="R226" s="6" t="str">
        <f>TEXT(Q226, "MMM-YY")</f>
        <v>May-25</v>
      </c>
      <c r="W226" s="25">
        <v>88.5</v>
      </c>
      <c r="Y226"/>
      <c r="Z226"/>
      <c r="AB226"/>
      <c r="AC226"/>
      <c r="AD226"/>
      <c r="AE226"/>
      <c r="AF226"/>
      <c r="AG226"/>
      <c r="AH226"/>
      <c r="AI226"/>
      <c r="AJ226"/>
      <c r="AK226"/>
      <c r="AL226"/>
      <c r="AM226"/>
      <c r="AN226" s="9">
        <f t="shared" si="7"/>
        <v>0</v>
      </c>
      <c r="AO226" s="8"/>
      <c r="AP226" s="9">
        <f>I226-W226-X226-AN226</f>
        <v>0</v>
      </c>
      <c r="AQ226" t="s">
        <v>1316</v>
      </c>
    </row>
    <row r="227" spans="1:43" x14ac:dyDescent="0.3">
      <c r="A227" s="11">
        <f t="shared" si="8"/>
        <v>225</v>
      </c>
      <c r="B227" s="5" t="s">
        <v>1675</v>
      </c>
      <c r="C227" t="s">
        <v>894</v>
      </c>
      <c r="D227" s="24" t="s">
        <v>837</v>
      </c>
      <c r="E227" s="24" t="str">
        <f>IFERROR(VLOOKUP(D227,Dropdown!A:B,2,0),D227)</f>
        <v>SYNTHETIC PACKERS LIMITED</v>
      </c>
      <c r="F227" s="6">
        <v>45790</v>
      </c>
      <c r="G227" s="6" t="str">
        <f>TEXT(F227, "MMM-YY")</f>
        <v>May-25</v>
      </c>
      <c r="H227" t="s">
        <v>239</v>
      </c>
      <c r="I227" s="25">
        <v>88.5</v>
      </c>
      <c r="J227" s="4">
        <v>9750</v>
      </c>
      <c r="K227" t="s">
        <v>909</v>
      </c>
      <c r="L227" s="4" t="str">
        <f>VLOOKUP(K227, 'Items Master'!A:E,5,0)</f>
        <v>LUBAN</v>
      </c>
      <c r="M227" s="4" t="str">
        <f>VLOOKUP(K227, 'Items Master'!A:D,4,0)</f>
        <v>HDPE</v>
      </c>
      <c r="N227" s="4" t="s">
        <v>24</v>
      </c>
      <c r="Q227" s="6">
        <v>45790</v>
      </c>
      <c r="R227" s="6" t="str">
        <f>TEXT(Q227, "MMM-YY")</f>
        <v>May-25</v>
      </c>
      <c r="W227" s="25">
        <v>88.5</v>
      </c>
      <c r="Y227"/>
      <c r="Z227"/>
      <c r="AB227"/>
      <c r="AC227"/>
      <c r="AD227"/>
      <c r="AE227"/>
      <c r="AF227"/>
      <c r="AG227"/>
      <c r="AH227"/>
      <c r="AI227"/>
      <c r="AJ227"/>
      <c r="AK227"/>
      <c r="AL227"/>
      <c r="AM227"/>
      <c r="AN227" s="9">
        <f t="shared" si="7"/>
        <v>0</v>
      </c>
      <c r="AO227" s="8"/>
      <c r="AP227" s="9">
        <f>I227-W227-X227-AN227</f>
        <v>0</v>
      </c>
      <c r="AQ227" t="s">
        <v>1316</v>
      </c>
    </row>
    <row r="228" spans="1:43" x14ac:dyDescent="0.3">
      <c r="A228" s="11">
        <f t="shared" si="8"/>
        <v>226</v>
      </c>
      <c r="B228" s="5" t="s">
        <v>1675</v>
      </c>
      <c r="C228" t="s">
        <v>894</v>
      </c>
      <c r="D228" s="24" t="s">
        <v>837</v>
      </c>
      <c r="E228" s="24" t="str">
        <f>IFERROR(VLOOKUP(D228,Dropdown!A:B,2,0),D228)</f>
        <v>SYNTHETIC PACKERS LIMITED</v>
      </c>
      <c r="F228" s="6">
        <v>45790</v>
      </c>
      <c r="G228" s="6" t="str">
        <f>TEXT(F228, "MMM-YY")</f>
        <v>May-25</v>
      </c>
      <c r="H228" t="s">
        <v>240</v>
      </c>
      <c r="I228" s="25">
        <v>88.5</v>
      </c>
      <c r="J228" s="4">
        <v>24750</v>
      </c>
      <c r="K228" t="s">
        <v>909</v>
      </c>
      <c r="L228" s="4" t="str">
        <f>VLOOKUP(K228, 'Items Master'!A:E,5,0)</f>
        <v>LUBAN</v>
      </c>
      <c r="M228" s="4" t="str">
        <f>VLOOKUP(K228, 'Items Master'!A:D,4,0)</f>
        <v>HDPE</v>
      </c>
      <c r="N228" s="4" t="s">
        <v>24</v>
      </c>
      <c r="Q228" s="6">
        <v>45790</v>
      </c>
      <c r="R228" s="6" t="str">
        <f>TEXT(Q228, "MMM-YY")</f>
        <v>May-25</v>
      </c>
      <c r="W228" s="25">
        <v>88.5</v>
      </c>
      <c r="Y228"/>
      <c r="Z228"/>
      <c r="AB228"/>
      <c r="AC228"/>
      <c r="AD228"/>
      <c r="AE228"/>
      <c r="AF228"/>
      <c r="AG228"/>
      <c r="AH228"/>
      <c r="AI228"/>
      <c r="AJ228"/>
      <c r="AK228"/>
      <c r="AL228"/>
      <c r="AM228"/>
      <c r="AN228" s="9">
        <f t="shared" si="7"/>
        <v>0</v>
      </c>
      <c r="AO228" s="8"/>
      <c r="AP228" s="9">
        <f>I228-W228-X228-AN228</f>
        <v>0</v>
      </c>
      <c r="AQ228" t="s">
        <v>1316</v>
      </c>
    </row>
    <row r="229" spans="1:43" x14ac:dyDescent="0.3">
      <c r="A229" s="11">
        <f t="shared" si="8"/>
        <v>227</v>
      </c>
      <c r="B229" s="5" t="s">
        <v>1675</v>
      </c>
      <c r="C229" t="s">
        <v>893</v>
      </c>
      <c r="D229" s="24" t="s">
        <v>839</v>
      </c>
      <c r="E229" s="24" t="str">
        <f>IFERROR(VLOOKUP(D229,Dropdown!A:B,2,0),D229)</f>
        <v>Prestine</v>
      </c>
      <c r="F229" s="6">
        <v>45791</v>
      </c>
      <c r="G229" s="6" t="str">
        <f>TEXT(F229, "MMM-YY")</f>
        <v>May-25</v>
      </c>
      <c r="H229" t="s">
        <v>241</v>
      </c>
      <c r="I229" s="25">
        <v>102</v>
      </c>
      <c r="J229" s="4">
        <v>2000</v>
      </c>
      <c r="K229" t="s">
        <v>950</v>
      </c>
      <c r="L229" s="4" t="str">
        <f>VLOOKUP(K229, 'Items Master'!A:E,5,0)</f>
        <v>RIL</v>
      </c>
      <c r="M229" s="4" t="str">
        <f>VLOOKUP(K229, 'Items Master'!A:D,4,0)</f>
        <v>PP</v>
      </c>
      <c r="N229" s="4" t="s">
        <v>49</v>
      </c>
      <c r="Q229" s="6">
        <v>45791</v>
      </c>
      <c r="R229" s="6" t="str">
        <f>TEXT(Q229, "MMM-YY")</f>
        <v>May-25</v>
      </c>
      <c r="X229" s="25">
        <v>102</v>
      </c>
      <c r="Y229" s="25" t="s">
        <v>1303</v>
      </c>
      <c r="Z229" s="25" t="s">
        <v>1644</v>
      </c>
      <c r="AB229"/>
      <c r="AC229"/>
      <c r="AD229"/>
      <c r="AE229"/>
      <c r="AF229"/>
      <c r="AG229"/>
      <c r="AH229"/>
      <c r="AI229"/>
      <c r="AJ229"/>
      <c r="AK229"/>
      <c r="AL229"/>
      <c r="AM229"/>
      <c r="AN229" s="9">
        <f t="shared" si="7"/>
        <v>0</v>
      </c>
      <c r="AO229" s="8"/>
      <c r="AP229" s="9">
        <f>I229-W229-X229-AN229</f>
        <v>0</v>
      </c>
      <c r="AQ229" t="s">
        <v>1316</v>
      </c>
    </row>
    <row r="230" spans="1:43" x14ac:dyDescent="0.3">
      <c r="A230" s="11">
        <f t="shared" si="8"/>
        <v>228</v>
      </c>
      <c r="B230" s="5" t="s">
        <v>1675</v>
      </c>
      <c r="C230" t="s">
        <v>893</v>
      </c>
      <c r="D230" s="24" t="s">
        <v>825</v>
      </c>
      <c r="E230" s="24" t="str">
        <f>IFERROR(VLOOKUP(D230,Dropdown!A:B,2,0),D230)</f>
        <v>HARISHREE POLYMERS PRIVATE LIMITED</v>
      </c>
      <c r="F230" s="6">
        <v>45791</v>
      </c>
      <c r="G230" s="6" t="str">
        <f>TEXT(F230, "MMM-YY")</f>
        <v>May-25</v>
      </c>
      <c r="H230" t="s">
        <v>242</v>
      </c>
      <c r="I230" s="25">
        <v>89</v>
      </c>
      <c r="J230" s="4">
        <v>16000</v>
      </c>
      <c r="K230" t="s">
        <v>957</v>
      </c>
      <c r="L230" s="4" t="str">
        <f>VLOOKUP(K230, 'Items Master'!A:E,5,0)</f>
        <v>HMEL</v>
      </c>
      <c r="M230" s="4" t="str">
        <f>VLOOKUP(K230, 'Items Master'!A:D,4,0)</f>
        <v>HDPE</v>
      </c>
      <c r="N230" s="4" t="s">
        <v>1325</v>
      </c>
      <c r="O230" t="s">
        <v>1327</v>
      </c>
      <c r="Q230" s="6">
        <v>45791</v>
      </c>
      <c r="R230" s="6" t="str">
        <f>TEXT(Q230, "MMM-YY")</f>
        <v>May-25</v>
      </c>
      <c r="W230" s="25">
        <v>89</v>
      </c>
      <c r="AB230"/>
      <c r="AC230"/>
      <c r="AD230"/>
      <c r="AE230"/>
      <c r="AF230"/>
      <c r="AG230"/>
      <c r="AH230"/>
      <c r="AI230"/>
      <c r="AJ230"/>
      <c r="AK230"/>
      <c r="AL230"/>
      <c r="AM230"/>
      <c r="AN230" s="9">
        <f t="shared" si="7"/>
        <v>0</v>
      </c>
      <c r="AO230" s="8"/>
      <c r="AP230" s="9">
        <f>I230-W230-X230-AN230</f>
        <v>0</v>
      </c>
      <c r="AQ230" t="s">
        <v>1316</v>
      </c>
    </row>
    <row r="231" spans="1:43" x14ac:dyDescent="0.3">
      <c r="A231" s="11">
        <f t="shared" si="8"/>
        <v>229</v>
      </c>
      <c r="B231" s="5" t="s">
        <v>1675</v>
      </c>
      <c r="C231" t="s">
        <v>893</v>
      </c>
      <c r="D231" s="24" t="s">
        <v>857</v>
      </c>
      <c r="E231" s="24" t="str">
        <f>IFERROR(VLOOKUP(D231,Dropdown!A:B,2,0),D231)</f>
        <v>Purav</v>
      </c>
      <c r="F231" s="6">
        <v>45791</v>
      </c>
      <c r="G231" s="6" t="str">
        <f>TEXT(F231, "MMM-YY")</f>
        <v>May-25</v>
      </c>
      <c r="H231" t="s">
        <v>243</v>
      </c>
      <c r="I231" s="25">
        <v>97.43</v>
      </c>
      <c r="J231" s="4">
        <v>8000</v>
      </c>
      <c r="K231" t="s">
        <v>17</v>
      </c>
      <c r="L231" s="4" t="str">
        <f>VLOOKUP(K231, 'Items Master'!A:E,5,0)</f>
        <v>OPAL</v>
      </c>
      <c r="M231" s="4" t="str">
        <f>VLOOKUP(K231, 'Items Master'!A:D,4,0)</f>
        <v>LLDPE</v>
      </c>
      <c r="N231" s="4" t="s">
        <v>49</v>
      </c>
      <c r="O231" t="s">
        <v>1295</v>
      </c>
      <c r="Q231" s="6">
        <v>45791</v>
      </c>
      <c r="R231" s="6" t="str">
        <f>TEXT(Q231, "MMM-YY")</f>
        <v>May-25</v>
      </c>
      <c r="S231" t="s">
        <v>21</v>
      </c>
      <c r="T231" t="s">
        <v>21</v>
      </c>
      <c r="U231" t="s">
        <v>1605</v>
      </c>
      <c r="X231" s="25">
        <v>97.33</v>
      </c>
      <c r="AH231" s="8">
        <v>0.1</v>
      </c>
      <c r="AN231" s="9">
        <f t="shared" si="7"/>
        <v>0.1</v>
      </c>
      <c r="AO231" s="8"/>
      <c r="AP231" s="9">
        <f>I231-W231-X231-AN231</f>
        <v>8.5209617139980764E-15</v>
      </c>
      <c r="AQ231" t="s">
        <v>1316</v>
      </c>
    </row>
    <row r="232" spans="1:43" x14ac:dyDescent="0.3">
      <c r="A232" s="11">
        <f t="shared" si="8"/>
        <v>230</v>
      </c>
      <c r="B232" s="5" t="s">
        <v>1675</v>
      </c>
      <c r="C232" t="s">
        <v>893</v>
      </c>
      <c r="D232" s="24" t="s">
        <v>857</v>
      </c>
      <c r="E232" s="24" t="str">
        <f>IFERROR(VLOOKUP(D232,Dropdown!A:B,2,0),D232)</f>
        <v>Purav</v>
      </c>
      <c r="F232" s="6">
        <v>45791</v>
      </c>
      <c r="G232" s="6" t="str">
        <f>TEXT(F232, "MMM-YY")</f>
        <v>May-25</v>
      </c>
      <c r="H232" t="s">
        <v>244</v>
      </c>
      <c r="I232" s="25">
        <v>97.43</v>
      </c>
      <c r="J232" s="4">
        <v>2000</v>
      </c>
      <c r="K232" t="s">
        <v>17</v>
      </c>
      <c r="L232" s="4" t="str">
        <f>VLOOKUP(K232, 'Items Master'!A:E,5,0)</f>
        <v>OPAL</v>
      </c>
      <c r="M232" s="4" t="str">
        <f>VLOOKUP(K232, 'Items Master'!A:D,4,0)</f>
        <v>LLDPE</v>
      </c>
      <c r="N232" s="4" t="s">
        <v>49</v>
      </c>
      <c r="O232" t="s">
        <v>1295</v>
      </c>
      <c r="Q232" s="6">
        <v>45791</v>
      </c>
      <c r="R232" s="6" t="str">
        <f>TEXT(Q232, "MMM-YY")</f>
        <v>May-25</v>
      </c>
      <c r="S232" t="s">
        <v>21</v>
      </c>
      <c r="T232" t="s">
        <v>21</v>
      </c>
      <c r="U232" t="s">
        <v>1605</v>
      </c>
      <c r="X232" s="25">
        <v>97.33</v>
      </c>
      <c r="AH232" s="8">
        <v>0.1</v>
      </c>
      <c r="AN232" s="9">
        <f t="shared" si="7"/>
        <v>0.1</v>
      </c>
      <c r="AO232" s="8"/>
      <c r="AP232" s="9">
        <f>I232-W232-X232-AN232</f>
        <v>8.5209617139980764E-15</v>
      </c>
      <c r="AQ232" t="s">
        <v>1316</v>
      </c>
    </row>
    <row r="233" spans="1:43" x14ac:dyDescent="0.3">
      <c r="A233" s="11">
        <f t="shared" si="8"/>
        <v>231</v>
      </c>
      <c r="B233" s="5" t="s">
        <v>1675</v>
      </c>
      <c r="C233" t="s">
        <v>893</v>
      </c>
      <c r="D233" s="24" t="s">
        <v>824</v>
      </c>
      <c r="E233" s="24" t="str">
        <f>IFERROR(VLOOKUP(D233,Dropdown!A:B,2,0),D233)</f>
        <v>Paragon</v>
      </c>
      <c r="F233" s="6">
        <v>45791</v>
      </c>
      <c r="G233" s="6" t="str">
        <f>TEXT(F233, "MMM-YY")</f>
        <v>May-25</v>
      </c>
      <c r="H233" t="s">
        <v>245</v>
      </c>
      <c r="I233" s="25">
        <v>98.9</v>
      </c>
      <c r="J233" s="4">
        <v>2500</v>
      </c>
      <c r="K233" t="s">
        <v>922</v>
      </c>
      <c r="L233" s="4" t="str">
        <f>VLOOKUP(K233, 'Items Master'!A:E,5,0)</f>
        <v>RIL</v>
      </c>
      <c r="M233" s="4" t="str">
        <f>VLOOKUP(K233, 'Items Master'!A:D,4,0)</f>
        <v>LLDPE</v>
      </c>
      <c r="N233" s="4" t="s">
        <v>49</v>
      </c>
      <c r="Q233" s="6">
        <v>45791</v>
      </c>
      <c r="R233" s="6" t="str">
        <f>TEXT(Q233, "MMM-YY")</f>
        <v>May-25</v>
      </c>
      <c r="X233" s="25">
        <v>98.9</v>
      </c>
      <c r="AB233"/>
      <c r="AC233"/>
      <c r="AD233"/>
      <c r="AE233"/>
      <c r="AF233"/>
      <c r="AG233"/>
      <c r="AH233"/>
      <c r="AI233"/>
      <c r="AJ233"/>
      <c r="AK233"/>
      <c r="AL233"/>
      <c r="AM233"/>
      <c r="AN233" s="9">
        <f t="shared" si="7"/>
        <v>0</v>
      </c>
      <c r="AO233" s="8"/>
      <c r="AP233" s="9">
        <f>I233-W233-X233-AN233</f>
        <v>0</v>
      </c>
      <c r="AQ233" t="s">
        <v>1324</v>
      </c>
    </row>
    <row r="234" spans="1:43" x14ac:dyDescent="0.3">
      <c r="A234" s="11">
        <f t="shared" si="8"/>
        <v>232</v>
      </c>
      <c r="B234" s="5" t="s">
        <v>1675</v>
      </c>
      <c r="C234" t="s">
        <v>893</v>
      </c>
      <c r="D234" s="24" t="s">
        <v>857</v>
      </c>
      <c r="E234" s="24" t="str">
        <f>IFERROR(VLOOKUP(D234,Dropdown!A:B,2,0),D234)</f>
        <v>Purav</v>
      </c>
      <c r="F234" s="6">
        <v>45791</v>
      </c>
      <c r="G234" s="6" t="str">
        <f>TEXT(F234, "MMM-YY")</f>
        <v>May-25</v>
      </c>
      <c r="H234" t="s">
        <v>246</v>
      </c>
      <c r="I234" s="25">
        <v>97.78</v>
      </c>
      <c r="J234" s="4">
        <v>12000</v>
      </c>
      <c r="K234" t="s">
        <v>898</v>
      </c>
      <c r="L234" s="4" t="str">
        <f>VLOOKUP(K234, 'Items Master'!A:E,5,0)</f>
        <v>OPAL</v>
      </c>
      <c r="M234" s="4" t="str">
        <f>VLOOKUP(K234, 'Items Master'!A:D,4,0)</f>
        <v>LLDPE</v>
      </c>
      <c r="N234" s="4" t="s">
        <v>49</v>
      </c>
      <c r="O234" t="s">
        <v>1295</v>
      </c>
      <c r="Q234" s="6">
        <v>45791</v>
      </c>
      <c r="R234" s="6" t="str">
        <f>TEXT(Q234, "MMM-YY")</f>
        <v>May-25</v>
      </c>
      <c r="S234" t="s">
        <v>21</v>
      </c>
      <c r="T234" t="s">
        <v>21</v>
      </c>
      <c r="U234" t="s">
        <v>1605</v>
      </c>
      <c r="X234" s="25">
        <v>97.68</v>
      </c>
      <c r="AH234" s="8">
        <v>0.1</v>
      </c>
      <c r="AN234" s="9">
        <f t="shared" si="7"/>
        <v>0.1</v>
      </c>
      <c r="AO234" s="8"/>
      <c r="AP234" s="9">
        <f>I234-W234-X234-AN234</f>
        <v>-5.6898930012039273E-15</v>
      </c>
      <c r="AQ234" t="s">
        <v>1316</v>
      </c>
    </row>
    <row r="235" spans="1:43" x14ac:dyDescent="0.3">
      <c r="A235" s="11">
        <f t="shared" si="8"/>
        <v>233</v>
      </c>
      <c r="B235" s="5" t="s">
        <v>1675</v>
      </c>
      <c r="C235" t="s">
        <v>893</v>
      </c>
      <c r="D235" s="24" t="s">
        <v>48</v>
      </c>
      <c r="E235" s="24" t="str">
        <f>IFERROR(VLOOKUP(D235,Dropdown!A:B,2,0),D235)</f>
        <v>CVPL</v>
      </c>
      <c r="F235" s="6">
        <v>45791</v>
      </c>
      <c r="G235" s="6" t="str">
        <f>TEXT(F235, "MMM-YY")</f>
        <v>May-25</v>
      </c>
      <c r="H235" t="s">
        <v>247</v>
      </c>
      <c r="I235" s="25">
        <v>98.99</v>
      </c>
      <c r="J235" s="4">
        <v>10000</v>
      </c>
      <c r="K235" t="s">
        <v>911</v>
      </c>
      <c r="L235" s="4" t="str">
        <f>VLOOKUP(K235, 'Items Master'!A:E,5,0)</f>
        <v>BCPL</v>
      </c>
      <c r="M235" s="4" t="str">
        <f>VLOOKUP(K235, 'Items Master'!A:D,4,0)</f>
        <v>LLDPE</v>
      </c>
      <c r="N235" s="4" t="s">
        <v>49</v>
      </c>
      <c r="O235" t="s">
        <v>1328</v>
      </c>
      <c r="Q235" s="6">
        <v>45791</v>
      </c>
      <c r="R235" s="6" t="str">
        <f>TEXT(Q235, "MMM-YY")</f>
        <v>May-25</v>
      </c>
      <c r="X235" s="25">
        <v>98.99</v>
      </c>
      <c r="AB235"/>
      <c r="AC235"/>
      <c r="AD235"/>
      <c r="AE235"/>
      <c r="AF235"/>
      <c r="AG235"/>
      <c r="AH235"/>
      <c r="AI235"/>
      <c r="AJ235"/>
      <c r="AK235"/>
      <c r="AL235"/>
      <c r="AM235"/>
      <c r="AN235" s="9">
        <f t="shared" si="7"/>
        <v>0</v>
      </c>
      <c r="AO235" s="8"/>
      <c r="AP235" s="9">
        <f>I235-W235-X235-AN235</f>
        <v>0</v>
      </c>
      <c r="AQ235" t="s">
        <v>1324</v>
      </c>
    </row>
    <row r="236" spans="1:43" x14ac:dyDescent="0.3">
      <c r="A236" s="11">
        <f t="shared" si="8"/>
        <v>234</v>
      </c>
      <c r="B236" s="5" t="s">
        <v>1675</v>
      </c>
      <c r="C236" t="s">
        <v>893</v>
      </c>
      <c r="D236" s="24" t="s">
        <v>824</v>
      </c>
      <c r="E236" s="24" t="str">
        <f>IFERROR(VLOOKUP(D236,Dropdown!A:B,2,0),D236)</f>
        <v>Paragon</v>
      </c>
      <c r="F236" s="6">
        <v>45792</v>
      </c>
      <c r="G236" s="6" t="str">
        <f>TEXT(F236, "MMM-YY")</f>
        <v>May-25</v>
      </c>
      <c r="H236" t="s">
        <v>248</v>
      </c>
      <c r="I236" s="25">
        <v>115.95</v>
      </c>
      <c r="J236" s="4">
        <v>5000</v>
      </c>
      <c r="K236" t="s">
        <v>895</v>
      </c>
      <c r="L236" s="4" t="str">
        <f>VLOOKUP(K236, 'Items Master'!A:E,5,0)</f>
        <v>RIL</v>
      </c>
      <c r="M236" s="4" t="str">
        <f>VLOOKUP(K236, 'Items Master'!A:D,4,0)</f>
        <v>LDPE</v>
      </c>
      <c r="N236" s="4" t="s">
        <v>24</v>
      </c>
      <c r="Q236" s="6">
        <v>45792</v>
      </c>
      <c r="R236" s="6" t="str">
        <f>TEXT(Q236, "MMM-YY")</f>
        <v>May-25</v>
      </c>
      <c r="W236" s="25">
        <v>115.95</v>
      </c>
      <c r="X236"/>
      <c r="Y236"/>
      <c r="Z236"/>
      <c r="AB236"/>
      <c r="AC236"/>
      <c r="AD236"/>
      <c r="AE236"/>
      <c r="AF236"/>
      <c r="AG236"/>
      <c r="AH236"/>
      <c r="AI236"/>
      <c r="AJ236"/>
      <c r="AK236"/>
      <c r="AL236"/>
      <c r="AM236"/>
      <c r="AN236" s="9">
        <f t="shared" si="7"/>
        <v>0</v>
      </c>
      <c r="AO236" s="8"/>
      <c r="AP236" s="9">
        <f>I236-W236-X236-AN236</f>
        <v>0</v>
      </c>
      <c r="AQ236" t="s">
        <v>1316</v>
      </c>
    </row>
    <row r="237" spans="1:43" x14ac:dyDescent="0.3">
      <c r="A237" s="11">
        <f t="shared" si="8"/>
        <v>235</v>
      </c>
      <c r="B237" s="5" t="s">
        <v>1675</v>
      </c>
      <c r="C237" t="s">
        <v>893</v>
      </c>
      <c r="D237" s="24" t="s">
        <v>824</v>
      </c>
      <c r="E237" s="24" t="str">
        <f>IFERROR(VLOOKUP(D237,Dropdown!A:B,2,0),D237)</f>
        <v>Paragon</v>
      </c>
      <c r="F237" s="6">
        <v>45792</v>
      </c>
      <c r="G237" s="6" t="str">
        <f>TEXT(F237, "MMM-YY")</f>
        <v>May-25</v>
      </c>
      <c r="H237" t="s">
        <v>248</v>
      </c>
      <c r="I237" s="25">
        <v>95.68</v>
      </c>
      <c r="J237" s="4">
        <v>5000</v>
      </c>
      <c r="K237" t="s">
        <v>915</v>
      </c>
      <c r="L237" s="4" t="str">
        <f>VLOOKUP(K237, 'Items Master'!A:E,5,0)</f>
        <v>RIL</v>
      </c>
      <c r="M237" s="4" t="str">
        <f>VLOOKUP(K237, 'Items Master'!A:D,4,0)</f>
        <v>LLDPE</v>
      </c>
      <c r="N237" s="4" t="s">
        <v>49</v>
      </c>
      <c r="Q237" s="6">
        <v>45792</v>
      </c>
      <c r="R237" s="6" t="str">
        <f>TEXT(Q237, "MMM-YY")</f>
        <v>May-25</v>
      </c>
      <c r="X237" s="25">
        <v>95.68</v>
      </c>
      <c r="AB237"/>
      <c r="AC237"/>
      <c r="AD237"/>
      <c r="AE237"/>
      <c r="AF237"/>
      <c r="AG237"/>
      <c r="AH237"/>
      <c r="AI237"/>
      <c r="AJ237"/>
      <c r="AK237"/>
      <c r="AL237"/>
      <c r="AM237"/>
      <c r="AN237" s="9">
        <f t="shared" si="7"/>
        <v>0</v>
      </c>
      <c r="AO237" s="8"/>
      <c r="AP237" s="9">
        <f>I237-W237-X237-AN237</f>
        <v>0</v>
      </c>
      <c r="AQ237" t="s">
        <v>1324</v>
      </c>
    </row>
    <row r="238" spans="1:43" x14ac:dyDescent="0.3">
      <c r="A238" s="11">
        <f t="shared" si="8"/>
        <v>236</v>
      </c>
      <c r="B238" s="5" t="s">
        <v>1675</v>
      </c>
      <c r="C238" t="s">
        <v>893</v>
      </c>
      <c r="D238" s="24" t="s">
        <v>837</v>
      </c>
      <c r="E238" s="24" t="str">
        <f>IFERROR(VLOOKUP(D238,Dropdown!A:B,2,0),D238)</f>
        <v>SYNTHETIC PACKERS LIMITED</v>
      </c>
      <c r="F238" s="6">
        <v>45792</v>
      </c>
      <c r="G238" s="6" t="str">
        <f>TEXT(F238, "MMM-YY")</f>
        <v>May-25</v>
      </c>
      <c r="H238" t="s">
        <v>249</v>
      </c>
      <c r="I238" s="25">
        <v>90.5</v>
      </c>
      <c r="J238" s="4">
        <v>2500</v>
      </c>
      <c r="K238" t="s">
        <v>909</v>
      </c>
      <c r="L238" s="4" t="str">
        <f>VLOOKUP(K238, 'Items Master'!A:E,5,0)</f>
        <v>LUBAN</v>
      </c>
      <c r="M238" s="4" t="str">
        <f>VLOOKUP(K238, 'Items Master'!A:D,4,0)</f>
        <v>HDPE</v>
      </c>
      <c r="N238" s="4" t="s">
        <v>24</v>
      </c>
      <c r="Q238" s="6">
        <v>45792</v>
      </c>
      <c r="R238" s="6" t="str">
        <f>TEXT(Q238, "MMM-YY")</f>
        <v>May-25</v>
      </c>
      <c r="W238" s="25">
        <v>90.5</v>
      </c>
      <c r="Y238"/>
      <c r="Z238"/>
      <c r="AB238"/>
      <c r="AC238"/>
      <c r="AD238"/>
      <c r="AE238"/>
      <c r="AF238"/>
      <c r="AG238"/>
      <c r="AH238"/>
      <c r="AI238"/>
      <c r="AJ238"/>
      <c r="AK238"/>
      <c r="AL238"/>
      <c r="AM238"/>
      <c r="AN238" s="9">
        <f t="shared" si="7"/>
        <v>0</v>
      </c>
      <c r="AO238" s="8"/>
      <c r="AP238" s="9">
        <f>I238-W238-X238-AN238</f>
        <v>0</v>
      </c>
      <c r="AQ238" t="s">
        <v>1316</v>
      </c>
    </row>
    <row r="239" spans="1:43" x14ac:dyDescent="0.3">
      <c r="A239" s="11">
        <f t="shared" si="8"/>
        <v>237</v>
      </c>
      <c r="B239" s="5" t="s">
        <v>1675</v>
      </c>
      <c r="C239" t="s">
        <v>893</v>
      </c>
      <c r="D239" s="24" t="s">
        <v>854</v>
      </c>
      <c r="E239" s="24" t="str">
        <f>IFERROR(VLOOKUP(D239,Dropdown!A:B,2,0),D239)</f>
        <v>GOTAWAT INDUSTRIES</v>
      </c>
      <c r="F239" s="6">
        <v>45792</v>
      </c>
      <c r="G239" s="6" t="str">
        <f>TEXT(F239, "MMM-YY")</f>
        <v>May-25</v>
      </c>
      <c r="H239" t="s">
        <v>250</v>
      </c>
      <c r="I239" s="25">
        <v>120</v>
      </c>
      <c r="J239" s="4">
        <v>775</v>
      </c>
      <c r="K239" t="s">
        <v>908</v>
      </c>
      <c r="L239" s="4" t="str">
        <f>VLOOKUP(K239, 'Items Master'!A:E,5,0)</f>
        <v>RIL</v>
      </c>
      <c r="M239" s="4" t="str">
        <f>VLOOKUP(K239, 'Items Master'!A:D,4,0)</f>
        <v>LDPE</v>
      </c>
      <c r="N239" s="4" t="s">
        <v>24</v>
      </c>
      <c r="Q239" s="6">
        <v>45792</v>
      </c>
      <c r="R239" s="6" t="str">
        <f>TEXT(Q239, "MMM-YY")</f>
        <v>May-25</v>
      </c>
      <c r="W239" s="25">
        <v>120</v>
      </c>
      <c r="Y239"/>
      <c r="Z239"/>
      <c r="AB239"/>
      <c r="AC239"/>
      <c r="AD239"/>
      <c r="AE239"/>
      <c r="AF239"/>
      <c r="AG239"/>
      <c r="AH239"/>
      <c r="AI239"/>
      <c r="AJ239"/>
      <c r="AK239"/>
      <c r="AL239"/>
      <c r="AM239"/>
      <c r="AN239" s="9">
        <f t="shared" si="7"/>
        <v>0</v>
      </c>
      <c r="AO239" s="8"/>
      <c r="AP239" s="9">
        <f>I239-W239-X239-AN239</f>
        <v>0</v>
      </c>
      <c r="AQ239" t="s">
        <v>1316</v>
      </c>
    </row>
    <row r="240" spans="1:43" x14ac:dyDescent="0.3">
      <c r="A240" s="11">
        <f t="shared" si="8"/>
        <v>238</v>
      </c>
      <c r="B240" s="5" t="s">
        <v>1675</v>
      </c>
      <c r="C240" t="s">
        <v>893</v>
      </c>
      <c r="D240" s="24" t="s">
        <v>863</v>
      </c>
      <c r="E240" s="24" t="str">
        <f>IFERROR(VLOOKUP(D240,Dropdown!A:B,2,0),D240)</f>
        <v>SAMYUKTA POLYMERS</v>
      </c>
      <c r="F240" s="6">
        <v>45792</v>
      </c>
      <c r="G240" s="6" t="str">
        <f>TEXT(F240, "MMM-YY")</f>
        <v>May-25</v>
      </c>
      <c r="H240" t="s">
        <v>251</v>
      </c>
      <c r="I240" s="25">
        <v>125</v>
      </c>
      <c r="J240" s="4">
        <v>2500</v>
      </c>
      <c r="K240" t="s">
        <v>908</v>
      </c>
      <c r="L240" s="4" t="str">
        <f>VLOOKUP(K240, 'Items Master'!A:E,5,0)</f>
        <v>RIL</v>
      </c>
      <c r="M240" s="4" t="str">
        <f>VLOOKUP(K240, 'Items Master'!A:D,4,0)</f>
        <v>LDPE</v>
      </c>
      <c r="N240" s="4" t="s">
        <v>24</v>
      </c>
      <c r="Q240" s="6">
        <v>45792</v>
      </c>
      <c r="R240" s="6" t="str">
        <f>TEXT(Q240, "MMM-YY")</f>
        <v>May-25</v>
      </c>
      <c r="W240" s="25">
        <v>125</v>
      </c>
      <c r="Y240"/>
      <c r="Z240"/>
      <c r="AB240"/>
      <c r="AC240"/>
      <c r="AD240"/>
      <c r="AE240"/>
      <c r="AF240"/>
      <c r="AG240"/>
      <c r="AH240"/>
      <c r="AI240"/>
      <c r="AJ240"/>
      <c r="AK240"/>
      <c r="AL240"/>
      <c r="AM240"/>
      <c r="AN240" s="9">
        <f t="shared" si="7"/>
        <v>0</v>
      </c>
      <c r="AO240" s="8"/>
      <c r="AP240" s="9">
        <f>I240-W240-X240-AN240</f>
        <v>0</v>
      </c>
      <c r="AQ240" t="s">
        <v>1316</v>
      </c>
    </row>
    <row r="241" spans="1:44" x14ac:dyDescent="0.3">
      <c r="A241" s="11">
        <f t="shared" si="8"/>
        <v>239</v>
      </c>
      <c r="B241" s="5" t="s">
        <v>1675</v>
      </c>
      <c r="C241" t="s">
        <v>893</v>
      </c>
      <c r="D241" s="24" t="s">
        <v>864</v>
      </c>
      <c r="E241" s="24" t="str">
        <f>IFERROR(VLOOKUP(D241,Dropdown!A:B,2,0),D241)</f>
        <v>SVP</v>
      </c>
      <c r="F241" s="6">
        <v>45792</v>
      </c>
      <c r="G241" s="6" t="str">
        <f>TEXT(F241, "MMM-YY")</f>
        <v>May-25</v>
      </c>
      <c r="H241" t="s">
        <v>252</v>
      </c>
      <c r="I241" s="25">
        <v>97.78</v>
      </c>
      <c r="J241" s="4">
        <v>10000</v>
      </c>
      <c r="K241" t="s">
        <v>958</v>
      </c>
      <c r="L241" s="4" t="str">
        <f>VLOOKUP(K241, 'Items Master'!A:E,5,0)</f>
        <v>HMEL</v>
      </c>
      <c r="M241" s="4" t="str">
        <f>VLOOKUP(K241, 'Items Master'!A:D,4,0)</f>
        <v>PP</v>
      </c>
      <c r="N241" s="4" t="s">
        <v>49</v>
      </c>
      <c r="O241" t="s">
        <v>1317</v>
      </c>
      <c r="Q241" s="6">
        <v>45792</v>
      </c>
      <c r="R241" s="6" t="str">
        <f>TEXT(Q241, "MMM-YY")</f>
        <v>May-25</v>
      </c>
      <c r="W241"/>
      <c r="X241">
        <v>99.28</v>
      </c>
      <c r="Y241" t="s">
        <v>1303</v>
      </c>
      <c r="Z241" t="s">
        <v>1305</v>
      </c>
      <c r="AB241" s="8">
        <v>-1.1000000000000001</v>
      </c>
      <c r="AC241" s="8">
        <v>-0.5</v>
      </c>
      <c r="AN241" s="9">
        <f t="shared" si="7"/>
        <v>-1.6</v>
      </c>
      <c r="AO241" s="8"/>
      <c r="AP241" s="9">
        <f>I241-W241-X241-AN241</f>
        <v>0.10000000000000009</v>
      </c>
      <c r="AQ241" t="s">
        <v>1316</v>
      </c>
      <c r="AR241" t="s">
        <v>1322</v>
      </c>
    </row>
    <row r="242" spans="1:44" x14ac:dyDescent="0.3">
      <c r="A242" s="11">
        <f t="shared" si="8"/>
        <v>240</v>
      </c>
      <c r="B242" s="5" t="s">
        <v>1675</v>
      </c>
      <c r="C242" t="s">
        <v>893</v>
      </c>
      <c r="D242" s="24" t="s">
        <v>48</v>
      </c>
      <c r="E242" s="24" t="str">
        <f>IFERROR(VLOOKUP(D242,Dropdown!A:B,2,0),D242)</f>
        <v>CVPL</v>
      </c>
      <c r="F242" s="6">
        <v>45792</v>
      </c>
      <c r="G242" s="6" t="str">
        <f>TEXT(F242, "MMM-YY")</f>
        <v>May-25</v>
      </c>
      <c r="H242" t="s">
        <v>253</v>
      </c>
      <c r="I242" s="25">
        <v>94.92</v>
      </c>
      <c r="J242" s="4">
        <v>2500</v>
      </c>
      <c r="K242" t="s">
        <v>1279</v>
      </c>
      <c r="L242" s="4" t="str">
        <f>VLOOKUP(K242, 'Items Master'!A:E,5,0)</f>
        <v>GAIL</v>
      </c>
      <c r="M242" s="4" t="str">
        <f>VLOOKUP(K242, 'Items Master'!A:D,4,0)</f>
        <v>HDPE</v>
      </c>
      <c r="N242" s="4" t="s">
        <v>49</v>
      </c>
      <c r="O242" t="s">
        <v>1296</v>
      </c>
      <c r="Q242" s="6">
        <v>45792</v>
      </c>
      <c r="R242" s="6" t="str">
        <f>TEXT(Q242, "MMM-YY")</f>
        <v>May-25</v>
      </c>
      <c r="X242" s="25">
        <v>94.415999999999997</v>
      </c>
      <c r="AB242"/>
      <c r="AC242"/>
      <c r="AD242"/>
      <c r="AE242"/>
      <c r="AF242"/>
      <c r="AG242"/>
      <c r="AH242"/>
      <c r="AI242"/>
      <c r="AJ242"/>
      <c r="AK242"/>
      <c r="AL242"/>
      <c r="AM242"/>
      <c r="AN242" s="9">
        <f t="shared" si="7"/>
        <v>0</v>
      </c>
      <c r="AO242" s="8"/>
      <c r="AP242" s="9">
        <f>I242-W242-X242-AN242</f>
        <v>0.50400000000000489</v>
      </c>
      <c r="AQ242" t="s">
        <v>1324</v>
      </c>
    </row>
    <row r="243" spans="1:44" x14ac:dyDescent="0.3">
      <c r="A243" s="11">
        <f t="shared" si="8"/>
        <v>241</v>
      </c>
      <c r="B243" s="5" t="s">
        <v>1675</v>
      </c>
      <c r="C243" t="s">
        <v>893</v>
      </c>
      <c r="D243" s="24" t="s">
        <v>857</v>
      </c>
      <c r="E243" s="24" t="str">
        <f>IFERROR(VLOOKUP(D243,Dropdown!A:B,2,0),D243)</f>
        <v>Purav</v>
      </c>
      <c r="F243" s="6">
        <v>45792</v>
      </c>
      <c r="G243" s="6" t="str">
        <f>TEXT(F243, "MMM-YY")</f>
        <v>May-25</v>
      </c>
      <c r="H243" t="s">
        <v>254</v>
      </c>
      <c r="I243" s="25">
        <v>97.43</v>
      </c>
      <c r="J243" s="4">
        <v>8000</v>
      </c>
      <c r="K243" t="s">
        <v>17</v>
      </c>
      <c r="L243" s="4" t="str">
        <f>VLOOKUP(K243, 'Items Master'!A:E,5,0)</f>
        <v>OPAL</v>
      </c>
      <c r="M243" s="4" t="str">
        <f>VLOOKUP(K243, 'Items Master'!A:D,4,0)</f>
        <v>LLDPE</v>
      </c>
      <c r="N243" s="4" t="s">
        <v>49</v>
      </c>
      <c r="O243" t="s">
        <v>1296</v>
      </c>
      <c r="Q243" s="6">
        <v>45792</v>
      </c>
      <c r="R243" s="6" t="str">
        <f>TEXT(Q243, "MMM-YY")</f>
        <v>May-25</v>
      </c>
      <c r="S243" t="s">
        <v>21</v>
      </c>
      <c r="T243" t="s">
        <v>21</v>
      </c>
      <c r="U243" t="s">
        <v>1605</v>
      </c>
      <c r="X243" s="25">
        <v>97.3</v>
      </c>
      <c r="AH243" s="8">
        <v>0.1</v>
      </c>
      <c r="AJ243" s="8">
        <v>0.03</v>
      </c>
      <c r="AN243" s="9">
        <f t="shared" si="7"/>
        <v>0.13</v>
      </c>
      <c r="AO243" s="8"/>
      <c r="AP243" s="9">
        <f>I243-W243-X243-AN243</f>
        <v>9.6589403142388619E-15</v>
      </c>
      <c r="AQ243" t="s">
        <v>1316</v>
      </c>
    </row>
    <row r="244" spans="1:44" x14ac:dyDescent="0.3">
      <c r="A244" s="11">
        <f t="shared" si="8"/>
        <v>242</v>
      </c>
      <c r="B244" s="5" t="s">
        <v>1675</v>
      </c>
      <c r="C244" t="s">
        <v>893</v>
      </c>
      <c r="D244" s="24" t="s">
        <v>857</v>
      </c>
      <c r="E244" s="24" t="str">
        <f>IFERROR(VLOOKUP(D244,Dropdown!A:B,2,0),D244)</f>
        <v>Purav</v>
      </c>
      <c r="F244" s="6">
        <v>45792</v>
      </c>
      <c r="G244" s="6" t="str">
        <f>TEXT(F244, "MMM-YY")</f>
        <v>May-25</v>
      </c>
      <c r="H244" t="s">
        <v>255</v>
      </c>
      <c r="I244" s="25">
        <v>97.43</v>
      </c>
      <c r="J244" s="4">
        <v>2000</v>
      </c>
      <c r="K244" t="s">
        <v>17</v>
      </c>
      <c r="L244" s="4" t="str">
        <f>VLOOKUP(K244, 'Items Master'!A:E,5,0)</f>
        <v>OPAL</v>
      </c>
      <c r="M244" s="4" t="str">
        <f>VLOOKUP(K244, 'Items Master'!A:D,4,0)</f>
        <v>LLDPE</v>
      </c>
      <c r="N244" s="4" t="s">
        <v>49</v>
      </c>
      <c r="O244" t="s">
        <v>1296</v>
      </c>
      <c r="Q244" s="6">
        <v>45792</v>
      </c>
      <c r="R244" s="6" t="str">
        <f>TEXT(Q244, "MMM-YY")</f>
        <v>May-25</v>
      </c>
      <c r="S244" t="s">
        <v>21</v>
      </c>
      <c r="T244" t="s">
        <v>21</v>
      </c>
      <c r="U244" t="s">
        <v>1605</v>
      </c>
      <c r="X244" s="25">
        <v>97.3</v>
      </c>
      <c r="AH244" s="8">
        <v>0.1</v>
      </c>
      <c r="AJ244" s="8">
        <v>0.03</v>
      </c>
      <c r="AN244" s="9">
        <f t="shared" si="7"/>
        <v>0.13</v>
      </c>
      <c r="AO244" s="8"/>
      <c r="AP244" s="9">
        <f>I244-W244-X244-AN244</f>
        <v>9.6589403142388619E-15</v>
      </c>
      <c r="AQ244" t="s">
        <v>1316</v>
      </c>
    </row>
    <row r="245" spans="1:44" x14ac:dyDescent="0.3">
      <c r="A245" s="11">
        <f t="shared" si="8"/>
        <v>243</v>
      </c>
      <c r="B245" s="5" t="s">
        <v>1675</v>
      </c>
      <c r="C245" t="s">
        <v>893</v>
      </c>
      <c r="D245" s="24" t="s">
        <v>824</v>
      </c>
      <c r="E245" s="24" t="str">
        <f>IFERROR(VLOOKUP(D245,Dropdown!A:B,2,0),D245)</f>
        <v>Paragon</v>
      </c>
      <c r="F245" s="6">
        <v>45792</v>
      </c>
      <c r="G245" s="6" t="str">
        <f>TEXT(F245, "MMM-YY")</f>
        <v>May-25</v>
      </c>
      <c r="H245" t="s">
        <v>256</v>
      </c>
      <c r="I245" s="25">
        <v>103.78</v>
      </c>
      <c r="J245" s="4">
        <v>3000</v>
      </c>
      <c r="K245" t="s">
        <v>925</v>
      </c>
      <c r="L245" s="4" t="str">
        <f>VLOOKUP(K245, 'Items Master'!A:E,5,0)</f>
        <v>RIL</v>
      </c>
      <c r="M245" s="4" t="str">
        <f>VLOOKUP(K245, 'Items Master'!A:D,4,0)</f>
        <v>PP ICP</v>
      </c>
      <c r="N245" s="4" t="s">
        <v>49</v>
      </c>
      <c r="Q245" s="6">
        <v>45792</v>
      </c>
      <c r="R245" s="6" t="str">
        <f>TEXT(Q245, "MMM-YY")</f>
        <v>May-25</v>
      </c>
      <c r="S245" t="s">
        <v>21</v>
      </c>
      <c r="X245" s="25">
        <v>103.78</v>
      </c>
      <c r="AB245"/>
      <c r="AC245"/>
      <c r="AD245"/>
      <c r="AE245"/>
      <c r="AF245"/>
      <c r="AG245"/>
      <c r="AH245"/>
      <c r="AI245"/>
      <c r="AJ245"/>
      <c r="AK245"/>
      <c r="AL245"/>
      <c r="AM245"/>
      <c r="AN245" s="9">
        <f t="shared" si="7"/>
        <v>0</v>
      </c>
      <c r="AO245" s="8"/>
      <c r="AP245" s="9">
        <f>I245-W245-X245-AN245</f>
        <v>0</v>
      </c>
      <c r="AQ245" t="s">
        <v>1324</v>
      </c>
    </row>
    <row r="246" spans="1:44" x14ac:dyDescent="0.3">
      <c r="A246" s="11">
        <f t="shared" si="8"/>
        <v>244</v>
      </c>
      <c r="B246" s="5" t="s">
        <v>1675</v>
      </c>
      <c r="C246" t="s">
        <v>893</v>
      </c>
      <c r="D246" s="24" t="s">
        <v>48</v>
      </c>
      <c r="E246" s="24" t="str">
        <f>IFERROR(VLOOKUP(D246,Dropdown!A:B,2,0),D246)</f>
        <v>CVPL</v>
      </c>
      <c r="F246" s="6">
        <v>45792</v>
      </c>
      <c r="G246" s="6" t="str">
        <f>TEXT(F246, "MMM-YY")</f>
        <v>May-25</v>
      </c>
      <c r="H246" t="s">
        <v>257</v>
      </c>
      <c r="I246" s="25">
        <v>98.99</v>
      </c>
      <c r="J246" s="4">
        <v>5000</v>
      </c>
      <c r="K246" t="s">
        <v>903</v>
      </c>
      <c r="L246" s="4" t="str">
        <f>VLOOKUP(K246, 'Items Master'!A:E,5,0)</f>
        <v>GAIL</v>
      </c>
      <c r="M246" s="4" t="str">
        <f>VLOOKUP(K246, 'Items Master'!A:D,4,0)</f>
        <v>LLDPE</v>
      </c>
      <c r="N246" s="4" t="s">
        <v>49</v>
      </c>
      <c r="O246" t="s">
        <v>1328</v>
      </c>
      <c r="Q246" s="6">
        <v>45792</v>
      </c>
      <c r="R246" s="6" t="str">
        <f>TEXT(Q246, "MMM-YY")</f>
        <v>May-25</v>
      </c>
      <c r="X246" s="25">
        <v>98.99</v>
      </c>
      <c r="AB246"/>
      <c r="AC246"/>
      <c r="AD246"/>
      <c r="AE246"/>
      <c r="AF246"/>
      <c r="AG246"/>
      <c r="AH246"/>
      <c r="AI246"/>
      <c r="AJ246"/>
      <c r="AK246"/>
      <c r="AL246"/>
      <c r="AM246"/>
      <c r="AN246" s="9">
        <f t="shared" si="7"/>
        <v>0</v>
      </c>
      <c r="AO246" s="8"/>
      <c r="AP246" s="9">
        <f>I246-W246-X246-AN246</f>
        <v>0</v>
      </c>
      <c r="AQ246" t="s">
        <v>1324</v>
      </c>
    </row>
    <row r="247" spans="1:44" x14ac:dyDescent="0.3">
      <c r="A247" s="11">
        <f t="shared" si="8"/>
        <v>245</v>
      </c>
      <c r="B247" s="5" t="s">
        <v>1675</v>
      </c>
      <c r="C247" t="s">
        <v>893</v>
      </c>
      <c r="D247" s="24" t="s">
        <v>48</v>
      </c>
      <c r="E247" s="24" t="str">
        <f>IFERROR(VLOOKUP(D247,Dropdown!A:B,2,0),D247)</f>
        <v>CVPL</v>
      </c>
      <c r="F247" s="6">
        <v>45792</v>
      </c>
      <c r="G247" s="6" t="str">
        <f>TEXT(F247, "MMM-YY")</f>
        <v>May-25</v>
      </c>
      <c r="H247" t="s">
        <v>258</v>
      </c>
      <c r="I247" s="25">
        <v>98.99</v>
      </c>
      <c r="J247" s="4">
        <v>5000</v>
      </c>
      <c r="K247" t="s">
        <v>911</v>
      </c>
      <c r="L247" s="4" t="str">
        <f>VLOOKUP(K247, 'Items Master'!A:E,5,0)</f>
        <v>BCPL</v>
      </c>
      <c r="M247" s="4" t="str">
        <f>VLOOKUP(K247, 'Items Master'!A:D,4,0)</f>
        <v>LLDPE</v>
      </c>
      <c r="N247" s="4" t="s">
        <v>49</v>
      </c>
      <c r="O247" t="s">
        <v>1328</v>
      </c>
      <c r="Q247" s="6">
        <v>45792</v>
      </c>
      <c r="R247" s="6" t="str">
        <f>TEXT(Q247, "MMM-YY")</f>
        <v>May-25</v>
      </c>
      <c r="X247" s="25">
        <v>98.99</v>
      </c>
      <c r="AB247"/>
      <c r="AC247"/>
      <c r="AD247"/>
      <c r="AE247"/>
      <c r="AF247"/>
      <c r="AG247"/>
      <c r="AH247"/>
      <c r="AI247"/>
      <c r="AJ247"/>
      <c r="AK247"/>
      <c r="AL247"/>
      <c r="AM247"/>
      <c r="AN247" s="9">
        <f t="shared" si="7"/>
        <v>0</v>
      </c>
      <c r="AO247" s="8"/>
      <c r="AP247" s="9">
        <f>I247-W247-X247-AN247</f>
        <v>0</v>
      </c>
      <c r="AQ247" t="s">
        <v>1324</v>
      </c>
    </row>
    <row r="248" spans="1:44" x14ac:dyDescent="0.3">
      <c r="A248" s="11">
        <f t="shared" si="8"/>
        <v>246</v>
      </c>
      <c r="B248" s="5" t="s">
        <v>1675</v>
      </c>
      <c r="C248" t="s">
        <v>893</v>
      </c>
      <c r="D248" s="24" t="s">
        <v>865</v>
      </c>
      <c r="E248" s="24" t="str">
        <f>IFERROR(VLOOKUP(D248,Dropdown!A:B,2,0),D248)</f>
        <v>UNITED RAW MATERIAL PTE LTD</v>
      </c>
      <c r="F248" s="6">
        <v>45792</v>
      </c>
      <c r="G248" s="6" t="str">
        <f>TEXT(F248, "MMM-YY")</f>
        <v>May-25</v>
      </c>
      <c r="H248" t="s">
        <v>259</v>
      </c>
      <c r="I248" s="25">
        <v>0.96199999999999997</v>
      </c>
      <c r="J248" s="4">
        <v>56000</v>
      </c>
      <c r="K248" t="s">
        <v>959</v>
      </c>
      <c r="L248" s="4" t="str">
        <f>VLOOKUP(K248, 'Items Master'!A:E,5,0)</f>
        <v>ORIENTAL</v>
      </c>
      <c r="M248" s="4" t="str">
        <f>VLOOKUP(K248, 'Items Master'!A:D,4,0)</f>
        <v>PP</v>
      </c>
      <c r="N248" s="4" t="s">
        <v>24</v>
      </c>
      <c r="Q248" s="6">
        <v>45792</v>
      </c>
      <c r="R248" s="6" t="str">
        <f>TEXT(Q248, "MMM-YY")</f>
        <v>May-25</v>
      </c>
      <c r="W248" s="25">
        <v>0.96199999999999997</v>
      </c>
      <c r="Y248"/>
      <c r="Z248"/>
      <c r="AB248"/>
      <c r="AC248"/>
      <c r="AD248"/>
      <c r="AE248"/>
      <c r="AF248"/>
      <c r="AG248"/>
      <c r="AH248"/>
      <c r="AI248"/>
      <c r="AJ248"/>
      <c r="AK248"/>
      <c r="AL248"/>
      <c r="AM248"/>
      <c r="AN248" s="9">
        <f t="shared" si="7"/>
        <v>0</v>
      </c>
      <c r="AO248" s="8"/>
      <c r="AP248" s="9">
        <f>I248-W248-X248-AN248</f>
        <v>0</v>
      </c>
      <c r="AQ248" t="s">
        <v>1316</v>
      </c>
    </row>
    <row r="249" spans="1:44" x14ac:dyDescent="0.3">
      <c r="A249" s="11">
        <f t="shared" si="8"/>
        <v>247</v>
      </c>
      <c r="B249" s="5" t="s">
        <v>1675</v>
      </c>
      <c r="C249" t="s">
        <v>893</v>
      </c>
      <c r="D249" s="24" t="s">
        <v>833</v>
      </c>
      <c r="E249" s="24" t="str">
        <f>IFERROR(VLOOKUP(D249,Dropdown!A:B,2,0),D249)</f>
        <v>SQUAREFLEX PACKAGING PRIVATE LIMITED</v>
      </c>
      <c r="F249" s="6">
        <v>45793</v>
      </c>
      <c r="G249" s="6" t="str">
        <f>TEXT(F249, "MMM-YY")</f>
        <v>May-25</v>
      </c>
      <c r="H249" t="s">
        <v>260</v>
      </c>
      <c r="I249" s="25">
        <v>123.5</v>
      </c>
      <c r="J249" s="4">
        <v>10000</v>
      </c>
      <c r="K249" t="s">
        <v>908</v>
      </c>
      <c r="L249" s="4" t="str">
        <f>VLOOKUP(K249, 'Items Master'!A:E,5,0)</f>
        <v>RIL</v>
      </c>
      <c r="M249" s="4" t="str">
        <f>VLOOKUP(K249, 'Items Master'!A:D,4,0)</f>
        <v>LDPE</v>
      </c>
      <c r="N249" s="4" t="s">
        <v>24</v>
      </c>
      <c r="Q249" s="6">
        <v>45793</v>
      </c>
      <c r="R249" s="6" t="str">
        <f>TEXT(Q249, "MMM-YY")</f>
        <v>May-25</v>
      </c>
      <c r="W249" s="25">
        <v>123.5</v>
      </c>
      <c r="Y249"/>
      <c r="Z249"/>
      <c r="AB249"/>
      <c r="AC249"/>
      <c r="AD249"/>
      <c r="AE249"/>
      <c r="AF249"/>
      <c r="AG249"/>
      <c r="AH249"/>
      <c r="AI249"/>
      <c r="AJ249"/>
      <c r="AK249"/>
      <c r="AL249"/>
      <c r="AM249"/>
      <c r="AN249" s="9">
        <f t="shared" si="7"/>
        <v>0</v>
      </c>
      <c r="AO249" s="8"/>
      <c r="AP249" s="9">
        <f>I249-W249-X249-AN249</f>
        <v>0</v>
      </c>
      <c r="AQ249" t="s">
        <v>1316</v>
      </c>
    </row>
    <row r="250" spans="1:44" x14ac:dyDescent="0.3">
      <c r="A250" s="11">
        <f t="shared" si="8"/>
        <v>248</v>
      </c>
      <c r="B250" s="5" t="s">
        <v>1675</v>
      </c>
      <c r="C250" t="s">
        <v>893</v>
      </c>
      <c r="D250" s="24" t="s">
        <v>866</v>
      </c>
      <c r="E250" s="24" t="str">
        <f>IFERROR(VLOOKUP(D250,Dropdown!A:B,2,0),D250)</f>
        <v>KLENE PAKS LIMITED</v>
      </c>
      <c r="F250" s="6">
        <v>45793</v>
      </c>
      <c r="G250" s="6" t="str">
        <f>TEXT(F250, "MMM-YY")</f>
        <v>May-25</v>
      </c>
      <c r="H250" t="s">
        <v>261</v>
      </c>
      <c r="I250" s="25">
        <v>93.6</v>
      </c>
      <c r="J250" s="4">
        <v>2500</v>
      </c>
      <c r="K250" t="s">
        <v>899</v>
      </c>
      <c r="L250" s="4" t="str">
        <f>VLOOKUP(K250, 'Items Master'!A:E,5,0)</f>
        <v>MRPL</v>
      </c>
      <c r="M250" s="4" t="str">
        <f>VLOOKUP(K250, 'Items Master'!A:D,4,0)</f>
        <v>PP</v>
      </c>
      <c r="N250" s="4" t="s">
        <v>1325</v>
      </c>
      <c r="O250" t="s">
        <v>1297</v>
      </c>
      <c r="Q250" s="6">
        <v>45793</v>
      </c>
      <c r="R250" s="6" t="str">
        <f>TEXT(Q250, "MMM-YY")</f>
        <v>May-25</v>
      </c>
      <c r="W250" s="25">
        <v>93.6</v>
      </c>
      <c r="AB250"/>
      <c r="AC250"/>
      <c r="AD250"/>
      <c r="AE250"/>
      <c r="AF250"/>
      <c r="AG250"/>
      <c r="AH250"/>
      <c r="AI250"/>
      <c r="AJ250"/>
      <c r="AK250"/>
      <c r="AL250"/>
      <c r="AM250"/>
      <c r="AN250" s="9">
        <f t="shared" si="7"/>
        <v>0</v>
      </c>
      <c r="AO250" s="8"/>
      <c r="AP250" s="9">
        <f>I250-W250-X250-AN250</f>
        <v>0</v>
      </c>
      <c r="AQ250" t="s">
        <v>1316</v>
      </c>
    </row>
    <row r="251" spans="1:44" x14ac:dyDescent="0.3">
      <c r="A251" s="11">
        <f t="shared" si="8"/>
        <v>249</v>
      </c>
      <c r="B251" s="5" t="s">
        <v>1675</v>
      </c>
      <c r="C251" t="s">
        <v>893</v>
      </c>
      <c r="D251" s="24" t="s">
        <v>838</v>
      </c>
      <c r="E251" s="24" t="str">
        <f>IFERROR(VLOOKUP(D251,Dropdown!A:B,2,0),D251)</f>
        <v>Treenity</v>
      </c>
      <c r="F251" s="6">
        <v>45793</v>
      </c>
      <c r="G251" s="6" t="str">
        <f>TEXT(F251, "MMM-YY")</f>
        <v>May-25</v>
      </c>
      <c r="H251" t="s">
        <v>262</v>
      </c>
      <c r="I251" s="25">
        <v>98.55</v>
      </c>
      <c r="J251" s="4">
        <v>10000</v>
      </c>
      <c r="K251" t="s">
        <v>899</v>
      </c>
      <c r="L251" s="4" t="str">
        <f>VLOOKUP(K251, 'Items Master'!A:E,5,0)</f>
        <v>MRPL</v>
      </c>
      <c r="M251" s="4" t="str">
        <f>VLOOKUP(K251, 'Items Master'!A:D,4,0)</f>
        <v>PP</v>
      </c>
      <c r="N251" s="4" t="s">
        <v>49</v>
      </c>
      <c r="Q251" s="6">
        <v>45793</v>
      </c>
      <c r="R251" s="6" t="str">
        <f>TEXT(Q251, "MMM-YY")</f>
        <v>May-25</v>
      </c>
      <c r="U251" t="s">
        <v>1320</v>
      </c>
      <c r="W251"/>
      <c r="X251" s="8">
        <v>96.9</v>
      </c>
      <c r="Y251" t="s">
        <v>1304</v>
      </c>
      <c r="Z251" t="s">
        <v>1305</v>
      </c>
      <c r="AB251"/>
      <c r="AC251"/>
      <c r="AD251"/>
      <c r="AE251"/>
      <c r="AF251"/>
      <c r="AG251"/>
      <c r="AH251"/>
      <c r="AI251" s="8">
        <v>1.65</v>
      </c>
      <c r="AN251" s="9">
        <f t="shared" si="7"/>
        <v>1.65</v>
      </c>
      <c r="AO251" s="8"/>
      <c r="AP251" s="9">
        <f>I251-W251-X251-AN251</f>
        <v>-8.4376949871511897E-15</v>
      </c>
      <c r="AQ251" t="s">
        <v>1316</v>
      </c>
    </row>
    <row r="252" spans="1:44" x14ac:dyDescent="0.3">
      <c r="A252" s="11">
        <f t="shared" si="8"/>
        <v>250</v>
      </c>
      <c r="B252" s="5" t="s">
        <v>1675</v>
      </c>
      <c r="C252" t="s">
        <v>893</v>
      </c>
      <c r="D252" s="24" t="s">
        <v>839</v>
      </c>
      <c r="E252" s="24" t="str">
        <f>IFERROR(VLOOKUP(D252,Dropdown!A:B,2,0),D252)</f>
        <v>Prestine</v>
      </c>
      <c r="F252" s="6">
        <v>45793</v>
      </c>
      <c r="G252" s="6" t="str">
        <f>TEXT(F252, "MMM-YY")</f>
        <v>May-25</v>
      </c>
      <c r="H252" t="s">
        <v>263</v>
      </c>
      <c r="I252" s="25">
        <v>107.5</v>
      </c>
      <c r="J252" s="4">
        <v>1500</v>
      </c>
      <c r="K252" t="s">
        <v>916</v>
      </c>
      <c r="L252" s="4" t="str">
        <f>VLOOKUP(K252, 'Items Master'!A:E,5,0)</f>
        <v>RIL</v>
      </c>
      <c r="M252" s="4" t="str">
        <f>VLOOKUP(K252, 'Items Master'!A:D,4,0)</f>
        <v>PP</v>
      </c>
      <c r="N252" s="4" t="s">
        <v>49</v>
      </c>
      <c r="Q252" s="6">
        <v>45793</v>
      </c>
      <c r="R252" s="6" t="str">
        <f>TEXT(Q252, "MMM-YY")</f>
        <v>May-25</v>
      </c>
      <c r="S252" t="s">
        <v>21</v>
      </c>
      <c r="X252" s="25">
        <v>107.03</v>
      </c>
      <c r="Y252" s="25" t="s">
        <v>1303</v>
      </c>
      <c r="Z252" s="25" t="s">
        <v>1644</v>
      </c>
      <c r="AB252"/>
      <c r="AC252"/>
      <c r="AD252"/>
      <c r="AE252"/>
      <c r="AF252"/>
      <c r="AG252"/>
      <c r="AH252"/>
      <c r="AI252"/>
      <c r="AJ252"/>
      <c r="AK252"/>
      <c r="AL252"/>
      <c r="AM252"/>
      <c r="AN252" s="9">
        <f t="shared" si="7"/>
        <v>0</v>
      </c>
      <c r="AO252" s="8"/>
      <c r="AP252" s="9">
        <f>I252-W252-X252-AN252</f>
        <v>0.46999999999999886</v>
      </c>
      <c r="AQ252" t="s">
        <v>1324</v>
      </c>
    </row>
    <row r="253" spans="1:44" x14ac:dyDescent="0.3">
      <c r="A253" s="11">
        <f t="shared" si="8"/>
        <v>251</v>
      </c>
      <c r="B253" s="5" t="s">
        <v>1675</v>
      </c>
      <c r="C253" t="s">
        <v>893</v>
      </c>
      <c r="D253" s="24" t="s">
        <v>48</v>
      </c>
      <c r="E253" s="24" t="str">
        <f>IFERROR(VLOOKUP(D253,Dropdown!A:B,2,0),D253)</f>
        <v>CVPL</v>
      </c>
      <c r="F253" s="6">
        <v>45793</v>
      </c>
      <c r="G253" s="6" t="str">
        <f>TEXT(F253, "MMM-YY")</f>
        <v>May-25</v>
      </c>
      <c r="H253" t="s">
        <v>264</v>
      </c>
      <c r="I253" s="25">
        <v>96.99</v>
      </c>
      <c r="J253" s="4">
        <v>1000</v>
      </c>
      <c r="K253" t="s">
        <v>903</v>
      </c>
      <c r="L253" s="4" t="str">
        <f>VLOOKUP(K253, 'Items Master'!A:E,5,0)</f>
        <v>GAIL</v>
      </c>
      <c r="M253" s="4" t="str">
        <f>VLOOKUP(K253, 'Items Master'!A:D,4,0)</f>
        <v>LLDPE</v>
      </c>
      <c r="N253" s="4" t="s">
        <v>49</v>
      </c>
      <c r="O253" t="s">
        <v>1328</v>
      </c>
      <c r="Q253" s="6">
        <v>45793</v>
      </c>
      <c r="R253" s="6" t="str">
        <f>TEXT(Q253, "MMM-YY")</f>
        <v>May-25</v>
      </c>
      <c r="X253" s="25">
        <v>96.99</v>
      </c>
      <c r="AB253"/>
      <c r="AC253"/>
      <c r="AD253"/>
      <c r="AE253"/>
      <c r="AF253"/>
      <c r="AG253"/>
      <c r="AH253"/>
      <c r="AI253"/>
      <c r="AJ253"/>
      <c r="AK253"/>
      <c r="AL253"/>
      <c r="AM253"/>
      <c r="AN253" s="9">
        <f t="shared" si="7"/>
        <v>0</v>
      </c>
      <c r="AO253" s="8"/>
      <c r="AP253" s="9">
        <f>I253-W253-X253-AN253</f>
        <v>0</v>
      </c>
      <c r="AQ253" t="s">
        <v>1324</v>
      </c>
    </row>
    <row r="254" spans="1:44" x14ac:dyDescent="0.3">
      <c r="A254" s="11">
        <f t="shared" si="8"/>
        <v>252</v>
      </c>
      <c r="B254" s="5" t="s">
        <v>1675</v>
      </c>
      <c r="C254" t="s">
        <v>893</v>
      </c>
      <c r="D254" s="24" t="s">
        <v>48</v>
      </c>
      <c r="E254" s="24" t="str">
        <f>IFERROR(VLOOKUP(D254,Dropdown!A:B,2,0),D254)</f>
        <v>CVPL</v>
      </c>
      <c r="F254" s="6">
        <v>45793</v>
      </c>
      <c r="G254" s="6" t="str">
        <f>TEXT(F254, "MMM-YY")</f>
        <v>May-25</v>
      </c>
      <c r="H254" t="s">
        <v>264</v>
      </c>
      <c r="I254" s="25">
        <v>116.25</v>
      </c>
      <c r="J254" s="4">
        <v>100</v>
      </c>
      <c r="K254" t="s">
        <v>960</v>
      </c>
      <c r="L254" s="4" t="str">
        <f>VLOOKUP(K254, 'Items Master'!A:E,5,0)</f>
        <v>TASNEE</v>
      </c>
      <c r="M254" s="4" t="str">
        <f>VLOOKUP(K254, 'Items Master'!A:D,4,0)</f>
        <v>LDPE</v>
      </c>
      <c r="N254" s="4" t="s">
        <v>24</v>
      </c>
      <c r="Q254" s="6">
        <v>45793</v>
      </c>
      <c r="R254" s="6" t="str">
        <f>TEXT(Q254, "MMM-YY")</f>
        <v>May-25</v>
      </c>
      <c r="W254" s="25">
        <v>116.25</v>
      </c>
      <c r="AB254"/>
      <c r="AC254"/>
      <c r="AD254"/>
      <c r="AE254"/>
      <c r="AF254"/>
      <c r="AG254"/>
      <c r="AH254"/>
      <c r="AI254"/>
      <c r="AJ254"/>
      <c r="AK254"/>
      <c r="AL254"/>
      <c r="AM254"/>
      <c r="AN254" s="9">
        <f t="shared" si="7"/>
        <v>0</v>
      </c>
      <c r="AO254" s="8"/>
      <c r="AP254" s="9">
        <f>I254-W254-X254-AN254</f>
        <v>0</v>
      </c>
      <c r="AQ254" t="s">
        <v>1316</v>
      </c>
    </row>
    <row r="255" spans="1:44" x14ac:dyDescent="0.3">
      <c r="A255" s="11">
        <f t="shared" si="8"/>
        <v>253</v>
      </c>
      <c r="B255" s="5" t="s">
        <v>1675</v>
      </c>
      <c r="C255" t="s">
        <v>893</v>
      </c>
      <c r="D255" s="24" t="s">
        <v>866</v>
      </c>
      <c r="E255" s="24" t="str">
        <f>IFERROR(VLOOKUP(D255,Dropdown!A:B,2,0),D255)</f>
        <v>KLENE PAKS LIMITED</v>
      </c>
      <c r="F255" s="6">
        <v>45793</v>
      </c>
      <c r="G255" s="6" t="str">
        <f>TEXT(F255, "MMM-YY")</f>
        <v>May-25</v>
      </c>
      <c r="H255" t="s">
        <v>265</v>
      </c>
      <c r="I255" s="25">
        <v>93.6</v>
      </c>
      <c r="J255" s="4">
        <v>2500</v>
      </c>
      <c r="K255" t="s">
        <v>899</v>
      </c>
      <c r="L255" s="4" t="str">
        <f>VLOOKUP(K255, 'Items Master'!A:E,5,0)</f>
        <v>MRPL</v>
      </c>
      <c r="M255" s="4" t="str">
        <f>VLOOKUP(K255, 'Items Master'!A:D,4,0)</f>
        <v>PP</v>
      </c>
      <c r="N255" s="4" t="s">
        <v>1325</v>
      </c>
      <c r="O255" t="s">
        <v>1297</v>
      </c>
      <c r="Q255" s="6">
        <v>45793</v>
      </c>
      <c r="R255" s="6" t="str">
        <f>TEXT(Q255, "MMM-YY")</f>
        <v>May-25</v>
      </c>
      <c r="W255" s="25">
        <v>93.6</v>
      </c>
      <c r="AB255"/>
      <c r="AC255"/>
      <c r="AD255"/>
      <c r="AE255"/>
      <c r="AF255"/>
      <c r="AG255"/>
      <c r="AH255"/>
      <c r="AI255"/>
      <c r="AJ255"/>
      <c r="AK255"/>
      <c r="AL255"/>
      <c r="AM255"/>
      <c r="AN255" s="9">
        <f t="shared" si="7"/>
        <v>0</v>
      </c>
      <c r="AO255" s="8"/>
      <c r="AP255" s="9">
        <f>I255-W255-X255-AN255</f>
        <v>0</v>
      </c>
      <c r="AQ255" t="s">
        <v>1316</v>
      </c>
    </row>
    <row r="256" spans="1:44" x14ac:dyDescent="0.3">
      <c r="A256" s="11">
        <f t="shared" si="8"/>
        <v>254</v>
      </c>
      <c r="B256" s="5" t="s">
        <v>1675</v>
      </c>
      <c r="C256" t="s">
        <v>893</v>
      </c>
      <c r="D256" s="24" t="s">
        <v>854</v>
      </c>
      <c r="E256" s="24" t="str">
        <f>IFERROR(VLOOKUP(D256,Dropdown!A:B,2,0),D256)</f>
        <v>GOTAWAT INDUSTRIES</v>
      </c>
      <c r="F256" s="6">
        <v>45793</v>
      </c>
      <c r="G256" s="6" t="str">
        <f>TEXT(F256, "MMM-YY")</f>
        <v>May-25</v>
      </c>
      <c r="H256" t="s">
        <v>266</v>
      </c>
      <c r="I256" s="25">
        <v>90</v>
      </c>
      <c r="J256" s="4">
        <v>2300</v>
      </c>
      <c r="K256" t="s">
        <v>961</v>
      </c>
      <c r="L256" s="4" t="str">
        <f>VLOOKUP(K256, 'Items Master'!A:E,5,0)</f>
        <v>RIL</v>
      </c>
      <c r="M256" s="4" t="str">
        <f>VLOOKUP(K256, 'Items Master'!A:D,4,0)</f>
        <v>PP</v>
      </c>
      <c r="N256" s="4" t="s">
        <v>24</v>
      </c>
      <c r="Q256" s="6">
        <v>45793</v>
      </c>
      <c r="R256" s="6" t="str">
        <f>TEXT(Q256, "MMM-YY")</f>
        <v>May-25</v>
      </c>
      <c r="W256" s="25">
        <v>90</v>
      </c>
      <c r="Y256"/>
      <c r="Z256"/>
      <c r="AB256"/>
      <c r="AC256"/>
      <c r="AD256"/>
      <c r="AE256"/>
      <c r="AF256"/>
      <c r="AG256"/>
      <c r="AH256"/>
      <c r="AI256"/>
      <c r="AJ256"/>
      <c r="AK256"/>
      <c r="AL256"/>
      <c r="AM256"/>
      <c r="AN256" s="9">
        <f t="shared" si="7"/>
        <v>0</v>
      </c>
      <c r="AO256" s="8"/>
      <c r="AP256" s="9">
        <f>I256-W256-X256-AN256</f>
        <v>0</v>
      </c>
      <c r="AQ256" t="s">
        <v>1316</v>
      </c>
    </row>
    <row r="257" spans="1:43" x14ac:dyDescent="0.3">
      <c r="A257" s="11">
        <f t="shared" si="8"/>
        <v>255</v>
      </c>
      <c r="B257" s="5" t="s">
        <v>1675</v>
      </c>
      <c r="C257" t="s">
        <v>893</v>
      </c>
      <c r="D257" s="24" t="s">
        <v>854</v>
      </c>
      <c r="E257" s="24" t="str">
        <f>IFERROR(VLOOKUP(D257,Dropdown!A:B,2,0),D257)</f>
        <v>GOTAWAT INDUSTRIES</v>
      </c>
      <c r="F257" s="6">
        <v>45793</v>
      </c>
      <c r="G257" s="6" t="str">
        <f>TEXT(F257, "MMM-YY")</f>
        <v>May-25</v>
      </c>
      <c r="H257" t="s">
        <v>266</v>
      </c>
      <c r="I257" s="25">
        <v>86</v>
      </c>
      <c r="J257" s="4">
        <v>1100</v>
      </c>
      <c r="K257" t="s">
        <v>977</v>
      </c>
      <c r="L257" s="4" t="str">
        <f>VLOOKUP(K257, 'Items Master'!A:E,5,0)</f>
        <v>RIL</v>
      </c>
      <c r="M257" s="4" t="str">
        <f>VLOOKUP(K257, 'Items Master'!A:D,4,0)</f>
        <v>HDPE</v>
      </c>
      <c r="N257" s="4" t="s">
        <v>24</v>
      </c>
      <c r="Q257" s="6">
        <v>45793</v>
      </c>
      <c r="R257" s="6" t="str">
        <f>TEXT(Q257, "MMM-YY")</f>
        <v>May-25</v>
      </c>
      <c r="W257" s="25">
        <v>86</v>
      </c>
      <c r="Y257"/>
      <c r="Z257"/>
      <c r="AB257"/>
      <c r="AC257"/>
      <c r="AD257"/>
      <c r="AE257"/>
      <c r="AF257"/>
      <c r="AG257"/>
      <c r="AH257"/>
      <c r="AI257"/>
      <c r="AJ257"/>
      <c r="AK257"/>
      <c r="AL257"/>
      <c r="AM257"/>
      <c r="AN257" s="9">
        <f t="shared" si="7"/>
        <v>0</v>
      </c>
      <c r="AO257" s="8"/>
      <c r="AP257" s="9">
        <f>I257-W257-X257-AN257</f>
        <v>0</v>
      </c>
      <c r="AQ257" t="s">
        <v>1316</v>
      </c>
    </row>
    <row r="258" spans="1:43" x14ac:dyDescent="0.3">
      <c r="A258" s="11">
        <f t="shared" si="8"/>
        <v>256</v>
      </c>
      <c r="B258" s="5" t="s">
        <v>1675</v>
      </c>
      <c r="C258" t="s">
        <v>893</v>
      </c>
      <c r="D258" s="24" t="s">
        <v>854</v>
      </c>
      <c r="E258" s="24" t="str">
        <f>IFERROR(VLOOKUP(D258,Dropdown!A:B,2,0),D258)</f>
        <v>GOTAWAT INDUSTRIES</v>
      </c>
      <c r="F258" s="6">
        <v>45793</v>
      </c>
      <c r="G258" s="6" t="str">
        <f>TEXT(F258, "MMM-YY")</f>
        <v>May-25</v>
      </c>
      <c r="H258" t="s">
        <v>266</v>
      </c>
      <c r="I258" s="25">
        <v>89</v>
      </c>
      <c r="J258" s="4">
        <v>464</v>
      </c>
      <c r="K258" t="s">
        <v>962</v>
      </c>
      <c r="L258" s="4" t="str">
        <f>VLOOKUP(K258, 'Items Master'!A:E,5,0)</f>
        <v>OPAL</v>
      </c>
      <c r="M258" s="4" t="str">
        <f>VLOOKUP(K258, 'Items Master'!A:D,4,0)</f>
        <v>HDPE</v>
      </c>
      <c r="N258" s="4" t="s">
        <v>24</v>
      </c>
      <c r="Q258" s="6">
        <v>45793</v>
      </c>
      <c r="R258" s="6" t="str">
        <f>TEXT(Q258, "MMM-YY")</f>
        <v>May-25</v>
      </c>
      <c r="W258" s="25">
        <v>89</v>
      </c>
      <c r="Y258"/>
      <c r="Z258"/>
      <c r="AB258"/>
      <c r="AC258"/>
      <c r="AD258"/>
      <c r="AE258"/>
      <c r="AF258"/>
      <c r="AG258"/>
      <c r="AH258"/>
      <c r="AI258"/>
      <c r="AJ258"/>
      <c r="AK258"/>
      <c r="AL258"/>
      <c r="AM258"/>
      <c r="AN258" s="9">
        <f t="shared" si="7"/>
        <v>0</v>
      </c>
      <c r="AO258" s="8"/>
      <c r="AP258" s="9">
        <f>I258-W258-X258-AN258</f>
        <v>0</v>
      </c>
      <c r="AQ258" t="s">
        <v>1316</v>
      </c>
    </row>
    <row r="259" spans="1:43" x14ac:dyDescent="0.3">
      <c r="A259" s="11">
        <f t="shared" si="8"/>
        <v>257</v>
      </c>
      <c r="B259" s="5" t="s">
        <v>1675</v>
      </c>
      <c r="C259" t="s">
        <v>893</v>
      </c>
      <c r="D259" s="24" t="s">
        <v>854</v>
      </c>
      <c r="E259" s="24" t="str">
        <f>IFERROR(VLOOKUP(D259,Dropdown!A:B,2,0),D259)</f>
        <v>GOTAWAT INDUSTRIES</v>
      </c>
      <c r="F259" s="6">
        <v>45793</v>
      </c>
      <c r="G259" s="6" t="str">
        <f>TEXT(F259, "MMM-YY")</f>
        <v>May-25</v>
      </c>
      <c r="H259" t="s">
        <v>266</v>
      </c>
      <c r="I259" s="25">
        <v>90</v>
      </c>
      <c r="J259" s="4">
        <v>3350</v>
      </c>
      <c r="K259" t="s">
        <v>915</v>
      </c>
      <c r="L259" s="4" t="str">
        <f>VLOOKUP(K259, 'Items Master'!A:E,5,0)</f>
        <v>RIL</v>
      </c>
      <c r="M259" s="4" t="str">
        <f>VLOOKUP(K259, 'Items Master'!A:D,4,0)</f>
        <v>LLDPE</v>
      </c>
      <c r="N259" s="4" t="s">
        <v>24</v>
      </c>
      <c r="Q259" s="6">
        <v>45793</v>
      </c>
      <c r="R259" s="6" t="str">
        <f>TEXT(Q259, "MMM-YY")</f>
        <v>May-25</v>
      </c>
      <c r="W259" s="25">
        <v>90</v>
      </c>
      <c r="Y259"/>
      <c r="Z259"/>
      <c r="AB259"/>
      <c r="AC259"/>
      <c r="AD259"/>
      <c r="AE259"/>
      <c r="AF259"/>
      <c r="AG259"/>
      <c r="AH259"/>
      <c r="AI259"/>
      <c r="AJ259"/>
      <c r="AK259"/>
      <c r="AL259"/>
      <c r="AM259"/>
      <c r="AN259" s="9">
        <f t="shared" si="7"/>
        <v>0</v>
      </c>
      <c r="AO259" s="8"/>
      <c r="AP259" s="9">
        <f>I259-W259-X259-AN259</f>
        <v>0</v>
      </c>
      <c r="AQ259" t="s">
        <v>1316</v>
      </c>
    </row>
    <row r="260" spans="1:43" x14ac:dyDescent="0.3">
      <c r="A260" s="11">
        <f t="shared" si="8"/>
        <v>258</v>
      </c>
      <c r="B260" s="5" t="s">
        <v>1675</v>
      </c>
      <c r="C260" t="s">
        <v>893</v>
      </c>
      <c r="D260" s="24" t="s">
        <v>857</v>
      </c>
      <c r="E260" s="24" t="str">
        <f>IFERROR(VLOOKUP(D260,Dropdown!A:B,2,0),D260)</f>
        <v>Purav</v>
      </c>
      <c r="F260" s="6">
        <v>45793</v>
      </c>
      <c r="G260" s="6" t="str">
        <f>TEXT(F260, "MMM-YY")</f>
        <v>May-25</v>
      </c>
      <c r="H260" t="s">
        <v>267</v>
      </c>
      <c r="I260" s="25">
        <v>96.4</v>
      </c>
      <c r="J260" s="4">
        <v>10000</v>
      </c>
      <c r="K260" t="s">
        <v>17</v>
      </c>
      <c r="L260" s="4" t="str">
        <f>VLOOKUP(K260, 'Items Master'!A:E,5,0)</f>
        <v>OPAL</v>
      </c>
      <c r="M260" s="4" t="str">
        <f>VLOOKUP(K260, 'Items Master'!A:D,4,0)</f>
        <v>LLDPE</v>
      </c>
      <c r="N260" s="4" t="s">
        <v>49</v>
      </c>
      <c r="O260" t="s">
        <v>1296</v>
      </c>
      <c r="Q260" s="6">
        <v>45793</v>
      </c>
      <c r="R260" s="6" t="str">
        <f>TEXT(Q260, "MMM-YY")</f>
        <v>May-25</v>
      </c>
      <c r="S260" t="s">
        <v>21</v>
      </c>
      <c r="U260" t="s">
        <v>1605</v>
      </c>
      <c r="X260" s="25">
        <v>96.3</v>
      </c>
      <c r="AH260" s="8">
        <v>0.1</v>
      </c>
      <c r="AN260" s="9">
        <f t="shared" si="7"/>
        <v>0.1</v>
      </c>
      <c r="AO260" s="8"/>
      <c r="AP260" s="9">
        <f>I260-W260-X260-AN260</f>
        <v>8.5209617139980764E-15</v>
      </c>
      <c r="AQ260" t="s">
        <v>1316</v>
      </c>
    </row>
    <row r="261" spans="1:43" x14ac:dyDescent="0.3">
      <c r="A261" s="11">
        <f t="shared" si="8"/>
        <v>259</v>
      </c>
      <c r="B261" s="5" t="s">
        <v>1675</v>
      </c>
      <c r="C261" t="s">
        <v>893</v>
      </c>
      <c r="D261" s="24" t="s">
        <v>857</v>
      </c>
      <c r="E261" s="24" t="str">
        <f>IFERROR(VLOOKUP(D261,Dropdown!A:B,2,0),D261)</f>
        <v>Purav</v>
      </c>
      <c r="F261" s="6">
        <v>45793</v>
      </c>
      <c r="G261" s="6" t="str">
        <f>TEXT(F261, "MMM-YY")</f>
        <v>May-25</v>
      </c>
      <c r="H261" t="s">
        <v>268</v>
      </c>
      <c r="I261" s="25">
        <v>93.95</v>
      </c>
      <c r="J261" s="4">
        <v>25000</v>
      </c>
      <c r="K261" t="s">
        <v>896</v>
      </c>
      <c r="L261" s="4" t="str">
        <f>VLOOKUP(K261, 'Items Master'!A:E,5,0)</f>
        <v>OPAL</v>
      </c>
      <c r="M261" s="4" t="str">
        <f>VLOOKUP(K261, 'Items Master'!A:D,4,0)</f>
        <v>HDPE</v>
      </c>
      <c r="N261" s="4" t="s">
        <v>49</v>
      </c>
      <c r="O261" t="s">
        <v>1296</v>
      </c>
      <c r="Q261" s="6">
        <v>45793</v>
      </c>
      <c r="R261" s="6" t="str">
        <f>TEXT(Q261, "MMM-YY")</f>
        <v>May-25</v>
      </c>
      <c r="S261" t="s">
        <v>21</v>
      </c>
      <c r="U261" t="s">
        <v>1605</v>
      </c>
      <c r="X261" s="25">
        <v>94.72</v>
      </c>
      <c r="AB261" s="8">
        <v>-0.9</v>
      </c>
      <c r="AH261" s="8">
        <v>0.1</v>
      </c>
      <c r="AJ261" s="8">
        <v>0.03</v>
      </c>
      <c r="AN261" s="9">
        <f t="shared" ref="AN261:AN324" si="9">SUM(AB261:AM261)</f>
        <v>-0.77</v>
      </c>
      <c r="AO261" s="8"/>
      <c r="AP261" s="9">
        <f>I261-W261-X261-AN261</f>
        <v>3.9968028886505635E-15</v>
      </c>
      <c r="AQ261" t="s">
        <v>1316</v>
      </c>
    </row>
    <row r="262" spans="1:43" x14ac:dyDescent="0.3">
      <c r="A262" s="11">
        <f t="shared" si="8"/>
        <v>260</v>
      </c>
      <c r="B262" s="5" t="s">
        <v>1675</v>
      </c>
      <c r="C262" t="s">
        <v>894</v>
      </c>
      <c r="D262" s="24" t="s">
        <v>867</v>
      </c>
      <c r="E262" s="24" t="str">
        <f>IFERROR(VLOOKUP(D262,Dropdown!A:B,2,0),D262)</f>
        <v>RISHABH TRIEXIM LLP</v>
      </c>
      <c r="F262" s="6">
        <v>45793</v>
      </c>
      <c r="G262" s="6" t="str">
        <f>TEXT(F262, "MMM-YY")</f>
        <v>May-25</v>
      </c>
      <c r="H262" t="s">
        <v>269</v>
      </c>
      <c r="I262" s="25">
        <v>86.5</v>
      </c>
      <c r="J262" s="4">
        <v>10000</v>
      </c>
      <c r="K262" t="s">
        <v>935</v>
      </c>
      <c r="L262" s="4" t="str">
        <f>VLOOKUP(K262, 'Items Master'!A:E,5,0)</f>
        <v>OPAL</v>
      </c>
      <c r="M262" s="4" t="str">
        <f>VLOOKUP(K262, 'Items Master'!A:D,4,0)</f>
        <v>HDPE</v>
      </c>
      <c r="N262" s="4" t="s">
        <v>24</v>
      </c>
      <c r="Q262" s="6">
        <v>45793</v>
      </c>
      <c r="R262" s="6" t="str">
        <f>TEXT(Q262, "MMM-YY")</f>
        <v>May-25</v>
      </c>
      <c r="W262" s="25">
        <v>86.5</v>
      </c>
      <c r="Y262"/>
      <c r="Z262"/>
      <c r="AB262"/>
      <c r="AC262"/>
      <c r="AD262"/>
      <c r="AE262"/>
      <c r="AF262"/>
      <c r="AG262"/>
      <c r="AH262"/>
      <c r="AI262"/>
      <c r="AJ262"/>
      <c r="AK262"/>
      <c r="AL262"/>
      <c r="AM262"/>
      <c r="AN262" s="9">
        <f t="shared" si="9"/>
        <v>0</v>
      </c>
      <c r="AO262" s="8"/>
      <c r="AP262" s="9">
        <f>I262-W262-X262-AN262</f>
        <v>0</v>
      </c>
      <c r="AQ262" t="s">
        <v>1316</v>
      </c>
    </row>
    <row r="263" spans="1:43" x14ac:dyDescent="0.3">
      <c r="A263" s="11">
        <f t="shared" ref="A263:A326" si="10">A262+1</f>
        <v>261</v>
      </c>
      <c r="B263" s="5" t="s">
        <v>1675</v>
      </c>
      <c r="C263" t="s">
        <v>894</v>
      </c>
      <c r="D263" s="24" t="s">
        <v>837</v>
      </c>
      <c r="E263" s="24" t="str">
        <f>IFERROR(VLOOKUP(D263,Dropdown!A:B,2,0),D263)</f>
        <v>SYNTHETIC PACKERS LIMITED</v>
      </c>
      <c r="F263" s="6">
        <v>45793</v>
      </c>
      <c r="G263" s="6" t="str">
        <f>TEXT(F263, "MMM-YY")</f>
        <v>May-25</v>
      </c>
      <c r="H263" t="s">
        <v>270</v>
      </c>
      <c r="I263" s="25">
        <v>88.5</v>
      </c>
      <c r="J263" s="4">
        <v>24750</v>
      </c>
      <c r="K263" t="s">
        <v>909</v>
      </c>
      <c r="L263" s="4" t="str">
        <f>VLOOKUP(K263, 'Items Master'!A:E,5,0)</f>
        <v>LUBAN</v>
      </c>
      <c r="M263" s="4" t="str">
        <f>VLOOKUP(K263, 'Items Master'!A:D,4,0)</f>
        <v>HDPE</v>
      </c>
      <c r="N263" s="4" t="s">
        <v>24</v>
      </c>
      <c r="Q263" s="6">
        <v>45793</v>
      </c>
      <c r="R263" s="6" t="str">
        <f>TEXT(Q263, "MMM-YY")</f>
        <v>May-25</v>
      </c>
      <c r="W263" s="25">
        <v>88.5</v>
      </c>
      <c r="Y263"/>
      <c r="Z263"/>
      <c r="AB263"/>
      <c r="AC263"/>
      <c r="AD263"/>
      <c r="AE263"/>
      <c r="AF263"/>
      <c r="AG263"/>
      <c r="AH263"/>
      <c r="AI263"/>
      <c r="AJ263"/>
      <c r="AK263"/>
      <c r="AL263"/>
      <c r="AM263"/>
      <c r="AN263" s="9">
        <f t="shared" si="9"/>
        <v>0</v>
      </c>
      <c r="AO263" s="8"/>
      <c r="AP263" s="9">
        <f>I263-W263-X263-AN263</f>
        <v>0</v>
      </c>
      <c r="AQ263" t="s">
        <v>1316</v>
      </c>
    </row>
    <row r="264" spans="1:43" x14ac:dyDescent="0.3">
      <c r="A264" s="11">
        <f t="shared" si="10"/>
        <v>262</v>
      </c>
      <c r="B264" s="5" t="s">
        <v>1675</v>
      </c>
      <c r="C264" t="s">
        <v>893</v>
      </c>
      <c r="D264" s="24" t="s">
        <v>844</v>
      </c>
      <c r="E264" s="24" t="str">
        <f>IFERROR(VLOOKUP(D264,Dropdown!A:B,2,0),D264)</f>
        <v>APEX TECHNO POLYMER PRIVATE LIMITED</v>
      </c>
      <c r="F264" s="6">
        <v>45794</v>
      </c>
      <c r="G264" s="6" t="str">
        <f>TEXT(F264, "MMM-YY")</f>
        <v>May-25</v>
      </c>
      <c r="H264" t="s">
        <v>271</v>
      </c>
      <c r="I264" s="25">
        <v>120</v>
      </c>
      <c r="J264" s="4">
        <v>50</v>
      </c>
      <c r="K264" t="s">
        <v>963</v>
      </c>
      <c r="L264" s="4" t="str">
        <f>VLOOKUP(K264, 'Items Master'!A:E,5,0)</f>
        <v>RAVAGO</v>
      </c>
      <c r="M264" s="4" t="str">
        <f>VLOOKUP(K264, 'Items Master'!A:D,4,0)</f>
        <v>PBT</v>
      </c>
      <c r="N264" s="4" t="s">
        <v>24</v>
      </c>
      <c r="Q264" s="6">
        <v>45794</v>
      </c>
      <c r="R264" s="6" t="str">
        <f>TEXT(Q264, "MMM-YY")</f>
        <v>May-25</v>
      </c>
      <c r="W264" s="25">
        <v>120</v>
      </c>
      <c r="Y264"/>
      <c r="Z264"/>
      <c r="AB264"/>
      <c r="AC264"/>
      <c r="AD264"/>
      <c r="AE264"/>
      <c r="AF264"/>
      <c r="AG264"/>
      <c r="AH264"/>
      <c r="AI264"/>
      <c r="AJ264"/>
      <c r="AK264"/>
      <c r="AL264"/>
      <c r="AM264"/>
      <c r="AN264" s="9">
        <f t="shared" si="9"/>
        <v>0</v>
      </c>
      <c r="AO264" s="8"/>
      <c r="AP264" s="9">
        <f>I264-W264-X264-AN264</f>
        <v>0</v>
      </c>
      <c r="AQ264" t="s">
        <v>1316</v>
      </c>
    </row>
    <row r="265" spans="1:43" x14ac:dyDescent="0.3">
      <c r="A265" s="11">
        <f t="shared" si="10"/>
        <v>263</v>
      </c>
      <c r="B265" s="5" t="s">
        <v>1675</v>
      </c>
      <c r="C265" t="s">
        <v>893</v>
      </c>
      <c r="D265" s="24" t="s">
        <v>830</v>
      </c>
      <c r="E265" s="24" t="str">
        <f>IFERROR(VLOOKUP(D265,Dropdown!A:B,2,0),D265)</f>
        <v>BULK LIQUID SOLUTIONS PVT LTD</v>
      </c>
      <c r="F265" s="6">
        <v>45794</v>
      </c>
      <c r="G265" s="6" t="str">
        <f>TEXT(F265, "MMM-YY")</f>
        <v>May-25</v>
      </c>
      <c r="H265" t="s">
        <v>272</v>
      </c>
      <c r="I265" s="25">
        <v>116</v>
      </c>
      <c r="J265" s="4">
        <v>10000</v>
      </c>
      <c r="K265" t="s">
        <v>964</v>
      </c>
      <c r="L265" s="4" t="str">
        <f>VLOOKUP(K265, 'Items Master'!A:E,5,0)</f>
        <v>EXXON</v>
      </c>
      <c r="M265" s="4" t="str">
        <f>VLOOKUP(K265, 'Items Master'!A:D,4,0)</f>
        <v>LDPE</v>
      </c>
      <c r="N265" s="4" t="s">
        <v>24</v>
      </c>
      <c r="Q265" s="6">
        <v>45794</v>
      </c>
      <c r="R265" s="6" t="str">
        <f>TEXT(Q265, "MMM-YY")</f>
        <v>May-25</v>
      </c>
      <c r="W265" s="25">
        <v>116</v>
      </c>
      <c r="Y265"/>
      <c r="Z265"/>
      <c r="AB265"/>
      <c r="AC265"/>
      <c r="AD265"/>
      <c r="AE265"/>
      <c r="AF265"/>
      <c r="AG265"/>
      <c r="AH265"/>
      <c r="AI265"/>
      <c r="AJ265"/>
      <c r="AK265"/>
      <c r="AL265"/>
      <c r="AM265"/>
      <c r="AN265" s="9">
        <f t="shared" si="9"/>
        <v>0</v>
      </c>
      <c r="AO265" s="8"/>
      <c r="AP265" s="9">
        <f>I265-W265-X265-AN265</f>
        <v>0</v>
      </c>
      <c r="AQ265" t="s">
        <v>1316</v>
      </c>
    </row>
    <row r="266" spans="1:43" x14ac:dyDescent="0.3">
      <c r="A266" s="11">
        <f t="shared" si="10"/>
        <v>264</v>
      </c>
      <c r="B266" s="5" t="s">
        <v>1675</v>
      </c>
      <c r="C266" t="s">
        <v>893</v>
      </c>
      <c r="D266" s="24" t="s">
        <v>837</v>
      </c>
      <c r="E266" s="24" t="str">
        <f>IFERROR(VLOOKUP(D266,Dropdown!A:B,2,0),D266)</f>
        <v>SYNTHETIC PACKERS LIMITED</v>
      </c>
      <c r="F266" s="6">
        <v>45794</v>
      </c>
      <c r="G266" s="6" t="str">
        <f>TEXT(F266, "MMM-YY")</f>
        <v>May-25</v>
      </c>
      <c r="H266" t="s">
        <v>273</v>
      </c>
      <c r="I266" s="25">
        <v>90.5</v>
      </c>
      <c r="J266" s="4">
        <v>2500</v>
      </c>
      <c r="K266" t="s">
        <v>909</v>
      </c>
      <c r="L266" s="4" t="str">
        <f>VLOOKUP(K266, 'Items Master'!A:E,5,0)</f>
        <v>LUBAN</v>
      </c>
      <c r="M266" s="4" t="str">
        <f>VLOOKUP(K266, 'Items Master'!A:D,4,0)</f>
        <v>HDPE</v>
      </c>
      <c r="N266" s="4" t="s">
        <v>24</v>
      </c>
      <c r="Q266" s="6">
        <v>45794</v>
      </c>
      <c r="R266" s="6" t="str">
        <f>TEXT(Q266, "MMM-YY")</f>
        <v>May-25</v>
      </c>
      <c r="W266" s="25">
        <v>90.5</v>
      </c>
      <c r="Y266"/>
      <c r="Z266"/>
      <c r="AB266"/>
      <c r="AC266"/>
      <c r="AD266"/>
      <c r="AE266"/>
      <c r="AF266"/>
      <c r="AG266"/>
      <c r="AH266"/>
      <c r="AI266"/>
      <c r="AJ266"/>
      <c r="AK266"/>
      <c r="AL266"/>
      <c r="AM266"/>
      <c r="AN266" s="9">
        <f t="shared" si="9"/>
        <v>0</v>
      </c>
      <c r="AO266" s="8"/>
      <c r="AP266" s="9">
        <f>I266-W266-X266-AN266</f>
        <v>0</v>
      </c>
      <c r="AQ266" t="s">
        <v>1316</v>
      </c>
    </row>
    <row r="267" spans="1:43" x14ac:dyDescent="0.3">
      <c r="A267" s="11">
        <f t="shared" si="10"/>
        <v>265</v>
      </c>
      <c r="B267" s="5" t="s">
        <v>1675</v>
      </c>
      <c r="C267" t="s">
        <v>894</v>
      </c>
      <c r="D267" s="24" t="s">
        <v>837</v>
      </c>
      <c r="E267" s="24" t="str">
        <f>IFERROR(VLOOKUP(D267,Dropdown!A:B,2,0),D267)</f>
        <v>SYNTHETIC PACKERS LIMITED</v>
      </c>
      <c r="F267" s="6">
        <v>45794</v>
      </c>
      <c r="G267" s="6" t="str">
        <f>TEXT(F267, "MMM-YY")</f>
        <v>May-25</v>
      </c>
      <c r="H267" t="s">
        <v>274</v>
      </c>
      <c r="I267" s="25">
        <v>88.5</v>
      </c>
      <c r="J267" s="4">
        <v>24750</v>
      </c>
      <c r="K267" t="s">
        <v>909</v>
      </c>
      <c r="L267" s="4" t="str">
        <f>VLOOKUP(K267, 'Items Master'!A:E,5,0)</f>
        <v>LUBAN</v>
      </c>
      <c r="M267" s="4" t="str">
        <f>VLOOKUP(K267, 'Items Master'!A:D,4,0)</f>
        <v>HDPE</v>
      </c>
      <c r="N267" s="4" t="s">
        <v>24</v>
      </c>
      <c r="Q267" s="6">
        <v>45794</v>
      </c>
      <c r="R267" s="6" t="str">
        <f>TEXT(Q267, "MMM-YY")</f>
        <v>May-25</v>
      </c>
      <c r="W267" s="25">
        <v>88.5</v>
      </c>
      <c r="Y267"/>
      <c r="Z267"/>
      <c r="AB267"/>
      <c r="AC267"/>
      <c r="AD267"/>
      <c r="AE267"/>
      <c r="AF267"/>
      <c r="AG267"/>
      <c r="AH267"/>
      <c r="AI267"/>
      <c r="AJ267"/>
      <c r="AK267"/>
      <c r="AL267"/>
      <c r="AM267"/>
      <c r="AN267" s="9">
        <f t="shared" si="9"/>
        <v>0</v>
      </c>
      <c r="AO267" s="8"/>
      <c r="AP267" s="9">
        <f>I267-W267-X267-AN267</f>
        <v>0</v>
      </c>
      <c r="AQ267" t="s">
        <v>1316</v>
      </c>
    </row>
    <row r="268" spans="1:43" x14ac:dyDescent="0.3">
      <c r="A268" s="11">
        <f t="shared" si="10"/>
        <v>266</v>
      </c>
      <c r="B268" s="5" t="s">
        <v>1675</v>
      </c>
      <c r="C268" t="s">
        <v>893</v>
      </c>
      <c r="D268" s="24" t="s">
        <v>824</v>
      </c>
      <c r="E268" s="24" t="str">
        <f>IFERROR(VLOOKUP(D268,Dropdown!A:B,2,0),D268)</f>
        <v>Paragon</v>
      </c>
      <c r="F268" s="6">
        <v>45796</v>
      </c>
      <c r="G268" s="6" t="str">
        <f>TEXT(F268, "MMM-YY")</f>
        <v>May-25</v>
      </c>
      <c r="H268" t="s">
        <v>275</v>
      </c>
      <c r="I268" s="25">
        <v>103.78</v>
      </c>
      <c r="J268" s="4">
        <v>1500</v>
      </c>
      <c r="K268" t="s">
        <v>925</v>
      </c>
      <c r="L268" s="4" t="str">
        <f>VLOOKUP(K268, 'Items Master'!A:E,5,0)</f>
        <v>RIL</v>
      </c>
      <c r="M268" s="4" t="str">
        <f>VLOOKUP(K268, 'Items Master'!A:D,4,0)</f>
        <v>PP ICP</v>
      </c>
      <c r="N268" s="4" t="s">
        <v>49</v>
      </c>
      <c r="Q268" s="6">
        <v>45796</v>
      </c>
      <c r="R268" s="6" t="str">
        <f>TEXT(Q268, "MMM-YY")</f>
        <v>May-25</v>
      </c>
      <c r="X268" s="25">
        <v>103.78</v>
      </c>
      <c r="AB268"/>
      <c r="AC268"/>
      <c r="AD268"/>
      <c r="AE268"/>
      <c r="AF268"/>
      <c r="AG268"/>
      <c r="AH268"/>
      <c r="AI268"/>
      <c r="AJ268"/>
      <c r="AK268"/>
      <c r="AL268"/>
      <c r="AM268"/>
      <c r="AN268" s="9">
        <f t="shared" si="9"/>
        <v>0</v>
      </c>
      <c r="AO268" s="8"/>
      <c r="AP268" s="9">
        <f>I268-W268-X268-AN268</f>
        <v>0</v>
      </c>
      <c r="AQ268" t="s">
        <v>1324</v>
      </c>
    </row>
    <row r="269" spans="1:43" x14ac:dyDescent="0.3">
      <c r="A269" s="11">
        <f t="shared" si="10"/>
        <v>267</v>
      </c>
      <c r="B269" s="5" t="s">
        <v>1675</v>
      </c>
      <c r="C269" t="s">
        <v>893</v>
      </c>
      <c r="D269" s="24" t="s">
        <v>868</v>
      </c>
      <c r="E269" s="24" t="str">
        <f>IFERROR(VLOOKUP(D269,Dropdown!A:B,2,0),D269)</f>
        <v>TUBE PRODUCTS</v>
      </c>
      <c r="F269" s="6">
        <v>45796</v>
      </c>
      <c r="G269" s="6" t="str">
        <f>TEXT(F269, "MMM-YY")</f>
        <v>May-25</v>
      </c>
      <c r="H269" t="s">
        <v>276</v>
      </c>
      <c r="I269" s="25">
        <v>68</v>
      </c>
      <c r="J269" s="4">
        <v>2500</v>
      </c>
      <c r="K269" t="s">
        <v>965</v>
      </c>
      <c r="L269" s="4" t="str">
        <f>VLOOKUP(K269, 'Items Master'!A:E,5,0)</f>
        <v>RIL</v>
      </c>
      <c r="M269" s="4" t="str">
        <f>VLOOKUP(K269, 'Items Master'!A:D,4,0)</f>
        <v>PVC</v>
      </c>
      <c r="N269" s="4" t="s">
        <v>24</v>
      </c>
      <c r="Q269" s="6">
        <v>45796</v>
      </c>
      <c r="R269" s="6" t="str">
        <f>TEXT(Q269, "MMM-YY")</f>
        <v>May-25</v>
      </c>
      <c r="W269" s="25">
        <v>68</v>
      </c>
      <c r="Y269"/>
      <c r="Z269"/>
      <c r="AB269"/>
      <c r="AC269"/>
      <c r="AD269"/>
      <c r="AE269"/>
      <c r="AF269"/>
      <c r="AG269"/>
      <c r="AH269"/>
      <c r="AI269"/>
      <c r="AJ269"/>
      <c r="AK269"/>
      <c r="AL269"/>
      <c r="AM269"/>
      <c r="AN269" s="9">
        <f t="shared" si="9"/>
        <v>0</v>
      </c>
      <c r="AO269" s="8"/>
      <c r="AP269" s="9">
        <f>I269-W269-X269-AN269</f>
        <v>0</v>
      </c>
      <c r="AQ269" t="s">
        <v>1316</v>
      </c>
    </row>
    <row r="270" spans="1:43" x14ac:dyDescent="0.3">
      <c r="A270" s="11">
        <f t="shared" si="10"/>
        <v>268</v>
      </c>
      <c r="B270" s="5" t="s">
        <v>1675</v>
      </c>
      <c r="C270" t="s">
        <v>893</v>
      </c>
      <c r="D270" s="24" t="s">
        <v>868</v>
      </c>
      <c r="E270" s="24" t="str">
        <f>IFERROR(VLOOKUP(D270,Dropdown!A:B,2,0),D270)</f>
        <v>TUBE PRODUCTS</v>
      </c>
      <c r="F270" s="6">
        <v>45796</v>
      </c>
      <c r="G270" s="6" t="str">
        <f>TEXT(F270, "MMM-YY")</f>
        <v>May-25</v>
      </c>
      <c r="H270" t="s">
        <v>277</v>
      </c>
      <c r="I270" s="25">
        <v>68</v>
      </c>
      <c r="J270" s="4">
        <v>2500</v>
      </c>
      <c r="K270" t="s">
        <v>965</v>
      </c>
      <c r="L270" s="4" t="str">
        <f>VLOOKUP(K270, 'Items Master'!A:E,5,0)</f>
        <v>RIL</v>
      </c>
      <c r="M270" s="4" t="str">
        <f>VLOOKUP(K270, 'Items Master'!A:D,4,0)</f>
        <v>PVC</v>
      </c>
      <c r="N270" s="4" t="s">
        <v>24</v>
      </c>
      <c r="Q270" s="6">
        <v>45796</v>
      </c>
      <c r="R270" s="6" t="str">
        <f>TEXT(Q270, "MMM-YY")</f>
        <v>May-25</v>
      </c>
      <c r="W270" s="25">
        <v>68</v>
      </c>
      <c r="Y270"/>
      <c r="Z270"/>
      <c r="AB270"/>
      <c r="AC270"/>
      <c r="AD270"/>
      <c r="AE270"/>
      <c r="AF270"/>
      <c r="AG270"/>
      <c r="AH270"/>
      <c r="AI270"/>
      <c r="AJ270"/>
      <c r="AK270"/>
      <c r="AL270"/>
      <c r="AM270"/>
      <c r="AN270" s="9">
        <f t="shared" si="9"/>
        <v>0</v>
      </c>
      <c r="AO270" s="8"/>
      <c r="AP270" s="9">
        <f>I270-W270-X270-AN270</f>
        <v>0</v>
      </c>
      <c r="AQ270" t="s">
        <v>1316</v>
      </c>
    </row>
    <row r="271" spans="1:43" x14ac:dyDescent="0.3">
      <c r="A271" s="11">
        <f t="shared" si="10"/>
        <v>269</v>
      </c>
      <c r="B271" s="5" t="s">
        <v>1675</v>
      </c>
      <c r="C271" t="s">
        <v>893</v>
      </c>
      <c r="D271" s="24" t="s">
        <v>837</v>
      </c>
      <c r="E271" s="24" t="str">
        <f>IFERROR(VLOOKUP(D271,Dropdown!A:B,2,0),D271)</f>
        <v>SYNTHETIC PACKERS LIMITED</v>
      </c>
      <c r="F271" s="6">
        <v>45796</v>
      </c>
      <c r="G271" s="6" t="str">
        <f>TEXT(F271, "MMM-YY")</f>
        <v>May-25</v>
      </c>
      <c r="H271" t="s">
        <v>278</v>
      </c>
      <c r="I271" s="25">
        <v>89</v>
      </c>
      <c r="J271" s="4">
        <v>12750</v>
      </c>
      <c r="K271" t="s">
        <v>909</v>
      </c>
      <c r="L271" s="4" t="str">
        <f>VLOOKUP(K271, 'Items Master'!A:E,5,0)</f>
        <v>LUBAN</v>
      </c>
      <c r="M271" s="4" t="str">
        <f>VLOOKUP(K271, 'Items Master'!A:D,4,0)</f>
        <v>HDPE</v>
      </c>
      <c r="N271" s="4" t="s">
        <v>24</v>
      </c>
      <c r="Q271" s="6">
        <v>45796</v>
      </c>
      <c r="R271" s="6" t="str">
        <f>TEXT(Q271, "MMM-YY")</f>
        <v>May-25</v>
      </c>
      <c r="W271" s="25">
        <v>89</v>
      </c>
      <c r="Y271"/>
      <c r="Z271"/>
      <c r="AB271"/>
      <c r="AC271"/>
      <c r="AD271"/>
      <c r="AE271"/>
      <c r="AF271"/>
      <c r="AG271"/>
      <c r="AH271"/>
      <c r="AI271"/>
      <c r="AJ271"/>
      <c r="AK271"/>
      <c r="AL271"/>
      <c r="AM271"/>
      <c r="AN271" s="9">
        <f t="shared" si="9"/>
        <v>0</v>
      </c>
      <c r="AO271" s="8"/>
      <c r="AP271" s="9">
        <f>I271-W271-X271-AN271</f>
        <v>0</v>
      </c>
      <c r="AQ271" t="s">
        <v>1316</v>
      </c>
    </row>
    <row r="272" spans="1:43" x14ac:dyDescent="0.3">
      <c r="A272" s="11">
        <f t="shared" si="10"/>
        <v>270</v>
      </c>
      <c r="B272" s="5" t="s">
        <v>1675</v>
      </c>
      <c r="C272" t="s">
        <v>893</v>
      </c>
      <c r="D272" s="24" t="s">
        <v>868</v>
      </c>
      <c r="E272" s="24" t="str">
        <f>IFERROR(VLOOKUP(D272,Dropdown!A:B,2,0),D272)</f>
        <v>TUBE PRODUCTS</v>
      </c>
      <c r="F272" s="6">
        <v>45796</v>
      </c>
      <c r="G272" s="6" t="str">
        <f>TEXT(F272, "MMM-YY")</f>
        <v>May-25</v>
      </c>
      <c r="H272" t="s">
        <v>279</v>
      </c>
      <c r="I272" s="25">
        <v>68</v>
      </c>
      <c r="J272" s="4">
        <v>10000</v>
      </c>
      <c r="K272" t="s">
        <v>965</v>
      </c>
      <c r="L272" s="4" t="str">
        <f>VLOOKUP(K272, 'Items Master'!A:E,5,0)</f>
        <v>RIL</v>
      </c>
      <c r="M272" s="4" t="str">
        <f>VLOOKUP(K272, 'Items Master'!A:D,4,0)</f>
        <v>PVC</v>
      </c>
      <c r="N272" s="4" t="s">
        <v>24</v>
      </c>
      <c r="Q272" s="6">
        <v>45796</v>
      </c>
      <c r="R272" s="6" t="str">
        <f>TEXT(Q272, "MMM-YY")</f>
        <v>May-25</v>
      </c>
      <c r="W272" s="25">
        <v>68</v>
      </c>
      <c r="Y272"/>
      <c r="Z272"/>
      <c r="AB272"/>
      <c r="AC272"/>
      <c r="AD272"/>
      <c r="AE272"/>
      <c r="AF272"/>
      <c r="AG272"/>
      <c r="AH272"/>
      <c r="AI272"/>
      <c r="AJ272"/>
      <c r="AK272"/>
      <c r="AL272"/>
      <c r="AM272"/>
      <c r="AN272" s="9">
        <f t="shared" si="9"/>
        <v>0</v>
      </c>
      <c r="AO272" s="8"/>
      <c r="AP272" s="9">
        <f>I272-W272-X272-AN272</f>
        <v>0</v>
      </c>
      <c r="AQ272" t="s">
        <v>1316</v>
      </c>
    </row>
    <row r="273" spans="1:43" x14ac:dyDescent="0.3">
      <c r="A273" s="11">
        <f t="shared" si="10"/>
        <v>271</v>
      </c>
      <c r="B273" s="5" t="s">
        <v>1675</v>
      </c>
      <c r="C273" t="s">
        <v>894</v>
      </c>
      <c r="D273" s="24" t="s">
        <v>837</v>
      </c>
      <c r="E273" s="24" t="str">
        <f>IFERROR(VLOOKUP(D273,Dropdown!A:B,2,0),D273)</f>
        <v>SYNTHETIC PACKERS LIMITED</v>
      </c>
      <c r="F273" s="6">
        <v>45796</v>
      </c>
      <c r="G273" s="6" t="str">
        <f>TEXT(F273, "MMM-YY")</f>
        <v>May-25</v>
      </c>
      <c r="H273" t="s">
        <v>280</v>
      </c>
      <c r="I273" s="25">
        <v>89</v>
      </c>
      <c r="J273" s="4">
        <v>12000</v>
      </c>
      <c r="K273" t="s">
        <v>909</v>
      </c>
      <c r="L273" s="4" t="str">
        <f>VLOOKUP(K273, 'Items Master'!A:E,5,0)</f>
        <v>LUBAN</v>
      </c>
      <c r="M273" s="4" t="str">
        <f>VLOOKUP(K273, 'Items Master'!A:D,4,0)</f>
        <v>HDPE</v>
      </c>
      <c r="N273" s="4" t="s">
        <v>24</v>
      </c>
      <c r="Q273" s="6">
        <v>45796</v>
      </c>
      <c r="R273" s="6" t="str">
        <f>TEXT(Q273, "MMM-YY")</f>
        <v>May-25</v>
      </c>
      <c r="W273" s="25">
        <v>89</v>
      </c>
      <c r="Y273"/>
      <c r="Z273"/>
      <c r="AB273"/>
      <c r="AC273"/>
      <c r="AD273"/>
      <c r="AE273"/>
      <c r="AF273"/>
      <c r="AG273"/>
      <c r="AH273"/>
      <c r="AI273"/>
      <c r="AJ273"/>
      <c r="AK273"/>
      <c r="AL273"/>
      <c r="AM273"/>
      <c r="AN273" s="9">
        <f t="shared" si="9"/>
        <v>0</v>
      </c>
      <c r="AO273" s="8"/>
      <c r="AP273" s="9">
        <f>I273-W273-X273-AN273</f>
        <v>0</v>
      </c>
      <c r="AQ273" t="s">
        <v>1316</v>
      </c>
    </row>
    <row r="274" spans="1:43" x14ac:dyDescent="0.3">
      <c r="A274" s="11">
        <f t="shared" si="10"/>
        <v>272</v>
      </c>
      <c r="B274" s="5" t="s">
        <v>1675</v>
      </c>
      <c r="C274" t="s">
        <v>893</v>
      </c>
      <c r="D274" s="24" t="s">
        <v>857</v>
      </c>
      <c r="E274" s="24" t="str">
        <f>IFERROR(VLOOKUP(D274,Dropdown!A:B,2,0),D274)</f>
        <v>Purav</v>
      </c>
      <c r="F274" s="6">
        <v>45797</v>
      </c>
      <c r="G274" s="6" t="str">
        <f>TEXT(F274, "MMM-YY")</f>
        <v>May-25</v>
      </c>
      <c r="H274" t="s">
        <v>281</v>
      </c>
      <c r="I274" s="25">
        <v>91.1</v>
      </c>
      <c r="J274" s="4">
        <v>10000</v>
      </c>
      <c r="K274" t="s">
        <v>952</v>
      </c>
      <c r="L274" s="4" t="str">
        <f>VLOOKUP(K274, 'Items Master'!A:E,5,0)</f>
        <v>GAIL</v>
      </c>
      <c r="M274" s="4" t="str">
        <f>VLOOKUP(K274, 'Items Master'!A:D,4,0)</f>
        <v>HDPE</v>
      </c>
      <c r="N274" s="4" t="s">
        <v>24</v>
      </c>
      <c r="Q274" s="6">
        <v>45797</v>
      </c>
      <c r="R274" s="6" t="str">
        <f>TEXT(Q274, "MMM-YY")</f>
        <v>May-25</v>
      </c>
      <c r="U274" t="s">
        <v>1606</v>
      </c>
      <c r="W274" s="25">
        <v>91</v>
      </c>
      <c r="Y274"/>
      <c r="Z274"/>
      <c r="AH274" s="8">
        <v>0.1</v>
      </c>
      <c r="AN274" s="9">
        <f t="shared" si="9"/>
        <v>0.1</v>
      </c>
      <c r="AO274" s="8"/>
      <c r="AP274" s="9">
        <f>I274-W274-X274-AN274</f>
        <v>-5.6898930012039273E-15</v>
      </c>
      <c r="AQ274" t="s">
        <v>1316</v>
      </c>
    </row>
    <row r="275" spans="1:43" x14ac:dyDescent="0.3">
      <c r="A275" s="11">
        <f t="shared" si="10"/>
        <v>273</v>
      </c>
      <c r="B275" s="5" t="s">
        <v>1675</v>
      </c>
      <c r="C275" t="s">
        <v>893</v>
      </c>
      <c r="D275" s="24" t="s">
        <v>824</v>
      </c>
      <c r="E275" s="24" t="str">
        <f>IFERROR(VLOOKUP(D275,Dropdown!A:B,2,0),D275)</f>
        <v>Paragon</v>
      </c>
      <c r="F275" s="6">
        <v>45797</v>
      </c>
      <c r="G275" s="6" t="str">
        <f>TEXT(F275, "MMM-YY")</f>
        <v>May-25</v>
      </c>
      <c r="H275" t="s">
        <v>282</v>
      </c>
      <c r="I275" s="25">
        <v>103.78</v>
      </c>
      <c r="J275" s="4">
        <v>500</v>
      </c>
      <c r="K275" t="s">
        <v>925</v>
      </c>
      <c r="L275" s="4" t="str">
        <f>VLOOKUP(K275, 'Items Master'!A:E,5,0)</f>
        <v>RIL</v>
      </c>
      <c r="M275" s="4" t="str">
        <f>VLOOKUP(K275, 'Items Master'!A:D,4,0)</f>
        <v>PP ICP</v>
      </c>
      <c r="N275" s="4" t="s">
        <v>49</v>
      </c>
      <c r="Q275" s="6">
        <v>45797</v>
      </c>
      <c r="R275" s="6" t="str">
        <f>TEXT(Q275, "MMM-YY")</f>
        <v>May-25</v>
      </c>
      <c r="X275" s="25">
        <v>103.78</v>
      </c>
      <c r="AB275"/>
      <c r="AC275"/>
      <c r="AD275"/>
      <c r="AE275"/>
      <c r="AF275"/>
      <c r="AG275"/>
      <c r="AH275"/>
      <c r="AI275"/>
      <c r="AJ275"/>
      <c r="AK275"/>
      <c r="AL275"/>
      <c r="AM275"/>
      <c r="AN275" s="9">
        <f t="shared" si="9"/>
        <v>0</v>
      </c>
      <c r="AO275" s="8"/>
      <c r="AP275" s="9">
        <f>I275-W275-X275-AN275</f>
        <v>0</v>
      </c>
      <c r="AQ275" t="s">
        <v>1324</v>
      </c>
    </row>
    <row r="276" spans="1:43" x14ac:dyDescent="0.3">
      <c r="A276" s="11">
        <f t="shared" si="10"/>
        <v>274</v>
      </c>
      <c r="B276" s="5" t="s">
        <v>1675</v>
      </c>
      <c r="C276" t="s">
        <v>894</v>
      </c>
      <c r="D276" s="24" t="s">
        <v>857</v>
      </c>
      <c r="E276" s="24" t="str">
        <f>IFERROR(VLOOKUP(D276,Dropdown!A:B,2,0),D276)</f>
        <v>Purav</v>
      </c>
      <c r="F276" s="6">
        <v>45797</v>
      </c>
      <c r="G276" s="6" t="str">
        <f>TEXT(F276, "MMM-YY")</f>
        <v>May-25</v>
      </c>
      <c r="H276" t="s">
        <v>283</v>
      </c>
      <c r="I276" s="25">
        <v>96.4</v>
      </c>
      <c r="J276" s="4">
        <v>5000</v>
      </c>
      <c r="K276" t="s">
        <v>17</v>
      </c>
      <c r="L276" s="4" t="str">
        <f>VLOOKUP(K276, 'Items Master'!A:E,5,0)</f>
        <v>OPAL</v>
      </c>
      <c r="M276" s="4" t="str">
        <f>VLOOKUP(K276, 'Items Master'!A:D,4,0)</f>
        <v>LLDPE</v>
      </c>
      <c r="N276" s="4" t="s">
        <v>49</v>
      </c>
      <c r="O276" t="s">
        <v>1296</v>
      </c>
      <c r="Q276" s="6">
        <v>45797</v>
      </c>
      <c r="R276" s="6" t="str">
        <f>TEXT(Q276, "MMM-YY")</f>
        <v>May-25</v>
      </c>
      <c r="U276" t="s">
        <v>1605</v>
      </c>
      <c r="X276" s="25">
        <v>96.3</v>
      </c>
      <c r="AH276" s="8">
        <v>0.1</v>
      </c>
      <c r="AN276" s="9">
        <f t="shared" si="9"/>
        <v>0.1</v>
      </c>
      <c r="AO276" s="8"/>
      <c r="AP276" s="9">
        <f>I276-W276-X276-AN276</f>
        <v>8.5209617139980764E-15</v>
      </c>
      <c r="AQ276" t="s">
        <v>1316</v>
      </c>
    </row>
    <row r="277" spans="1:43" x14ac:dyDescent="0.3">
      <c r="A277" s="11">
        <f t="shared" si="10"/>
        <v>275</v>
      </c>
      <c r="B277" s="5" t="s">
        <v>1675</v>
      </c>
      <c r="C277" t="s">
        <v>894</v>
      </c>
      <c r="D277" s="24" t="s">
        <v>857</v>
      </c>
      <c r="E277" s="24" t="str">
        <f>IFERROR(VLOOKUP(D277,Dropdown!A:B,2,0),D277)</f>
        <v>Purav</v>
      </c>
      <c r="F277" s="6">
        <v>45797</v>
      </c>
      <c r="G277" s="6" t="str">
        <f>TEXT(F277, "MMM-YY")</f>
        <v>May-25</v>
      </c>
      <c r="H277" t="s">
        <v>284</v>
      </c>
      <c r="I277" s="25">
        <v>93.95</v>
      </c>
      <c r="J277" s="4">
        <v>5000</v>
      </c>
      <c r="K277" t="s">
        <v>896</v>
      </c>
      <c r="L277" s="4" t="str">
        <f>VLOOKUP(K277, 'Items Master'!A:E,5,0)</f>
        <v>OPAL</v>
      </c>
      <c r="M277" s="4" t="str">
        <f>VLOOKUP(K277, 'Items Master'!A:D,4,0)</f>
        <v>HDPE</v>
      </c>
      <c r="N277" s="4" t="s">
        <v>49</v>
      </c>
      <c r="O277" t="s">
        <v>1296</v>
      </c>
      <c r="Q277" s="6">
        <v>45797</v>
      </c>
      <c r="R277" s="6" t="str">
        <f>TEXT(Q277, "MMM-YY")</f>
        <v>May-25</v>
      </c>
      <c r="S277" t="s">
        <v>21</v>
      </c>
      <c r="U277" t="s">
        <v>1605</v>
      </c>
      <c r="X277" s="25">
        <v>94.72</v>
      </c>
      <c r="AB277" s="8">
        <v>-0.9</v>
      </c>
      <c r="AH277" s="8">
        <v>0.1</v>
      </c>
      <c r="AJ277" s="8">
        <v>0.03</v>
      </c>
      <c r="AN277" s="9">
        <f t="shared" si="9"/>
        <v>-0.77</v>
      </c>
      <c r="AO277" s="8"/>
      <c r="AP277" s="9">
        <f>I277-W277-X277-AN277</f>
        <v>3.9968028886505635E-15</v>
      </c>
      <c r="AQ277" t="s">
        <v>1316</v>
      </c>
    </row>
    <row r="278" spans="1:43" x14ac:dyDescent="0.3">
      <c r="A278" s="11">
        <f t="shared" si="10"/>
        <v>276</v>
      </c>
      <c r="B278" s="5" t="s">
        <v>1675</v>
      </c>
      <c r="C278" t="s">
        <v>893</v>
      </c>
      <c r="D278" s="24" t="s">
        <v>48</v>
      </c>
      <c r="E278" s="24" t="str">
        <f>IFERROR(VLOOKUP(D278,Dropdown!A:B,2,0),D278)</f>
        <v>CVPL</v>
      </c>
      <c r="F278" s="6">
        <v>45798</v>
      </c>
      <c r="G278" s="6" t="str">
        <f>TEXT(F278, "MMM-YY")</f>
        <v>May-25</v>
      </c>
      <c r="H278" t="s">
        <v>285</v>
      </c>
      <c r="I278" s="25">
        <v>100.2</v>
      </c>
      <c r="J278" s="4">
        <v>1500</v>
      </c>
      <c r="K278" t="s">
        <v>966</v>
      </c>
      <c r="L278" s="4" t="str">
        <f>VLOOKUP(K278, 'Items Master'!A:E,5,0)</f>
        <v>MRPL</v>
      </c>
      <c r="M278" s="4" t="str">
        <f>VLOOKUP(K278, 'Items Master'!A:D,4,0)</f>
        <v>PP</v>
      </c>
      <c r="N278" s="4" t="s">
        <v>49</v>
      </c>
      <c r="Q278" s="6">
        <v>45798</v>
      </c>
      <c r="R278" s="6" t="str">
        <f>TEXT(Q278, "MMM-YY")</f>
        <v>May-25</v>
      </c>
      <c r="X278" s="25">
        <v>100.196</v>
      </c>
      <c r="AB278"/>
      <c r="AC278"/>
      <c r="AD278"/>
      <c r="AE278"/>
      <c r="AF278"/>
      <c r="AG278"/>
      <c r="AH278"/>
      <c r="AI278"/>
      <c r="AJ278"/>
      <c r="AK278"/>
      <c r="AL278"/>
      <c r="AM278"/>
      <c r="AN278" s="9">
        <f t="shared" si="9"/>
        <v>0</v>
      </c>
      <c r="AO278" s="8"/>
      <c r="AP278" s="9">
        <f>I278-W278-X278-AN278</f>
        <v>4.0000000000048885E-3</v>
      </c>
      <c r="AQ278" t="s">
        <v>1324</v>
      </c>
    </row>
    <row r="279" spans="1:43" x14ac:dyDescent="0.3">
      <c r="A279" s="11">
        <f t="shared" si="10"/>
        <v>277</v>
      </c>
      <c r="B279" s="5" t="s">
        <v>1675</v>
      </c>
      <c r="C279" t="s">
        <v>893</v>
      </c>
      <c r="D279" s="24" t="s">
        <v>48</v>
      </c>
      <c r="E279" s="24" t="str">
        <f>IFERROR(VLOOKUP(D279,Dropdown!A:B,2,0),D279)</f>
        <v>CVPL</v>
      </c>
      <c r="F279" s="6">
        <v>45798</v>
      </c>
      <c r="G279" s="6" t="str">
        <f>TEXT(F279, "MMM-YY")</f>
        <v>May-25</v>
      </c>
      <c r="H279" t="s">
        <v>285</v>
      </c>
      <c r="I279" s="25">
        <v>128.5</v>
      </c>
      <c r="J279" s="4">
        <v>200</v>
      </c>
      <c r="K279" t="s">
        <v>967</v>
      </c>
      <c r="L279" s="4" t="str">
        <f>VLOOKUP(K279, 'Items Master'!A:E,5,0)</f>
        <v>RIL</v>
      </c>
      <c r="M279" s="4" t="str">
        <f>VLOOKUP(K279, 'Items Master'!A:D,4,0)</f>
        <v>LDPE</v>
      </c>
      <c r="N279" s="4" t="s">
        <v>24</v>
      </c>
      <c r="Q279" s="6">
        <v>45798</v>
      </c>
      <c r="R279" s="6" t="str">
        <f>TEXT(Q279, "MMM-YY")</f>
        <v>May-25</v>
      </c>
      <c r="W279" s="25">
        <v>128.5</v>
      </c>
      <c r="Y279"/>
      <c r="Z279"/>
      <c r="AB279"/>
      <c r="AC279"/>
      <c r="AD279"/>
      <c r="AE279"/>
      <c r="AF279"/>
      <c r="AG279"/>
      <c r="AH279"/>
      <c r="AI279"/>
      <c r="AJ279"/>
      <c r="AK279"/>
      <c r="AL279"/>
      <c r="AM279"/>
      <c r="AN279" s="9">
        <f t="shared" si="9"/>
        <v>0</v>
      </c>
      <c r="AO279" s="8"/>
      <c r="AP279" s="9">
        <f>I279-W279-X279-AN279</f>
        <v>0</v>
      </c>
      <c r="AQ279" t="s">
        <v>1316</v>
      </c>
    </row>
    <row r="280" spans="1:43" x14ac:dyDescent="0.3">
      <c r="A280" s="11">
        <f t="shared" si="10"/>
        <v>278</v>
      </c>
      <c r="B280" s="5" t="s">
        <v>1675</v>
      </c>
      <c r="C280" t="s">
        <v>893</v>
      </c>
      <c r="D280" s="24" t="s">
        <v>48</v>
      </c>
      <c r="E280" s="24" t="str">
        <f>IFERROR(VLOOKUP(D280,Dropdown!A:B,2,0),D280)</f>
        <v>CVPL</v>
      </c>
      <c r="F280" s="6">
        <v>45798</v>
      </c>
      <c r="G280" s="6" t="str">
        <f>TEXT(F280, "MMM-YY")</f>
        <v>May-25</v>
      </c>
      <c r="H280" t="s">
        <v>286</v>
      </c>
      <c r="I280" s="25">
        <v>96.99</v>
      </c>
      <c r="J280" s="4">
        <v>2500</v>
      </c>
      <c r="K280" t="s">
        <v>903</v>
      </c>
      <c r="L280" s="4" t="str">
        <f>VLOOKUP(K280, 'Items Master'!A:E,5,0)</f>
        <v>GAIL</v>
      </c>
      <c r="M280" s="4" t="str">
        <f>VLOOKUP(K280, 'Items Master'!A:D,4,0)</f>
        <v>LLDPE</v>
      </c>
      <c r="N280" s="4" t="s">
        <v>49</v>
      </c>
      <c r="O280" t="s">
        <v>1296</v>
      </c>
      <c r="Q280" s="6">
        <v>45798</v>
      </c>
      <c r="R280" s="6" t="str">
        <f>TEXT(Q280, "MMM-YY")</f>
        <v>May-25</v>
      </c>
      <c r="X280" s="25">
        <v>98.98</v>
      </c>
      <c r="AB280"/>
      <c r="AC280"/>
      <c r="AD280"/>
      <c r="AE280"/>
      <c r="AF280"/>
      <c r="AG280"/>
      <c r="AH280"/>
      <c r="AI280"/>
      <c r="AJ280"/>
      <c r="AK280"/>
      <c r="AL280"/>
      <c r="AM280"/>
      <c r="AN280" s="9">
        <f t="shared" si="9"/>
        <v>0</v>
      </c>
      <c r="AO280" s="8"/>
      <c r="AP280" s="9">
        <f>I280-W280-X280-AN280</f>
        <v>-1.9900000000000091</v>
      </c>
      <c r="AQ280" t="s">
        <v>1324</v>
      </c>
    </row>
    <row r="281" spans="1:43" x14ac:dyDescent="0.3">
      <c r="A281" s="11">
        <f t="shared" si="10"/>
        <v>279</v>
      </c>
      <c r="B281" s="5" t="s">
        <v>1675</v>
      </c>
      <c r="C281" t="s">
        <v>893</v>
      </c>
      <c r="D281" s="24" t="s">
        <v>833</v>
      </c>
      <c r="E281" s="24" t="str">
        <f>IFERROR(VLOOKUP(D281,Dropdown!A:B,2,0),D281)</f>
        <v>SQUAREFLEX PACKAGING PRIVATE LIMITED</v>
      </c>
      <c r="F281" s="6">
        <v>45798</v>
      </c>
      <c r="G281" s="6" t="str">
        <f>TEXT(F281, "MMM-YY")</f>
        <v>May-25</v>
      </c>
      <c r="H281" t="s">
        <v>287</v>
      </c>
      <c r="I281" s="25">
        <v>117.25</v>
      </c>
      <c r="J281" s="4">
        <v>10000</v>
      </c>
      <c r="K281" t="s">
        <v>954</v>
      </c>
      <c r="L281" s="4" t="str">
        <f>VLOOKUP(K281, 'Items Master'!A:E,5,0)</f>
        <v>RIL</v>
      </c>
      <c r="M281" s="4" t="str">
        <f>VLOOKUP(K281, 'Items Master'!A:D,4,0)</f>
        <v>LDPE</v>
      </c>
      <c r="N281" s="4" t="s">
        <v>24</v>
      </c>
      <c r="Q281" s="6">
        <v>45798</v>
      </c>
      <c r="R281" s="6" t="str">
        <f>TEXT(Q281, "MMM-YY")</f>
        <v>May-25</v>
      </c>
      <c r="W281" s="25">
        <v>117.25</v>
      </c>
      <c r="Y281"/>
      <c r="Z281"/>
      <c r="AB281"/>
      <c r="AC281"/>
      <c r="AD281"/>
      <c r="AE281"/>
      <c r="AF281"/>
      <c r="AG281"/>
      <c r="AH281"/>
      <c r="AI281"/>
      <c r="AJ281"/>
      <c r="AK281"/>
      <c r="AL281"/>
      <c r="AM281"/>
      <c r="AN281" s="9">
        <f t="shared" si="9"/>
        <v>0</v>
      </c>
      <c r="AO281" s="8"/>
      <c r="AP281" s="9">
        <f>I281-W281-X281-AN281</f>
        <v>0</v>
      </c>
      <c r="AQ281" t="s">
        <v>1316</v>
      </c>
    </row>
    <row r="282" spans="1:43" x14ac:dyDescent="0.3">
      <c r="A282" s="11">
        <f t="shared" si="10"/>
        <v>280</v>
      </c>
      <c r="B282" s="5" t="s">
        <v>1675</v>
      </c>
      <c r="C282" t="s">
        <v>893</v>
      </c>
      <c r="D282" s="24" t="s">
        <v>48</v>
      </c>
      <c r="E282" s="24" t="str">
        <f>IFERROR(VLOOKUP(D282,Dropdown!A:B,2,0),D282)</f>
        <v>CVPL</v>
      </c>
      <c r="F282" s="6">
        <v>45798</v>
      </c>
      <c r="G282" s="6" t="str">
        <f>TEXT(F282, "MMM-YY")</f>
        <v>May-25</v>
      </c>
      <c r="H282" t="s">
        <v>288</v>
      </c>
      <c r="I282" s="25">
        <v>96.99</v>
      </c>
      <c r="J282" s="4">
        <v>1500</v>
      </c>
      <c r="K282" t="s">
        <v>903</v>
      </c>
      <c r="L282" s="4" t="str">
        <f>VLOOKUP(K282, 'Items Master'!A:E,5,0)</f>
        <v>GAIL</v>
      </c>
      <c r="M282" s="4" t="str">
        <f>VLOOKUP(K282, 'Items Master'!A:D,4,0)</f>
        <v>LLDPE</v>
      </c>
      <c r="N282" s="4" t="s">
        <v>49</v>
      </c>
      <c r="O282" t="s">
        <v>20</v>
      </c>
      <c r="Q282" s="6">
        <v>45798</v>
      </c>
      <c r="R282" s="6" t="str">
        <f>TEXT(Q282, "MMM-YY")</f>
        <v>May-25</v>
      </c>
      <c r="X282" s="25">
        <v>98.98</v>
      </c>
      <c r="AB282"/>
      <c r="AC282"/>
      <c r="AD282"/>
      <c r="AE282"/>
      <c r="AF282"/>
      <c r="AG282"/>
      <c r="AH282"/>
      <c r="AI282"/>
      <c r="AJ282"/>
      <c r="AK282"/>
      <c r="AL282"/>
      <c r="AM282"/>
      <c r="AN282" s="9">
        <f t="shared" si="9"/>
        <v>0</v>
      </c>
      <c r="AO282" s="8"/>
      <c r="AP282" s="9">
        <f>I282-W282-X282-AN282</f>
        <v>-1.9900000000000091</v>
      </c>
      <c r="AQ282" t="s">
        <v>1324</v>
      </c>
    </row>
    <row r="283" spans="1:43" x14ac:dyDescent="0.3">
      <c r="A283" s="11">
        <f t="shared" si="10"/>
        <v>281</v>
      </c>
      <c r="B283" s="5" t="s">
        <v>1675</v>
      </c>
      <c r="C283" t="s">
        <v>893</v>
      </c>
      <c r="D283" s="24" t="s">
        <v>48</v>
      </c>
      <c r="E283" s="24" t="str">
        <f>IFERROR(VLOOKUP(D283,Dropdown!A:B,2,0),D283)</f>
        <v>CVPL</v>
      </c>
      <c r="F283" s="6">
        <v>45798</v>
      </c>
      <c r="G283" s="6" t="str">
        <f>TEXT(F283, "MMM-YY")</f>
        <v>May-25</v>
      </c>
      <c r="H283" t="s">
        <v>288</v>
      </c>
      <c r="I283" s="25">
        <v>116</v>
      </c>
      <c r="J283" s="4">
        <v>200</v>
      </c>
      <c r="K283" t="s">
        <v>895</v>
      </c>
      <c r="L283" s="4" t="str">
        <f>VLOOKUP(K283, 'Items Master'!A:E,5,0)</f>
        <v>RIL</v>
      </c>
      <c r="M283" s="4" t="str">
        <f>VLOOKUP(K283, 'Items Master'!A:D,4,0)</f>
        <v>LDPE</v>
      </c>
      <c r="N283" s="4" t="s">
        <v>24</v>
      </c>
      <c r="Q283" s="6">
        <v>45798</v>
      </c>
      <c r="R283" s="6" t="str">
        <f>TEXT(Q283, "MMM-YY")</f>
        <v>May-25</v>
      </c>
      <c r="W283" s="25">
        <v>116</v>
      </c>
      <c r="Y283"/>
      <c r="Z283"/>
      <c r="AB283"/>
      <c r="AC283"/>
      <c r="AD283"/>
      <c r="AE283"/>
      <c r="AF283"/>
      <c r="AG283"/>
      <c r="AH283"/>
      <c r="AI283"/>
      <c r="AJ283"/>
      <c r="AK283"/>
      <c r="AL283"/>
      <c r="AM283"/>
      <c r="AN283" s="9">
        <f t="shared" si="9"/>
        <v>0</v>
      </c>
      <c r="AO283" s="8"/>
      <c r="AP283" s="9">
        <f>I283-W283-X283-AN283</f>
        <v>0</v>
      </c>
      <c r="AQ283" t="s">
        <v>1316</v>
      </c>
    </row>
    <row r="284" spans="1:43" x14ac:dyDescent="0.3">
      <c r="A284" s="11">
        <f t="shared" si="10"/>
        <v>282</v>
      </c>
      <c r="B284" s="5" t="s">
        <v>1675</v>
      </c>
      <c r="C284" t="s">
        <v>893</v>
      </c>
      <c r="D284" s="24" t="s">
        <v>48</v>
      </c>
      <c r="E284" s="24" t="str">
        <f>IFERROR(VLOOKUP(D284,Dropdown!A:B,2,0),D284)</f>
        <v>CVPL</v>
      </c>
      <c r="F284" s="6">
        <v>45798</v>
      </c>
      <c r="G284" s="6" t="str">
        <f>TEXT(F284, "MMM-YY")</f>
        <v>May-25</v>
      </c>
      <c r="H284" t="s">
        <v>289</v>
      </c>
      <c r="I284" s="25">
        <v>96.9</v>
      </c>
      <c r="J284" s="4">
        <v>3000</v>
      </c>
      <c r="K284" t="s">
        <v>899</v>
      </c>
      <c r="L284" s="4" t="str">
        <f>VLOOKUP(K284, 'Items Master'!A:E,5,0)</f>
        <v>MRPL</v>
      </c>
      <c r="M284" s="4" t="str">
        <f>VLOOKUP(K284, 'Items Master'!A:D,4,0)</f>
        <v>PP</v>
      </c>
      <c r="N284" s="4" t="s">
        <v>49</v>
      </c>
      <c r="O284" t="s">
        <v>1293</v>
      </c>
      <c r="Q284" s="6">
        <v>45798</v>
      </c>
      <c r="R284" s="6" t="str">
        <f>TEXT(Q284, "MMM-YY")</f>
        <v>May-25</v>
      </c>
      <c r="X284" s="25">
        <v>98.896000000000001</v>
      </c>
      <c r="AB284"/>
      <c r="AC284"/>
      <c r="AD284"/>
      <c r="AE284"/>
      <c r="AF284"/>
      <c r="AG284"/>
      <c r="AH284"/>
      <c r="AI284"/>
      <c r="AJ284"/>
      <c r="AK284"/>
      <c r="AL284"/>
      <c r="AM284"/>
      <c r="AN284" s="9">
        <f t="shared" si="9"/>
        <v>0</v>
      </c>
      <c r="AO284" s="8"/>
      <c r="AP284" s="9">
        <f>I284-W284-X284-AN284</f>
        <v>-1.9959999999999951</v>
      </c>
      <c r="AQ284" t="s">
        <v>1324</v>
      </c>
    </row>
    <row r="285" spans="1:43" x14ac:dyDescent="0.3">
      <c r="A285" s="11">
        <f t="shared" si="10"/>
        <v>283</v>
      </c>
      <c r="B285" s="5" t="s">
        <v>1675</v>
      </c>
      <c r="C285" t="s">
        <v>893</v>
      </c>
      <c r="D285" s="24" t="s">
        <v>857</v>
      </c>
      <c r="E285" s="24" t="str">
        <f>IFERROR(VLOOKUP(D285,Dropdown!A:B,2,0),D285)</f>
        <v>Purav</v>
      </c>
      <c r="F285" s="6">
        <v>45798</v>
      </c>
      <c r="G285" s="6" t="str">
        <f>TEXT(F285, "MMM-YY")</f>
        <v>May-25</v>
      </c>
      <c r="H285" t="s">
        <v>290</v>
      </c>
      <c r="I285" s="25">
        <v>96.4</v>
      </c>
      <c r="J285" s="4">
        <v>12000</v>
      </c>
      <c r="K285" t="s">
        <v>898</v>
      </c>
      <c r="L285" s="4" t="str">
        <f>VLOOKUP(K285, 'Items Master'!A:E,5,0)</f>
        <v>OPAL</v>
      </c>
      <c r="M285" s="4" t="str">
        <f>VLOOKUP(K285, 'Items Master'!A:D,4,0)</f>
        <v>LLDPE</v>
      </c>
      <c r="N285" s="4" t="s">
        <v>49</v>
      </c>
      <c r="O285" t="s">
        <v>1296</v>
      </c>
      <c r="Q285" s="6">
        <v>45798</v>
      </c>
      <c r="R285" s="6" t="str">
        <f>TEXT(Q285, "MMM-YY")</f>
        <v>May-25</v>
      </c>
      <c r="U285" t="s">
        <v>1605</v>
      </c>
      <c r="X285" s="25">
        <v>96.3</v>
      </c>
      <c r="AH285" s="8">
        <v>0.1</v>
      </c>
      <c r="AN285" s="9">
        <f t="shared" si="9"/>
        <v>0.1</v>
      </c>
      <c r="AO285" s="8"/>
      <c r="AP285" s="9">
        <f>I285-W285-X285-AN285</f>
        <v>8.5209617139980764E-15</v>
      </c>
      <c r="AQ285" t="s">
        <v>1316</v>
      </c>
    </row>
    <row r="286" spans="1:43" x14ac:dyDescent="0.3">
      <c r="A286" s="11">
        <f t="shared" si="10"/>
        <v>284</v>
      </c>
      <c r="B286" s="5" t="s">
        <v>1675</v>
      </c>
      <c r="C286" t="s">
        <v>893</v>
      </c>
      <c r="D286" s="24" t="s">
        <v>48</v>
      </c>
      <c r="E286" s="24" t="str">
        <f>IFERROR(VLOOKUP(D286,Dropdown!A:B,2,0),D286)</f>
        <v>CVPL</v>
      </c>
      <c r="F286" s="6">
        <v>45798</v>
      </c>
      <c r="G286" s="6" t="str">
        <f>TEXT(F286, "MMM-YY")</f>
        <v>May-25</v>
      </c>
      <c r="H286" t="s">
        <v>291</v>
      </c>
      <c r="I286" s="25">
        <v>96.99</v>
      </c>
      <c r="J286" s="4">
        <v>10000</v>
      </c>
      <c r="K286" t="s">
        <v>903</v>
      </c>
      <c r="L286" s="4" t="str">
        <f>VLOOKUP(K286, 'Items Master'!A:E,5,0)</f>
        <v>GAIL</v>
      </c>
      <c r="M286" s="4" t="str">
        <f>VLOOKUP(K286, 'Items Master'!A:D,4,0)</f>
        <v>LLDPE</v>
      </c>
      <c r="N286" s="4" t="s">
        <v>49</v>
      </c>
      <c r="O286" t="s">
        <v>1296</v>
      </c>
      <c r="Q286" s="6">
        <v>45798</v>
      </c>
      <c r="R286" s="6" t="str">
        <f>TEXT(Q286, "MMM-YY")</f>
        <v>May-25</v>
      </c>
      <c r="X286" s="25">
        <v>98.98</v>
      </c>
      <c r="AB286"/>
      <c r="AC286"/>
      <c r="AD286"/>
      <c r="AE286"/>
      <c r="AF286"/>
      <c r="AG286"/>
      <c r="AH286"/>
      <c r="AI286"/>
      <c r="AJ286"/>
      <c r="AK286"/>
      <c r="AL286"/>
      <c r="AM286"/>
      <c r="AN286" s="9">
        <f t="shared" si="9"/>
        <v>0</v>
      </c>
      <c r="AO286" s="8"/>
      <c r="AP286" s="9">
        <f>I286-W286-X286-AN286</f>
        <v>-1.9900000000000091</v>
      </c>
      <c r="AQ286" t="s">
        <v>1324</v>
      </c>
    </row>
    <row r="287" spans="1:43" x14ac:dyDescent="0.3">
      <c r="A287" s="11">
        <f t="shared" si="10"/>
        <v>285</v>
      </c>
      <c r="B287" s="5" t="s">
        <v>1675</v>
      </c>
      <c r="C287" t="s">
        <v>893</v>
      </c>
      <c r="D287" s="24" t="s">
        <v>48</v>
      </c>
      <c r="E287" s="24" t="str">
        <f>IFERROR(VLOOKUP(D287,Dropdown!A:B,2,0),D287)</f>
        <v>CVPL</v>
      </c>
      <c r="F287" s="6">
        <v>45798</v>
      </c>
      <c r="G287" s="6" t="str">
        <f>TEXT(F287, "MMM-YY")</f>
        <v>May-25</v>
      </c>
      <c r="H287" t="s">
        <v>292</v>
      </c>
      <c r="I287" s="25">
        <v>96.9</v>
      </c>
      <c r="J287" s="4">
        <v>10000</v>
      </c>
      <c r="K287" t="s">
        <v>899</v>
      </c>
      <c r="L287" s="4" t="str">
        <f>VLOOKUP(K287, 'Items Master'!A:E,5,0)</f>
        <v>MRPL</v>
      </c>
      <c r="M287" s="4" t="str">
        <f>VLOOKUP(K287, 'Items Master'!A:D,4,0)</f>
        <v>PP</v>
      </c>
      <c r="N287" s="4" t="s">
        <v>49</v>
      </c>
      <c r="O287" t="s">
        <v>1296</v>
      </c>
      <c r="Q287" s="6">
        <v>45798</v>
      </c>
      <c r="R287" s="6" t="str">
        <f>TEXT(Q287, "MMM-YY")</f>
        <v>May-25</v>
      </c>
      <c r="X287" s="25">
        <v>98.896000000000001</v>
      </c>
      <c r="AB287"/>
      <c r="AC287"/>
      <c r="AD287"/>
      <c r="AE287"/>
      <c r="AF287"/>
      <c r="AG287"/>
      <c r="AH287"/>
      <c r="AI287"/>
      <c r="AJ287"/>
      <c r="AK287"/>
      <c r="AL287"/>
      <c r="AM287"/>
      <c r="AN287" s="9">
        <f t="shared" si="9"/>
        <v>0</v>
      </c>
      <c r="AO287" s="8"/>
      <c r="AP287" s="9">
        <f>I287-W287-X287-AN287</f>
        <v>-1.9959999999999951</v>
      </c>
      <c r="AQ287" t="s">
        <v>1324</v>
      </c>
    </row>
    <row r="288" spans="1:43" x14ac:dyDescent="0.3">
      <c r="A288" s="11">
        <f t="shared" si="10"/>
        <v>286</v>
      </c>
      <c r="B288" s="5" t="s">
        <v>1675</v>
      </c>
      <c r="C288" t="s">
        <v>893</v>
      </c>
      <c r="D288" s="24" t="s">
        <v>824</v>
      </c>
      <c r="E288" s="24" t="str">
        <f>IFERROR(VLOOKUP(D288,Dropdown!A:B,2,0),D288)</f>
        <v>Paragon</v>
      </c>
      <c r="F288" s="6">
        <v>45798</v>
      </c>
      <c r="G288" s="6" t="str">
        <f>TEXT(F288, "MMM-YY")</f>
        <v>May-25</v>
      </c>
      <c r="H288" t="s">
        <v>293</v>
      </c>
      <c r="I288" s="25">
        <v>96.88</v>
      </c>
      <c r="J288" s="4">
        <v>2000</v>
      </c>
      <c r="K288" t="s">
        <v>922</v>
      </c>
      <c r="L288" s="4" t="str">
        <f>VLOOKUP(K288, 'Items Master'!A:E,5,0)</f>
        <v>RIL</v>
      </c>
      <c r="M288" s="4" t="str">
        <f>VLOOKUP(K288, 'Items Master'!A:D,4,0)</f>
        <v>LLDPE</v>
      </c>
      <c r="N288" s="4" t="s">
        <v>49</v>
      </c>
      <c r="Q288" s="6">
        <v>45798</v>
      </c>
      <c r="R288" s="6" t="str">
        <f>TEXT(Q288, "MMM-YY")</f>
        <v>May-25</v>
      </c>
      <c r="X288" s="25">
        <v>96.88</v>
      </c>
      <c r="AB288"/>
      <c r="AC288"/>
      <c r="AD288"/>
      <c r="AE288"/>
      <c r="AF288"/>
      <c r="AG288"/>
      <c r="AH288"/>
      <c r="AI288"/>
      <c r="AJ288"/>
      <c r="AK288"/>
      <c r="AL288"/>
      <c r="AM288"/>
      <c r="AN288" s="9">
        <f t="shared" si="9"/>
        <v>0</v>
      </c>
      <c r="AO288" s="8"/>
      <c r="AP288" s="9">
        <f>I288-W288-X288-AN288</f>
        <v>0</v>
      </c>
      <c r="AQ288" t="s">
        <v>1324</v>
      </c>
    </row>
    <row r="289" spans="1:43" x14ac:dyDescent="0.3">
      <c r="A289" s="11">
        <f t="shared" si="10"/>
        <v>287</v>
      </c>
      <c r="B289" s="5" t="s">
        <v>1675</v>
      </c>
      <c r="C289" t="s">
        <v>893</v>
      </c>
      <c r="D289" s="24" t="s">
        <v>824</v>
      </c>
      <c r="E289" s="24" t="str">
        <f>IFERROR(VLOOKUP(D289,Dropdown!A:B,2,0),D289)</f>
        <v>Paragon</v>
      </c>
      <c r="F289" s="6">
        <v>45798</v>
      </c>
      <c r="G289" s="6" t="str">
        <f>TEXT(F289, "MMM-YY")</f>
        <v>May-25</v>
      </c>
      <c r="H289" t="s">
        <v>294</v>
      </c>
      <c r="I289" s="25">
        <v>103.78</v>
      </c>
      <c r="J289" s="4">
        <v>500</v>
      </c>
      <c r="K289" t="s">
        <v>925</v>
      </c>
      <c r="L289" s="4" t="str">
        <f>VLOOKUP(K289, 'Items Master'!A:E,5,0)</f>
        <v>RIL</v>
      </c>
      <c r="M289" s="4" t="str">
        <f>VLOOKUP(K289, 'Items Master'!A:D,4,0)</f>
        <v>PP ICP</v>
      </c>
      <c r="N289" s="4" t="s">
        <v>49</v>
      </c>
      <c r="Q289" s="6">
        <v>45798</v>
      </c>
      <c r="R289" s="6" t="str">
        <f>TEXT(Q289, "MMM-YY")</f>
        <v>May-25</v>
      </c>
      <c r="X289" s="25">
        <v>103.78</v>
      </c>
      <c r="AB289"/>
      <c r="AC289"/>
      <c r="AD289"/>
      <c r="AE289"/>
      <c r="AF289"/>
      <c r="AG289"/>
      <c r="AH289"/>
      <c r="AI289"/>
      <c r="AJ289"/>
      <c r="AK289"/>
      <c r="AL289"/>
      <c r="AM289"/>
      <c r="AN289" s="9">
        <f t="shared" si="9"/>
        <v>0</v>
      </c>
      <c r="AO289" s="8"/>
      <c r="AP289" s="9">
        <f>I289-W289-X289-AN289</f>
        <v>0</v>
      </c>
      <c r="AQ289" t="s">
        <v>1324</v>
      </c>
    </row>
    <row r="290" spans="1:43" x14ac:dyDescent="0.3">
      <c r="A290" s="11">
        <f t="shared" si="10"/>
        <v>288</v>
      </c>
      <c r="B290" s="5" t="s">
        <v>1675</v>
      </c>
      <c r="C290" t="s">
        <v>893</v>
      </c>
      <c r="D290" s="24" t="s">
        <v>844</v>
      </c>
      <c r="E290" s="24" t="str">
        <f>IFERROR(VLOOKUP(D290,Dropdown!A:B,2,0),D290)</f>
        <v>APEX TECHNO POLYMER PRIVATE LIMITED</v>
      </c>
      <c r="F290" s="6">
        <v>45799</v>
      </c>
      <c r="G290" s="6" t="str">
        <f>TEXT(F290, "MMM-YY")</f>
        <v>May-25</v>
      </c>
      <c r="H290" t="s">
        <v>295</v>
      </c>
      <c r="I290" s="25">
        <v>119</v>
      </c>
      <c r="J290" s="4">
        <v>850</v>
      </c>
      <c r="K290" t="s">
        <v>963</v>
      </c>
      <c r="L290" s="4" t="str">
        <f>VLOOKUP(K290, 'Items Master'!A:E,5,0)</f>
        <v>RAVAGO</v>
      </c>
      <c r="M290" s="4" t="str">
        <f>VLOOKUP(K290, 'Items Master'!A:D,4,0)</f>
        <v>PBT</v>
      </c>
      <c r="N290" s="4" t="s">
        <v>24</v>
      </c>
      <c r="Q290" s="6">
        <v>45799</v>
      </c>
      <c r="R290" s="6" t="str">
        <f>TEXT(Q290, "MMM-YY")</f>
        <v>May-25</v>
      </c>
      <c r="W290" s="25">
        <v>119</v>
      </c>
      <c r="Y290"/>
      <c r="Z290"/>
      <c r="AB290"/>
      <c r="AC290"/>
      <c r="AD290"/>
      <c r="AE290"/>
      <c r="AF290"/>
      <c r="AG290"/>
      <c r="AH290"/>
      <c r="AI290"/>
      <c r="AJ290"/>
      <c r="AK290"/>
      <c r="AL290"/>
      <c r="AM290"/>
      <c r="AN290" s="9">
        <f t="shared" si="9"/>
        <v>0</v>
      </c>
      <c r="AO290" s="8"/>
      <c r="AP290" s="9">
        <f>I290-W290-X290-AN290</f>
        <v>0</v>
      </c>
      <c r="AQ290" t="s">
        <v>1316</v>
      </c>
    </row>
    <row r="291" spans="1:43" x14ac:dyDescent="0.3">
      <c r="A291" s="11">
        <f t="shared" si="10"/>
        <v>289</v>
      </c>
      <c r="B291" s="5" t="s">
        <v>1675</v>
      </c>
      <c r="C291" t="s">
        <v>893</v>
      </c>
      <c r="D291" s="24" t="s">
        <v>48</v>
      </c>
      <c r="E291" s="24" t="str">
        <f>IFERROR(VLOOKUP(D291,Dropdown!A:B,2,0),D291)</f>
        <v>CVPL</v>
      </c>
      <c r="F291" s="6">
        <v>45799</v>
      </c>
      <c r="G291" s="6" t="str">
        <f>TEXT(F291, "MMM-YY")</f>
        <v>May-25</v>
      </c>
      <c r="H291" t="s">
        <v>296</v>
      </c>
      <c r="I291" s="25">
        <v>105</v>
      </c>
      <c r="J291" s="4">
        <v>500</v>
      </c>
      <c r="K291" t="s">
        <v>948</v>
      </c>
      <c r="L291" s="4" t="str">
        <f>VLOOKUP(K291, 'Items Master'!A:E,5,0)</f>
        <v>RIL</v>
      </c>
      <c r="M291" s="4" t="str">
        <f>VLOOKUP(K291, 'Items Master'!A:D,4,0)</f>
        <v>PP RCP</v>
      </c>
      <c r="N291" s="4" t="s">
        <v>24</v>
      </c>
      <c r="Q291" s="6">
        <v>45799</v>
      </c>
      <c r="R291" s="6" t="str">
        <f>TEXT(Q291, "MMM-YY")</f>
        <v>May-25</v>
      </c>
      <c r="W291" s="25">
        <v>105</v>
      </c>
      <c r="Y291"/>
      <c r="Z291"/>
      <c r="AB291"/>
      <c r="AC291"/>
      <c r="AD291"/>
      <c r="AE291"/>
      <c r="AF291"/>
      <c r="AG291"/>
      <c r="AH291"/>
      <c r="AI291"/>
      <c r="AJ291"/>
      <c r="AK291"/>
      <c r="AL291"/>
      <c r="AM291"/>
      <c r="AN291" s="9">
        <f t="shared" si="9"/>
        <v>0</v>
      </c>
      <c r="AO291" s="8"/>
      <c r="AP291" s="9">
        <f>I291-W291-X291-AN291</f>
        <v>0</v>
      </c>
      <c r="AQ291" t="s">
        <v>1316</v>
      </c>
    </row>
    <row r="292" spans="1:43" x14ac:dyDescent="0.3">
      <c r="A292" s="11">
        <f t="shared" si="10"/>
        <v>290</v>
      </c>
      <c r="B292" s="5" t="s">
        <v>1675</v>
      </c>
      <c r="C292" t="s">
        <v>893</v>
      </c>
      <c r="D292" s="24" t="s">
        <v>836</v>
      </c>
      <c r="E292" s="24" t="str">
        <f>IFERROR(VLOOKUP(D292,Dropdown!A:B,2,0),D292)</f>
        <v>Intime</v>
      </c>
      <c r="F292" s="6">
        <v>45799</v>
      </c>
      <c r="G292" s="6" t="str">
        <f>TEXT(F292, "MMM-YY")</f>
        <v>May-25</v>
      </c>
      <c r="H292" t="s">
        <v>297</v>
      </c>
      <c r="I292" s="25">
        <v>95.933000000000007</v>
      </c>
      <c r="J292" s="4">
        <v>13000</v>
      </c>
      <c r="K292" t="s">
        <v>911</v>
      </c>
      <c r="L292" s="4" t="str">
        <f>VLOOKUP(K292, 'Items Master'!A:E,5,0)</f>
        <v>BCPL</v>
      </c>
      <c r="M292" s="4" t="str">
        <f>VLOOKUP(K292, 'Items Master'!A:D,4,0)</f>
        <v>LLDPE</v>
      </c>
      <c r="N292" s="4" t="s">
        <v>49</v>
      </c>
      <c r="Q292" s="6">
        <v>45799</v>
      </c>
      <c r="R292" s="6" t="str">
        <f>TEXT(Q292, "MMM-YY")</f>
        <v>May-25</v>
      </c>
      <c r="X292" s="25">
        <v>95.933000000000007</v>
      </c>
      <c r="AB292"/>
      <c r="AC292"/>
      <c r="AD292"/>
      <c r="AE292"/>
      <c r="AF292"/>
      <c r="AG292"/>
      <c r="AH292"/>
      <c r="AI292"/>
      <c r="AJ292"/>
      <c r="AK292"/>
      <c r="AL292"/>
      <c r="AM292"/>
      <c r="AN292" s="9">
        <f t="shared" si="9"/>
        <v>0</v>
      </c>
      <c r="AO292" s="8"/>
      <c r="AP292" s="9">
        <f>I292-W292-X292-AN292</f>
        <v>0</v>
      </c>
      <c r="AQ292" t="s">
        <v>1324</v>
      </c>
    </row>
    <row r="293" spans="1:43" x14ac:dyDescent="0.3">
      <c r="A293" s="11">
        <f t="shared" si="10"/>
        <v>291</v>
      </c>
      <c r="B293" s="5" t="s">
        <v>1675</v>
      </c>
      <c r="C293" t="s">
        <v>893</v>
      </c>
      <c r="D293" s="24" t="s">
        <v>824</v>
      </c>
      <c r="E293" s="24" t="str">
        <f>IFERROR(VLOOKUP(D293,Dropdown!A:B,2,0),D293)</f>
        <v>Paragon</v>
      </c>
      <c r="F293" s="6">
        <v>45799</v>
      </c>
      <c r="G293" s="6" t="str">
        <f>TEXT(F293, "MMM-YY")</f>
        <v>May-25</v>
      </c>
      <c r="H293" t="s">
        <v>298</v>
      </c>
      <c r="I293" s="25">
        <v>115.66</v>
      </c>
      <c r="J293" s="4">
        <v>250</v>
      </c>
      <c r="K293" t="s">
        <v>917</v>
      </c>
      <c r="L293" s="4" t="str">
        <f>VLOOKUP(K293, 'Items Master'!A:E,5,0)</f>
        <v>RIL</v>
      </c>
      <c r="M293" s="4" t="str">
        <f>VLOOKUP(K293, 'Items Master'!A:D,4,0)</f>
        <v>LDPE</v>
      </c>
      <c r="N293" s="4" t="s">
        <v>24</v>
      </c>
      <c r="Q293" s="6">
        <v>45799</v>
      </c>
      <c r="R293" s="6" t="str">
        <f>TEXT(Q293, "MMM-YY")</f>
        <v>May-25</v>
      </c>
      <c r="W293" s="25">
        <v>115.66</v>
      </c>
      <c r="X293"/>
      <c r="Y293"/>
      <c r="Z293"/>
      <c r="AB293"/>
      <c r="AC293"/>
      <c r="AD293"/>
      <c r="AE293"/>
      <c r="AF293"/>
      <c r="AG293"/>
      <c r="AH293"/>
      <c r="AI293"/>
      <c r="AJ293"/>
      <c r="AK293"/>
      <c r="AL293"/>
      <c r="AM293"/>
      <c r="AN293" s="9">
        <f t="shared" si="9"/>
        <v>0</v>
      </c>
      <c r="AO293" s="8"/>
      <c r="AP293" s="9">
        <f>I293-W293-X293-AN293</f>
        <v>0</v>
      </c>
      <c r="AQ293" t="s">
        <v>1324</v>
      </c>
    </row>
    <row r="294" spans="1:43" x14ac:dyDescent="0.3">
      <c r="A294" s="11">
        <f t="shared" si="10"/>
        <v>292</v>
      </c>
      <c r="B294" s="5" t="s">
        <v>1675</v>
      </c>
      <c r="C294" t="s">
        <v>894</v>
      </c>
      <c r="D294" s="24" t="s">
        <v>837</v>
      </c>
      <c r="E294" s="24" t="str">
        <f>IFERROR(VLOOKUP(D294,Dropdown!A:B,2,0),D294)</f>
        <v>SYNTHETIC PACKERS LIMITED</v>
      </c>
      <c r="F294" s="6">
        <v>45799</v>
      </c>
      <c r="G294" s="6" t="str">
        <f>TEXT(F294, "MMM-YY")</f>
        <v>May-25</v>
      </c>
      <c r="H294" t="s">
        <v>299</v>
      </c>
      <c r="I294" s="25">
        <v>89.5</v>
      </c>
      <c r="J294" s="4">
        <v>12000</v>
      </c>
      <c r="K294" t="s">
        <v>906</v>
      </c>
      <c r="L294" s="4" t="str">
        <f>VLOOKUP(K294, 'Items Master'!A:E,5,0)</f>
        <v>EQUATE</v>
      </c>
      <c r="M294" s="4" t="str">
        <f>VLOOKUP(K294, 'Items Master'!A:D,4,0)</f>
        <v>HDPE</v>
      </c>
      <c r="N294" s="4" t="s">
        <v>24</v>
      </c>
      <c r="Q294" s="6">
        <v>45799</v>
      </c>
      <c r="R294" s="6" t="str">
        <f>TEXT(Q294, "MMM-YY")</f>
        <v>May-25</v>
      </c>
      <c r="W294" s="25">
        <v>89.5</v>
      </c>
      <c r="Y294"/>
      <c r="Z294"/>
      <c r="AB294"/>
      <c r="AC294"/>
      <c r="AD294"/>
      <c r="AE294"/>
      <c r="AF294"/>
      <c r="AG294"/>
      <c r="AH294"/>
      <c r="AI294"/>
      <c r="AJ294"/>
      <c r="AK294"/>
      <c r="AL294"/>
      <c r="AM294"/>
      <c r="AN294" s="9">
        <f t="shared" si="9"/>
        <v>0</v>
      </c>
      <c r="AO294" s="8"/>
      <c r="AP294" s="9">
        <f>I294-W294-X294-AN294</f>
        <v>0</v>
      </c>
      <c r="AQ294" t="s">
        <v>1316</v>
      </c>
    </row>
    <row r="295" spans="1:43" x14ac:dyDescent="0.3">
      <c r="A295" s="11">
        <f t="shared" si="10"/>
        <v>293</v>
      </c>
      <c r="B295" s="5" t="s">
        <v>1675</v>
      </c>
      <c r="C295" t="s">
        <v>893</v>
      </c>
      <c r="D295" s="24" t="s">
        <v>836</v>
      </c>
      <c r="E295" s="24" t="str">
        <f>IFERROR(VLOOKUP(D295,Dropdown!A:B,2,0),D295)</f>
        <v>Intime</v>
      </c>
      <c r="F295" s="6">
        <v>45800</v>
      </c>
      <c r="G295" s="6" t="str">
        <f>TEXT(F295, "MMM-YY")</f>
        <v>May-25</v>
      </c>
      <c r="H295" t="s">
        <v>300</v>
      </c>
      <c r="I295" s="25">
        <v>96.974000000000004</v>
      </c>
      <c r="J295" s="4">
        <v>11000</v>
      </c>
      <c r="K295" t="s">
        <v>903</v>
      </c>
      <c r="L295" s="4" t="str">
        <f>VLOOKUP(K295, 'Items Master'!A:E,5,0)</f>
        <v>GAIL</v>
      </c>
      <c r="M295" s="4" t="str">
        <f>VLOOKUP(K295, 'Items Master'!A:D,4,0)</f>
        <v>LLDPE</v>
      </c>
      <c r="N295" s="4" t="s">
        <v>49</v>
      </c>
      <c r="Q295" s="6">
        <v>45800</v>
      </c>
      <c r="R295" s="6" t="str">
        <f>TEXT(Q295, "MMM-YY")</f>
        <v>May-25</v>
      </c>
      <c r="X295" s="25">
        <v>96.974000000000004</v>
      </c>
      <c r="AB295"/>
      <c r="AC295"/>
      <c r="AD295"/>
      <c r="AE295"/>
      <c r="AF295"/>
      <c r="AG295"/>
      <c r="AH295"/>
      <c r="AI295"/>
      <c r="AJ295"/>
      <c r="AK295"/>
      <c r="AL295"/>
      <c r="AM295"/>
      <c r="AN295" s="9">
        <f t="shared" si="9"/>
        <v>0</v>
      </c>
      <c r="AO295" s="8"/>
      <c r="AP295" s="9">
        <f>I295-W295-X295-AN295</f>
        <v>0</v>
      </c>
      <c r="AQ295" t="s">
        <v>1324</v>
      </c>
    </row>
    <row r="296" spans="1:43" x14ac:dyDescent="0.3">
      <c r="A296" s="11">
        <f t="shared" si="10"/>
        <v>294</v>
      </c>
      <c r="B296" s="5" t="s">
        <v>1675</v>
      </c>
      <c r="C296" t="s">
        <v>893</v>
      </c>
      <c r="D296" s="24" t="s">
        <v>839</v>
      </c>
      <c r="E296" s="24" t="str">
        <f>IFERROR(VLOOKUP(D296,Dropdown!A:B,2,0),D296)</f>
        <v>Prestine</v>
      </c>
      <c r="F296" s="6">
        <v>45800</v>
      </c>
      <c r="G296" s="6" t="str">
        <f>TEXT(F296, "MMM-YY")</f>
        <v>May-25</v>
      </c>
      <c r="H296" t="s">
        <v>301</v>
      </c>
      <c r="I296" s="25">
        <v>109.5</v>
      </c>
      <c r="J296" s="4">
        <v>1000</v>
      </c>
      <c r="K296" t="s">
        <v>948</v>
      </c>
      <c r="L296" s="4" t="str">
        <f>VLOOKUP(K296, 'Items Master'!A:E,5,0)</f>
        <v>RIL</v>
      </c>
      <c r="M296" s="4" t="str">
        <f>VLOOKUP(K296, 'Items Master'!A:D,4,0)</f>
        <v>PP RCP</v>
      </c>
      <c r="N296" s="4" t="s">
        <v>49</v>
      </c>
      <c r="Q296" s="6">
        <v>45800</v>
      </c>
      <c r="R296" s="6" t="str">
        <f>TEXT(Q296, "MMM-YY")</f>
        <v>May-25</v>
      </c>
      <c r="X296" s="25">
        <v>109.06</v>
      </c>
      <c r="Y296" s="25" t="s">
        <v>1303</v>
      </c>
      <c r="Z296" s="25" t="s">
        <v>1644</v>
      </c>
      <c r="AB296"/>
      <c r="AC296"/>
      <c r="AD296"/>
      <c r="AE296"/>
      <c r="AF296"/>
      <c r="AG296"/>
      <c r="AH296"/>
      <c r="AI296"/>
      <c r="AJ296"/>
      <c r="AK296"/>
      <c r="AL296"/>
      <c r="AM296"/>
      <c r="AN296" s="9">
        <f t="shared" si="9"/>
        <v>0</v>
      </c>
      <c r="AO296" s="8"/>
      <c r="AP296" s="9">
        <f>I296-W296-X296-AN296</f>
        <v>0.43999999999999773</v>
      </c>
      <c r="AQ296" t="s">
        <v>1324</v>
      </c>
    </row>
    <row r="297" spans="1:43" x14ac:dyDescent="0.3">
      <c r="A297" s="11">
        <f t="shared" si="10"/>
        <v>295</v>
      </c>
      <c r="B297" s="5" t="s">
        <v>1675</v>
      </c>
      <c r="C297" t="s">
        <v>893</v>
      </c>
      <c r="D297" s="24" t="s">
        <v>824</v>
      </c>
      <c r="E297" s="24" t="str">
        <f>IFERROR(VLOOKUP(D297,Dropdown!A:B,2,0),D297)</f>
        <v>Paragon</v>
      </c>
      <c r="F297" s="6">
        <v>45800</v>
      </c>
      <c r="G297" s="6" t="str">
        <f>TEXT(F297, "MMM-YY")</f>
        <v>May-25</v>
      </c>
      <c r="H297" t="s">
        <v>302</v>
      </c>
      <c r="I297" s="25">
        <v>98.21</v>
      </c>
      <c r="J297" s="4">
        <v>750</v>
      </c>
      <c r="K297" t="s">
        <v>968</v>
      </c>
      <c r="L297" s="4" t="str">
        <f>VLOOKUP(K297, 'Items Master'!A:E,5,0)</f>
        <v>RIL</v>
      </c>
      <c r="M297" s="4" t="str">
        <f>VLOOKUP(K297, 'Items Master'!A:D,4,0)</f>
        <v>PP</v>
      </c>
      <c r="N297" s="4" t="s">
        <v>49</v>
      </c>
      <c r="Q297" s="6">
        <v>45800</v>
      </c>
      <c r="R297" s="6" t="str">
        <f>TEXT(Q297, "MMM-YY")</f>
        <v>May-25</v>
      </c>
      <c r="X297" s="25">
        <v>98.22</v>
      </c>
      <c r="AB297"/>
      <c r="AC297"/>
      <c r="AD297"/>
      <c r="AE297"/>
      <c r="AF297"/>
      <c r="AG297"/>
      <c r="AH297"/>
      <c r="AI297"/>
      <c r="AJ297"/>
      <c r="AK297"/>
      <c r="AL297"/>
      <c r="AM297"/>
      <c r="AN297" s="9">
        <f t="shared" si="9"/>
        <v>0</v>
      </c>
      <c r="AO297" s="8"/>
      <c r="AP297" s="9">
        <f>I297-W297-X297-AN297</f>
        <v>-1.0000000000005116E-2</v>
      </c>
      <c r="AQ297" t="s">
        <v>1324</v>
      </c>
    </row>
    <row r="298" spans="1:43" x14ac:dyDescent="0.3">
      <c r="A298" s="11">
        <f t="shared" si="10"/>
        <v>296</v>
      </c>
      <c r="B298" s="5" t="s">
        <v>1675</v>
      </c>
      <c r="C298" t="s">
        <v>893</v>
      </c>
      <c r="D298" s="24" t="s">
        <v>824</v>
      </c>
      <c r="E298" s="24" t="str">
        <f>IFERROR(VLOOKUP(D298,Dropdown!A:B,2,0),D298)</f>
        <v>Paragon</v>
      </c>
      <c r="F298" s="6">
        <v>45800</v>
      </c>
      <c r="G298" s="6" t="str">
        <f>TEXT(F298, "MMM-YY")</f>
        <v>May-25</v>
      </c>
      <c r="H298" t="s">
        <v>302</v>
      </c>
      <c r="I298" s="25">
        <v>100.68</v>
      </c>
      <c r="J298" s="4">
        <v>750</v>
      </c>
      <c r="K298" t="s">
        <v>912</v>
      </c>
      <c r="L298" s="4" t="str">
        <f>VLOOKUP(K298, 'Items Master'!A:E,5,0)</f>
        <v>RIL</v>
      </c>
      <c r="M298" s="4" t="str">
        <f>VLOOKUP(K298, 'Items Master'!A:D,4,0)</f>
        <v>PP</v>
      </c>
      <c r="N298" s="4" t="s">
        <v>49</v>
      </c>
      <c r="Q298" s="6">
        <v>45800</v>
      </c>
      <c r="R298" s="6" t="str">
        <f>TEXT(Q298, "MMM-YY")</f>
        <v>May-25</v>
      </c>
      <c r="X298" s="25">
        <v>100.68</v>
      </c>
      <c r="AB298"/>
      <c r="AC298"/>
      <c r="AD298"/>
      <c r="AE298"/>
      <c r="AF298"/>
      <c r="AG298"/>
      <c r="AH298"/>
      <c r="AI298"/>
      <c r="AJ298"/>
      <c r="AK298"/>
      <c r="AL298"/>
      <c r="AM298"/>
      <c r="AN298" s="9">
        <f t="shared" si="9"/>
        <v>0</v>
      </c>
      <c r="AO298" s="8"/>
      <c r="AP298" s="9">
        <f>I298-W298-X298-AN298</f>
        <v>0</v>
      </c>
      <c r="AQ298" t="s">
        <v>1324</v>
      </c>
    </row>
    <row r="299" spans="1:43" x14ac:dyDescent="0.3">
      <c r="A299" s="11">
        <f t="shared" si="10"/>
        <v>297</v>
      </c>
      <c r="B299" s="5" t="s">
        <v>1675</v>
      </c>
      <c r="C299" t="s">
        <v>893</v>
      </c>
      <c r="D299" s="24" t="s">
        <v>838</v>
      </c>
      <c r="E299" s="24" t="str">
        <f>IFERROR(VLOOKUP(D299,Dropdown!A:B,2,0),D299)</f>
        <v>Treenity</v>
      </c>
      <c r="F299" s="6">
        <v>45800</v>
      </c>
      <c r="G299" s="6" t="str">
        <f>TEXT(F299, "MMM-YY")</f>
        <v>May-25</v>
      </c>
      <c r="H299" t="s">
        <v>303</v>
      </c>
      <c r="I299" s="25">
        <v>98.8</v>
      </c>
      <c r="J299" s="4">
        <v>5000</v>
      </c>
      <c r="K299" t="s">
        <v>899</v>
      </c>
      <c r="L299" s="4" t="str">
        <f>VLOOKUP(K299, 'Items Master'!A:E,5,0)</f>
        <v>MRPL</v>
      </c>
      <c r="M299" s="4" t="str">
        <f>VLOOKUP(K299, 'Items Master'!A:D,4,0)</f>
        <v>PP</v>
      </c>
      <c r="N299" s="4" t="s">
        <v>49</v>
      </c>
      <c r="Q299" s="6">
        <v>45800</v>
      </c>
      <c r="R299" s="6" t="str">
        <f>TEXT(Q299, "MMM-YY")</f>
        <v>May-25</v>
      </c>
      <c r="U299" t="s">
        <v>1320</v>
      </c>
      <c r="W299"/>
      <c r="X299" s="8">
        <v>96.9</v>
      </c>
      <c r="Y299" t="s">
        <v>1304</v>
      </c>
      <c r="Z299" t="s">
        <v>1305</v>
      </c>
      <c r="AB299"/>
      <c r="AC299"/>
      <c r="AD299"/>
      <c r="AE299"/>
      <c r="AF299"/>
      <c r="AG299"/>
      <c r="AH299"/>
      <c r="AI299" s="8">
        <v>1.9</v>
      </c>
      <c r="AN299" s="9">
        <f t="shared" si="9"/>
        <v>1.9</v>
      </c>
      <c r="AO299" s="8"/>
      <c r="AP299" s="9">
        <f>I299-W299-X299-AN299</f>
        <v>-8.4376949871511897E-15</v>
      </c>
      <c r="AQ299" t="s">
        <v>1316</v>
      </c>
    </row>
    <row r="300" spans="1:43" x14ac:dyDescent="0.3">
      <c r="A300" s="11">
        <f t="shared" si="10"/>
        <v>298</v>
      </c>
      <c r="B300" s="5" t="s">
        <v>1675</v>
      </c>
      <c r="C300" t="s">
        <v>893</v>
      </c>
      <c r="D300" s="24" t="s">
        <v>838</v>
      </c>
      <c r="E300" s="24" t="str">
        <f>IFERROR(VLOOKUP(D300,Dropdown!A:B,2,0),D300)</f>
        <v>Treenity</v>
      </c>
      <c r="F300" s="6">
        <v>45800</v>
      </c>
      <c r="G300" s="6" t="str">
        <f>TEXT(F300, "MMM-YY")</f>
        <v>May-25</v>
      </c>
      <c r="H300" t="s">
        <v>86</v>
      </c>
      <c r="I300" s="25">
        <v>98.8</v>
      </c>
      <c r="J300" s="4">
        <v>2500</v>
      </c>
      <c r="K300" t="s">
        <v>899</v>
      </c>
      <c r="L300" s="4" t="str">
        <f>VLOOKUP(K300, 'Items Master'!A:E,5,0)</f>
        <v>MRPL</v>
      </c>
      <c r="M300" s="4" t="str">
        <f>VLOOKUP(K300, 'Items Master'!A:D,4,0)</f>
        <v>PP</v>
      </c>
      <c r="N300" s="4" t="s">
        <v>49</v>
      </c>
      <c r="Q300" s="6">
        <v>45800</v>
      </c>
      <c r="R300" s="6" t="str">
        <f>TEXT(Q300, "MMM-YY")</f>
        <v>May-25</v>
      </c>
      <c r="U300" t="s">
        <v>1320</v>
      </c>
      <c r="W300"/>
      <c r="X300" s="8">
        <v>96.9</v>
      </c>
      <c r="Y300" t="s">
        <v>1304</v>
      </c>
      <c r="Z300" t="s">
        <v>1305</v>
      </c>
      <c r="AB300"/>
      <c r="AC300"/>
      <c r="AD300"/>
      <c r="AE300"/>
      <c r="AF300"/>
      <c r="AG300"/>
      <c r="AH300"/>
      <c r="AI300" s="8">
        <v>1.9</v>
      </c>
      <c r="AN300" s="9">
        <f t="shared" si="9"/>
        <v>1.9</v>
      </c>
      <c r="AO300" s="8"/>
      <c r="AP300" s="9">
        <f>I300-W300-X300-AN300</f>
        <v>-8.4376949871511897E-15</v>
      </c>
      <c r="AQ300" t="s">
        <v>1316</v>
      </c>
    </row>
    <row r="301" spans="1:43" x14ac:dyDescent="0.3">
      <c r="A301" s="11">
        <f t="shared" si="10"/>
        <v>299</v>
      </c>
      <c r="B301" s="5" t="s">
        <v>1675</v>
      </c>
      <c r="C301" t="s">
        <v>893</v>
      </c>
      <c r="D301" s="24" t="s">
        <v>844</v>
      </c>
      <c r="E301" s="24" t="str">
        <f>IFERROR(VLOOKUP(D301,Dropdown!A:B,2,0),D301)</f>
        <v>APEX TECHNO POLYMER PRIVATE LIMITED</v>
      </c>
      <c r="F301" s="6">
        <v>45800</v>
      </c>
      <c r="G301" s="6" t="str">
        <f>TEXT(F301, "MMM-YY")</f>
        <v>May-25</v>
      </c>
      <c r="H301" t="s">
        <v>304</v>
      </c>
      <c r="I301" s="25">
        <v>172</v>
      </c>
      <c r="J301" s="4">
        <v>250</v>
      </c>
      <c r="K301" t="s">
        <v>969</v>
      </c>
      <c r="L301" s="4" t="str">
        <f>VLOOKUP(K301, 'Items Master'!A:E,5,0)</f>
        <v>RAVAGO</v>
      </c>
      <c r="M301" s="4" t="str">
        <f>VLOOKUP(K301, 'Items Master'!A:D,4,0)</f>
        <v>PBT</v>
      </c>
      <c r="N301" s="4" t="s">
        <v>24</v>
      </c>
      <c r="Q301" s="6">
        <v>45800</v>
      </c>
      <c r="R301" s="6" t="str">
        <f>TEXT(Q301, "MMM-YY")</f>
        <v>May-25</v>
      </c>
      <c r="W301" s="25">
        <v>172</v>
      </c>
      <c r="Y301"/>
      <c r="Z301"/>
      <c r="AB301"/>
      <c r="AC301"/>
      <c r="AD301"/>
      <c r="AE301"/>
      <c r="AF301"/>
      <c r="AG301"/>
      <c r="AH301"/>
      <c r="AI301"/>
      <c r="AJ301"/>
      <c r="AK301"/>
      <c r="AL301"/>
      <c r="AM301"/>
      <c r="AN301" s="9">
        <f t="shared" si="9"/>
        <v>0</v>
      </c>
      <c r="AO301" s="8"/>
      <c r="AP301" s="9">
        <f>I301-W301-X301-AN301</f>
        <v>0</v>
      </c>
      <c r="AQ301" t="s">
        <v>1316</v>
      </c>
    </row>
    <row r="302" spans="1:43" x14ac:dyDescent="0.3">
      <c r="A302" s="11">
        <f t="shared" si="10"/>
        <v>300</v>
      </c>
      <c r="B302" s="5" t="s">
        <v>1675</v>
      </c>
      <c r="C302" t="s">
        <v>894</v>
      </c>
      <c r="D302" s="24" t="s">
        <v>837</v>
      </c>
      <c r="E302" s="24" t="str">
        <f>IFERROR(VLOOKUP(D302,Dropdown!A:B,2,0),D302)</f>
        <v>SYNTHETIC PACKERS LIMITED</v>
      </c>
      <c r="F302" s="6">
        <v>45800</v>
      </c>
      <c r="G302" s="6" t="str">
        <f>TEXT(F302, "MMM-YY")</f>
        <v>May-25</v>
      </c>
      <c r="H302" t="s">
        <v>305</v>
      </c>
      <c r="I302" s="25">
        <v>89.5</v>
      </c>
      <c r="J302" s="4">
        <v>12750</v>
      </c>
      <c r="K302" t="s">
        <v>906</v>
      </c>
      <c r="L302" s="4" t="str">
        <f>VLOOKUP(K302, 'Items Master'!A:E,5,0)</f>
        <v>EQUATE</v>
      </c>
      <c r="M302" s="4" t="str">
        <f>VLOOKUP(K302, 'Items Master'!A:D,4,0)</f>
        <v>HDPE</v>
      </c>
      <c r="N302" s="4" t="s">
        <v>24</v>
      </c>
      <c r="Q302" s="6">
        <v>45800</v>
      </c>
      <c r="R302" s="6" t="str">
        <f>TEXT(Q302, "MMM-YY")</f>
        <v>May-25</v>
      </c>
      <c r="W302" s="25">
        <v>89.5</v>
      </c>
      <c r="Y302"/>
      <c r="Z302"/>
      <c r="AB302"/>
      <c r="AC302"/>
      <c r="AD302"/>
      <c r="AE302"/>
      <c r="AF302"/>
      <c r="AG302"/>
      <c r="AH302"/>
      <c r="AI302"/>
      <c r="AJ302"/>
      <c r="AK302"/>
      <c r="AL302"/>
      <c r="AM302"/>
      <c r="AN302" s="9">
        <f t="shared" si="9"/>
        <v>0</v>
      </c>
      <c r="AO302" s="8"/>
      <c r="AP302" s="9">
        <f>I302-W302-X302-AN302</f>
        <v>0</v>
      </c>
      <c r="AQ302" t="s">
        <v>1316</v>
      </c>
    </row>
    <row r="303" spans="1:43" x14ac:dyDescent="0.3">
      <c r="A303" s="11">
        <f t="shared" si="10"/>
        <v>301</v>
      </c>
      <c r="B303" s="5" t="s">
        <v>1675</v>
      </c>
      <c r="C303" t="s">
        <v>893</v>
      </c>
      <c r="D303" s="24" t="s">
        <v>824</v>
      </c>
      <c r="E303" s="24" t="str">
        <f>IFERROR(VLOOKUP(D303,Dropdown!A:B,2,0),D303)</f>
        <v>Paragon</v>
      </c>
      <c r="F303" s="6">
        <v>45801</v>
      </c>
      <c r="G303" s="6" t="str">
        <f>TEXT(F303, "MMM-YY")</f>
        <v>May-25</v>
      </c>
      <c r="H303" t="s">
        <v>306</v>
      </c>
      <c r="I303" s="25">
        <v>99.49</v>
      </c>
      <c r="J303" s="4">
        <v>1500</v>
      </c>
      <c r="K303" t="s">
        <v>910</v>
      </c>
      <c r="L303" s="4" t="str">
        <f>VLOOKUP(K303, 'Items Master'!A:E,5,0)</f>
        <v>RIL</v>
      </c>
      <c r="M303" s="4" t="str">
        <f>VLOOKUP(K303, 'Items Master'!A:D,4,0)</f>
        <v>PP</v>
      </c>
      <c r="N303" s="4" t="s">
        <v>49</v>
      </c>
      <c r="Q303" s="6">
        <v>45801</v>
      </c>
      <c r="R303" s="6" t="str">
        <f>TEXT(Q303, "MMM-YY")</f>
        <v>May-25</v>
      </c>
      <c r="X303" s="25">
        <v>99.49</v>
      </c>
      <c r="AB303"/>
      <c r="AC303"/>
      <c r="AD303"/>
      <c r="AE303"/>
      <c r="AF303"/>
      <c r="AG303"/>
      <c r="AH303"/>
      <c r="AI303"/>
      <c r="AJ303"/>
      <c r="AK303"/>
      <c r="AL303"/>
      <c r="AM303"/>
      <c r="AN303" s="9">
        <f t="shared" si="9"/>
        <v>0</v>
      </c>
      <c r="AO303" s="8"/>
      <c r="AP303" s="9">
        <f>I303-W303-X303-AN303</f>
        <v>0</v>
      </c>
      <c r="AQ303" t="s">
        <v>1324</v>
      </c>
    </row>
    <row r="304" spans="1:43" x14ac:dyDescent="0.3">
      <c r="A304" s="11">
        <f t="shared" si="10"/>
        <v>302</v>
      </c>
      <c r="B304" s="5" t="s">
        <v>1675</v>
      </c>
      <c r="C304" t="s">
        <v>893</v>
      </c>
      <c r="D304" s="24" t="s">
        <v>824</v>
      </c>
      <c r="E304" s="24" t="str">
        <f>IFERROR(VLOOKUP(D304,Dropdown!A:B,2,0),D304)</f>
        <v>Paragon</v>
      </c>
      <c r="F304" s="6">
        <v>45801</v>
      </c>
      <c r="G304" s="6" t="str">
        <f>TEXT(F304, "MMM-YY")</f>
        <v>May-25</v>
      </c>
      <c r="H304" t="s">
        <v>306</v>
      </c>
      <c r="I304" s="25">
        <v>103.78</v>
      </c>
      <c r="J304" s="4">
        <v>1500</v>
      </c>
      <c r="K304" t="s">
        <v>925</v>
      </c>
      <c r="L304" s="4" t="str">
        <f>VLOOKUP(K304, 'Items Master'!A:E,5,0)</f>
        <v>RIL</v>
      </c>
      <c r="M304" s="4" t="str">
        <f>VLOOKUP(K304, 'Items Master'!A:D,4,0)</f>
        <v>PP ICP</v>
      </c>
      <c r="N304" s="4" t="s">
        <v>49</v>
      </c>
      <c r="Q304" s="6">
        <v>45801</v>
      </c>
      <c r="R304" s="6" t="str">
        <f>TEXT(Q304, "MMM-YY")</f>
        <v>May-25</v>
      </c>
      <c r="X304" s="25">
        <v>103.78</v>
      </c>
      <c r="AB304"/>
      <c r="AC304"/>
      <c r="AD304"/>
      <c r="AE304"/>
      <c r="AF304"/>
      <c r="AG304"/>
      <c r="AH304"/>
      <c r="AI304"/>
      <c r="AJ304"/>
      <c r="AK304"/>
      <c r="AL304"/>
      <c r="AM304"/>
      <c r="AN304" s="9">
        <f t="shared" si="9"/>
        <v>0</v>
      </c>
      <c r="AO304" s="8"/>
      <c r="AP304" s="9">
        <f>I304-W304-X304-AN304</f>
        <v>0</v>
      </c>
      <c r="AQ304" t="s">
        <v>1324</v>
      </c>
    </row>
    <row r="305" spans="1:43" x14ac:dyDescent="0.3">
      <c r="A305" s="11">
        <f t="shared" si="10"/>
        <v>303</v>
      </c>
      <c r="B305" s="5" t="s">
        <v>1675</v>
      </c>
      <c r="C305" t="s">
        <v>893</v>
      </c>
      <c r="D305" s="24" t="s">
        <v>48</v>
      </c>
      <c r="E305" s="24" t="str">
        <f>IFERROR(VLOOKUP(D305,Dropdown!A:B,2,0),D305)</f>
        <v>CVPL</v>
      </c>
      <c r="F305" s="6">
        <v>45801</v>
      </c>
      <c r="G305" s="6" t="str">
        <f>TEXT(F305, "MMM-YY")</f>
        <v>May-25</v>
      </c>
      <c r="H305" t="s">
        <v>307</v>
      </c>
      <c r="I305" s="25">
        <v>96.99</v>
      </c>
      <c r="J305" s="4">
        <v>1000</v>
      </c>
      <c r="K305" t="s">
        <v>903</v>
      </c>
      <c r="L305" s="4" t="str">
        <f>VLOOKUP(K305, 'Items Master'!A:E,5,0)</f>
        <v>GAIL</v>
      </c>
      <c r="M305" s="4" t="str">
        <f>VLOOKUP(K305, 'Items Master'!A:D,4,0)</f>
        <v>LLDPE</v>
      </c>
      <c r="N305" s="4" t="s">
        <v>49</v>
      </c>
      <c r="O305" t="s">
        <v>1293</v>
      </c>
      <c r="Q305" s="6">
        <v>45801</v>
      </c>
      <c r="R305" s="6" t="str">
        <f>TEXT(Q305, "MMM-YY")</f>
        <v>May-25</v>
      </c>
      <c r="X305" s="25">
        <v>98.98</v>
      </c>
      <c r="AB305"/>
      <c r="AC305"/>
      <c r="AD305"/>
      <c r="AE305"/>
      <c r="AF305"/>
      <c r="AG305"/>
      <c r="AH305"/>
      <c r="AI305"/>
      <c r="AJ305"/>
      <c r="AK305"/>
      <c r="AL305"/>
      <c r="AM305"/>
      <c r="AN305" s="9">
        <f t="shared" si="9"/>
        <v>0</v>
      </c>
      <c r="AO305" s="8"/>
      <c r="AP305" s="9">
        <f>I305-W305-X305-AN305</f>
        <v>-1.9900000000000091</v>
      </c>
      <c r="AQ305" t="s">
        <v>1324</v>
      </c>
    </row>
    <row r="306" spans="1:43" x14ac:dyDescent="0.3">
      <c r="A306" s="11">
        <f t="shared" si="10"/>
        <v>304</v>
      </c>
      <c r="B306" s="5" t="s">
        <v>1675</v>
      </c>
      <c r="C306" t="s">
        <v>893</v>
      </c>
      <c r="D306" s="24" t="s">
        <v>48</v>
      </c>
      <c r="E306" s="24" t="str">
        <f>IFERROR(VLOOKUP(D306,Dropdown!A:B,2,0),D306)</f>
        <v>CVPL</v>
      </c>
      <c r="F306" s="6">
        <v>45801</v>
      </c>
      <c r="G306" s="6" t="str">
        <f>TEXT(F306, "MMM-YY")</f>
        <v>May-25</v>
      </c>
      <c r="H306" t="s">
        <v>307</v>
      </c>
      <c r="I306" s="25">
        <v>116</v>
      </c>
      <c r="J306" s="4">
        <v>100</v>
      </c>
      <c r="K306" t="s">
        <v>895</v>
      </c>
      <c r="L306" s="4" t="str">
        <f>VLOOKUP(K306, 'Items Master'!A:E,5,0)</f>
        <v>RIL</v>
      </c>
      <c r="M306" s="4" t="str">
        <f>VLOOKUP(K306, 'Items Master'!A:D,4,0)</f>
        <v>LDPE</v>
      </c>
      <c r="N306" s="4" t="s">
        <v>24</v>
      </c>
      <c r="Q306" s="6">
        <v>45801</v>
      </c>
      <c r="R306" s="6" t="str">
        <f>TEXT(Q306, "MMM-YY")</f>
        <v>May-25</v>
      </c>
      <c r="W306" s="25">
        <v>116</v>
      </c>
      <c r="Y306"/>
      <c r="Z306"/>
      <c r="AB306"/>
      <c r="AC306"/>
      <c r="AD306"/>
      <c r="AE306"/>
      <c r="AF306"/>
      <c r="AG306"/>
      <c r="AH306"/>
      <c r="AI306"/>
      <c r="AJ306"/>
      <c r="AK306"/>
      <c r="AL306"/>
      <c r="AM306"/>
      <c r="AN306" s="9">
        <f t="shared" si="9"/>
        <v>0</v>
      </c>
      <c r="AO306" s="8"/>
      <c r="AP306" s="9">
        <f>I306-W306-X306-AN306</f>
        <v>0</v>
      </c>
      <c r="AQ306" t="s">
        <v>1316</v>
      </c>
    </row>
    <row r="307" spans="1:43" x14ac:dyDescent="0.3">
      <c r="A307" s="11">
        <f t="shared" si="10"/>
        <v>305</v>
      </c>
      <c r="B307" s="5" t="s">
        <v>1675</v>
      </c>
      <c r="C307" t="s">
        <v>894</v>
      </c>
      <c r="D307" s="24" t="s">
        <v>837</v>
      </c>
      <c r="E307" s="24" t="str">
        <f>IFERROR(VLOOKUP(D307,Dropdown!A:B,2,0),D307)</f>
        <v>SYNTHETIC PACKERS LIMITED</v>
      </c>
      <c r="F307" s="6">
        <v>45801</v>
      </c>
      <c r="G307" s="6" t="str">
        <f>TEXT(F307, "MMM-YY")</f>
        <v>May-25</v>
      </c>
      <c r="H307" t="s">
        <v>308</v>
      </c>
      <c r="I307" s="25">
        <v>89.5</v>
      </c>
      <c r="J307" s="4">
        <v>24750</v>
      </c>
      <c r="K307" t="s">
        <v>909</v>
      </c>
      <c r="L307" s="4" t="str">
        <f>VLOOKUP(K307, 'Items Master'!A:E,5,0)</f>
        <v>LUBAN</v>
      </c>
      <c r="M307" s="4" t="str">
        <f>VLOOKUP(K307, 'Items Master'!A:D,4,0)</f>
        <v>HDPE</v>
      </c>
      <c r="N307" s="4" t="s">
        <v>24</v>
      </c>
      <c r="Q307" s="6">
        <v>45801</v>
      </c>
      <c r="R307" s="6" t="str">
        <f>TEXT(Q307, "MMM-YY")</f>
        <v>May-25</v>
      </c>
      <c r="W307" s="25">
        <v>89.5</v>
      </c>
      <c r="Y307"/>
      <c r="Z307"/>
      <c r="AB307"/>
      <c r="AC307"/>
      <c r="AD307"/>
      <c r="AE307"/>
      <c r="AF307"/>
      <c r="AG307"/>
      <c r="AH307"/>
      <c r="AI307"/>
      <c r="AJ307"/>
      <c r="AK307"/>
      <c r="AL307"/>
      <c r="AM307"/>
      <c r="AN307" s="9">
        <f t="shared" si="9"/>
        <v>0</v>
      </c>
      <c r="AO307" s="8"/>
      <c r="AP307" s="9">
        <f>I307-W307-X307-AN307</f>
        <v>0</v>
      </c>
      <c r="AQ307" t="s">
        <v>1316</v>
      </c>
    </row>
    <row r="308" spans="1:43" x14ac:dyDescent="0.3">
      <c r="A308" s="11">
        <f t="shared" si="10"/>
        <v>306</v>
      </c>
      <c r="B308" s="5" t="s">
        <v>1675</v>
      </c>
      <c r="C308" t="s">
        <v>893</v>
      </c>
      <c r="D308" s="24" t="s">
        <v>838</v>
      </c>
      <c r="E308" s="24" t="str">
        <f>IFERROR(VLOOKUP(D308,Dropdown!A:B,2,0),D308)</f>
        <v>Treenity</v>
      </c>
      <c r="F308" s="6">
        <v>45803</v>
      </c>
      <c r="G308" s="6" t="str">
        <f>TEXT(F308, "MMM-YY")</f>
        <v>May-25</v>
      </c>
      <c r="H308" t="s">
        <v>309</v>
      </c>
      <c r="I308" s="25">
        <v>98.65</v>
      </c>
      <c r="J308" s="4">
        <v>12000</v>
      </c>
      <c r="K308" t="s">
        <v>937</v>
      </c>
      <c r="L308" s="4" t="str">
        <f>VLOOKUP(K308, 'Items Master'!A:E,5,0)</f>
        <v>MRPL</v>
      </c>
      <c r="M308" s="4" t="str">
        <f>VLOOKUP(K308, 'Items Master'!A:D,4,0)</f>
        <v>PP</v>
      </c>
      <c r="N308" s="4" t="s">
        <v>49</v>
      </c>
      <c r="Q308" s="6">
        <v>45803</v>
      </c>
      <c r="R308" s="6" t="str">
        <f>TEXT(Q308, "MMM-YY")</f>
        <v>May-25</v>
      </c>
      <c r="U308" t="s">
        <v>1320</v>
      </c>
      <c r="W308"/>
      <c r="X308" s="8">
        <v>96.75</v>
      </c>
      <c r="Y308" t="s">
        <v>1304</v>
      </c>
      <c r="Z308" t="s">
        <v>1305</v>
      </c>
      <c r="AB308"/>
      <c r="AC308"/>
      <c r="AD308"/>
      <c r="AE308"/>
      <c r="AF308"/>
      <c r="AG308"/>
      <c r="AH308"/>
      <c r="AI308" s="8">
        <v>1.9</v>
      </c>
      <c r="AN308" s="9">
        <f t="shared" si="9"/>
        <v>1.9</v>
      </c>
      <c r="AO308" s="8"/>
      <c r="AP308" s="9">
        <f>I308-W308-X308-AN308</f>
        <v>5.773159728050814E-15</v>
      </c>
      <c r="AQ308" t="s">
        <v>1316</v>
      </c>
    </row>
    <row r="309" spans="1:43" x14ac:dyDescent="0.3">
      <c r="A309" s="11">
        <f t="shared" si="10"/>
        <v>307</v>
      </c>
      <c r="B309" s="5" t="s">
        <v>1675</v>
      </c>
      <c r="C309" t="s">
        <v>893</v>
      </c>
      <c r="D309" s="24" t="s">
        <v>838</v>
      </c>
      <c r="E309" s="24" t="str">
        <f>IFERROR(VLOOKUP(D309,Dropdown!A:B,2,0),D309)</f>
        <v>Treenity</v>
      </c>
      <c r="F309" s="6">
        <v>45803</v>
      </c>
      <c r="G309" s="6" t="str">
        <f>TEXT(F309, "MMM-YY")</f>
        <v>May-25</v>
      </c>
      <c r="H309" t="s">
        <v>310</v>
      </c>
      <c r="I309" s="25">
        <v>98.8</v>
      </c>
      <c r="J309" s="4">
        <v>3000</v>
      </c>
      <c r="K309" t="s">
        <v>899</v>
      </c>
      <c r="L309" s="4" t="str">
        <f>VLOOKUP(K309, 'Items Master'!A:E,5,0)</f>
        <v>MRPL</v>
      </c>
      <c r="M309" s="4" t="str">
        <f>VLOOKUP(K309, 'Items Master'!A:D,4,0)</f>
        <v>PP</v>
      </c>
      <c r="N309" s="4" t="s">
        <v>49</v>
      </c>
      <c r="Q309" s="6">
        <v>45803</v>
      </c>
      <c r="R309" s="6" t="str">
        <f>TEXT(Q309, "MMM-YY")</f>
        <v>May-25</v>
      </c>
      <c r="U309" t="s">
        <v>1320</v>
      </c>
      <c r="W309"/>
      <c r="X309" s="8">
        <v>96.9</v>
      </c>
      <c r="Y309" t="s">
        <v>1304</v>
      </c>
      <c r="Z309" t="s">
        <v>1305</v>
      </c>
      <c r="AB309"/>
      <c r="AC309"/>
      <c r="AD309"/>
      <c r="AE309"/>
      <c r="AF309"/>
      <c r="AG309"/>
      <c r="AH309"/>
      <c r="AI309" s="8">
        <v>1.9</v>
      </c>
      <c r="AN309" s="9">
        <f t="shared" si="9"/>
        <v>1.9</v>
      </c>
      <c r="AO309" s="8"/>
      <c r="AP309" s="9">
        <f>I309-W309-X309-AN309</f>
        <v>-8.4376949871511897E-15</v>
      </c>
      <c r="AQ309" t="s">
        <v>1316</v>
      </c>
    </row>
    <row r="310" spans="1:43" x14ac:dyDescent="0.3">
      <c r="A310" s="11">
        <f t="shared" si="10"/>
        <v>308</v>
      </c>
      <c r="B310" s="5" t="s">
        <v>1675</v>
      </c>
      <c r="C310" t="s">
        <v>893</v>
      </c>
      <c r="D310" s="24" t="s">
        <v>838</v>
      </c>
      <c r="E310" s="24" t="str">
        <f>IFERROR(VLOOKUP(D310,Dropdown!A:B,2,0),D310)</f>
        <v>Treenity</v>
      </c>
      <c r="F310" s="6">
        <v>45803</v>
      </c>
      <c r="G310" s="6" t="str">
        <f>TEXT(F310, "MMM-YY")</f>
        <v>May-25</v>
      </c>
      <c r="H310" t="s">
        <v>311</v>
      </c>
      <c r="I310" s="25">
        <v>98.65</v>
      </c>
      <c r="J310" s="4">
        <v>2000</v>
      </c>
      <c r="K310" t="s">
        <v>937</v>
      </c>
      <c r="L310" s="4" t="str">
        <f>VLOOKUP(K310, 'Items Master'!A:E,5,0)</f>
        <v>MRPL</v>
      </c>
      <c r="M310" s="4" t="str">
        <f>VLOOKUP(K310, 'Items Master'!A:D,4,0)</f>
        <v>PP</v>
      </c>
      <c r="N310" s="4" t="s">
        <v>49</v>
      </c>
      <c r="Q310" s="6">
        <v>45803</v>
      </c>
      <c r="R310" s="6" t="str">
        <f>TEXT(Q310, "MMM-YY")</f>
        <v>May-25</v>
      </c>
      <c r="U310" t="s">
        <v>1320</v>
      </c>
      <c r="W310"/>
      <c r="X310" s="8">
        <v>96.75</v>
      </c>
      <c r="Y310" t="s">
        <v>1304</v>
      </c>
      <c r="Z310" t="s">
        <v>1305</v>
      </c>
      <c r="AB310"/>
      <c r="AC310"/>
      <c r="AD310"/>
      <c r="AE310"/>
      <c r="AF310"/>
      <c r="AG310"/>
      <c r="AH310"/>
      <c r="AI310" s="8">
        <v>1.9</v>
      </c>
      <c r="AN310" s="9">
        <f t="shared" si="9"/>
        <v>1.9</v>
      </c>
      <c r="AO310" s="8"/>
      <c r="AP310" s="9">
        <f>I310-W310-X310-AN310</f>
        <v>5.773159728050814E-15</v>
      </c>
      <c r="AQ310" t="s">
        <v>1316</v>
      </c>
    </row>
    <row r="311" spans="1:43" x14ac:dyDescent="0.3">
      <c r="A311" s="11">
        <f t="shared" si="10"/>
        <v>309</v>
      </c>
      <c r="B311" s="5" t="s">
        <v>1675</v>
      </c>
      <c r="C311" t="s">
        <v>893</v>
      </c>
      <c r="D311" s="24" t="s">
        <v>824</v>
      </c>
      <c r="E311" s="24" t="str">
        <f>IFERROR(VLOOKUP(D311,Dropdown!A:B,2,0),D311)</f>
        <v>Paragon</v>
      </c>
      <c r="F311" s="6">
        <v>45803</v>
      </c>
      <c r="G311" s="6" t="str">
        <f>TEXT(F311, "MMM-YY")</f>
        <v>May-25</v>
      </c>
      <c r="H311" t="s">
        <v>312</v>
      </c>
      <c r="I311" s="25">
        <v>100.68</v>
      </c>
      <c r="J311" s="4">
        <v>1500</v>
      </c>
      <c r="K311" t="s">
        <v>912</v>
      </c>
      <c r="L311" s="4" t="str">
        <f>VLOOKUP(K311, 'Items Master'!A:E,5,0)</f>
        <v>RIL</v>
      </c>
      <c r="M311" s="4" t="str">
        <f>VLOOKUP(K311, 'Items Master'!A:D,4,0)</f>
        <v>PP</v>
      </c>
      <c r="N311" s="4" t="s">
        <v>49</v>
      </c>
      <c r="Q311" s="6">
        <v>45803</v>
      </c>
      <c r="R311" s="6" t="str">
        <f>TEXT(Q311, "MMM-YY")</f>
        <v>May-25</v>
      </c>
      <c r="X311" s="25">
        <v>100.88</v>
      </c>
      <c r="AB311"/>
      <c r="AC311"/>
      <c r="AD311"/>
      <c r="AE311"/>
      <c r="AF311"/>
      <c r="AG311"/>
      <c r="AH311"/>
      <c r="AI311"/>
      <c r="AJ311"/>
      <c r="AK311"/>
      <c r="AL311"/>
      <c r="AM311"/>
      <c r="AN311" s="9">
        <f t="shared" si="9"/>
        <v>0</v>
      </c>
      <c r="AO311" s="8"/>
      <c r="AP311" s="9">
        <f>I311-W311-X311-AN311</f>
        <v>-0.19999999999998863</v>
      </c>
      <c r="AQ311" t="s">
        <v>1324</v>
      </c>
    </row>
    <row r="312" spans="1:43" x14ac:dyDescent="0.3">
      <c r="A312" s="11">
        <f t="shared" si="10"/>
        <v>310</v>
      </c>
      <c r="B312" s="5" t="s">
        <v>1675</v>
      </c>
      <c r="C312" t="s">
        <v>893</v>
      </c>
      <c r="D312" s="24" t="s">
        <v>838</v>
      </c>
      <c r="E312" s="24" t="str">
        <f>IFERROR(VLOOKUP(D312,Dropdown!A:B,2,0),D312)</f>
        <v>Treenity</v>
      </c>
      <c r="F312" s="6">
        <v>45803</v>
      </c>
      <c r="G312" s="6" t="str">
        <f>TEXT(F312, "MMM-YY")</f>
        <v>May-25</v>
      </c>
      <c r="H312" t="s">
        <v>313</v>
      </c>
      <c r="I312" s="25">
        <v>98.65</v>
      </c>
      <c r="J312" s="4">
        <v>500</v>
      </c>
      <c r="K312" t="s">
        <v>937</v>
      </c>
      <c r="L312" s="4" t="str">
        <f>VLOOKUP(K312, 'Items Master'!A:E,5,0)</f>
        <v>MRPL</v>
      </c>
      <c r="M312" s="4" t="str">
        <f>VLOOKUP(K312, 'Items Master'!A:D,4,0)</f>
        <v>PP</v>
      </c>
      <c r="N312" s="4" t="s">
        <v>49</v>
      </c>
      <c r="Q312" s="6">
        <v>45803</v>
      </c>
      <c r="R312" s="6" t="str">
        <f>TEXT(Q312, "MMM-YY")</f>
        <v>May-25</v>
      </c>
      <c r="U312" t="s">
        <v>1320</v>
      </c>
      <c r="W312"/>
      <c r="X312" s="8">
        <v>96.75</v>
      </c>
      <c r="Y312" t="s">
        <v>1304</v>
      </c>
      <c r="Z312" t="s">
        <v>1305</v>
      </c>
      <c r="AB312"/>
      <c r="AC312"/>
      <c r="AD312"/>
      <c r="AE312"/>
      <c r="AF312"/>
      <c r="AG312"/>
      <c r="AH312"/>
      <c r="AI312" s="8">
        <v>1.9</v>
      </c>
      <c r="AN312" s="9">
        <f t="shared" si="9"/>
        <v>1.9</v>
      </c>
      <c r="AO312" s="8"/>
      <c r="AP312" s="9">
        <f>I312-W312-X312-AN312</f>
        <v>5.773159728050814E-15</v>
      </c>
      <c r="AQ312" t="s">
        <v>1316</v>
      </c>
    </row>
    <row r="313" spans="1:43" x14ac:dyDescent="0.3">
      <c r="A313" s="11">
        <f t="shared" si="10"/>
        <v>311</v>
      </c>
      <c r="B313" s="5" t="s">
        <v>1675</v>
      </c>
      <c r="C313" t="s">
        <v>893</v>
      </c>
      <c r="D313" s="24" t="s">
        <v>857</v>
      </c>
      <c r="E313" s="24" t="str">
        <f>IFERROR(VLOOKUP(D313,Dropdown!A:B,2,0),D313)</f>
        <v>Purav</v>
      </c>
      <c r="F313" s="6">
        <v>45803</v>
      </c>
      <c r="G313" s="6" t="str">
        <f>TEXT(F313, "MMM-YY")</f>
        <v>May-25</v>
      </c>
      <c r="H313" t="s">
        <v>314</v>
      </c>
      <c r="I313" s="25">
        <v>94.35</v>
      </c>
      <c r="J313" s="4">
        <v>10000</v>
      </c>
      <c r="K313" t="s">
        <v>896</v>
      </c>
      <c r="L313" s="4" t="str">
        <f>VLOOKUP(K313, 'Items Master'!A:E,5,0)</f>
        <v>OPAL</v>
      </c>
      <c r="M313" s="4" t="str">
        <f>VLOOKUP(K313, 'Items Master'!A:D,4,0)</f>
        <v>HDPE</v>
      </c>
      <c r="N313" s="4" t="s">
        <v>49</v>
      </c>
      <c r="O313" t="s">
        <v>1296</v>
      </c>
      <c r="Q313" s="6">
        <v>45803</v>
      </c>
      <c r="R313" s="6" t="str">
        <f>TEXT(Q313, "MMM-YY")</f>
        <v>May-25</v>
      </c>
      <c r="U313" t="s">
        <v>1605</v>
      </c>
      <c r="X313" s="25">
        <v>94.25</v>
      </c>
      <c r="AH313" s="8">
        <v>0.1</v>
      </c>
      <c r="AN313" s="9">
        <f t="shared" si="9"/>
        <v>0.1</v>
      </c>
      <c r="AO313" s="8"/>
      <c r="AP313" s="9">
        <f>I313-W313-X313-AN313</f>
        <v>-5.6898930012039273E-15</v>
      </c>
      <c r="AQ313" t="s">
        <v>1316</v>
      </c>
    </row>
    <row r="314" spans="1:43" x14ac:dyDescent="0.3">
      <c r="A314" s="11">
        <f t="shared" si="10"/>
        <v>312</v>
      </c>
      <c r="B314" s="5" t="s">
        <v>1675</v>
      </c>
      <c r="C314" t="s">
        <v>894</v>
      </c>
      <c r="D314" s="24" t="s">
        <v>857</v>
      </c>
      <c r="E314" s="24" t="str">
        <f>IFERROR(VLOOKUP(D314,Dropdown!A:B,2,0),D314)</f>
        <v>Purav</v>
      </c>
      <c r="F314" s="6">
        <v>45803</v>
      </c>
      <c r="G314" s="6" t="str">
        <f>TEXT(F314, "MMM-YY")</f>
        <v>May-25</v>
      </c>
      <c r="H314" t="s">
        <v>315</v>
      </c>
      <c r="I314" s="25">
        <v>94.35</v>
      </c>
      <c r="J314" s="4">
        <v>15000</v>
      </c>
      <c r="K314" t="s">
        <v>896</v>
      </c>
      <c r="L314" s="4" t="str">
        <f>VLOOKUP(K314, 'Items Master'!A:E,5,0)</f>
        <v>OPAL</v>
      </c>
      <c r="M314" s="4" t="str">
        <f>VLOOKUP(K314, 'Items Master'!A:D,4,0)</f>
        <v>HDPE</v>
      </c>
      <c r="N314" s="4" t="s">
        <v>49</v>
      </c>
      <c r="O314" t="s">
        <v>1296</v>
      </c>
      <c r="Q314" s="6">
        <v>45803</v>
      </c>
      <c r="R314" s="6" t="str">
        <f>TEXT(Q314, "MMM-YY")</f>
        <v>May-25</v>
      </c>
      <c r="U314" t="s">
        <v>1605</v>
      </c>
      <c r="X314" s="25">
        <v>94.25</v>
      </c>
      <c r="AH314" s="8">
        <v>0.1</v>
      </c>
      <c r="AN314" s="9">
        <f t="shared" si="9"/>
        <v>0.1</v>
      </c>
      <c r="AO314" s="8"/>
      <c r="AP314" s="9">
        <f>I314-W314-X314-AN314</f>
        <v>-5.6898930012039273E-15</v>
      </c>
      <c r="AQ314" t="s">
        <v>1316</v>
      </c>
    </row>
    <row r="315" spans="1:43" x14ac:dyDescent="0.3">
      <c r="A315" s="11">
        <f t="shared" si="10"/>
        <v>313</v>
      </c>
      <c r="B315" s="5" t="s">
        <v>1675</v>
      </c>
      <c r="C315" t="s">
        <v>894</v>
      </c>
      <c r="D315" s="24" t="s">
        <v>849</v>
      </c>
      <c r="E315" s="24" t="str">
        <f>IFERROR(VLOOKUP(D315,Dropdown!A:B,2,0),D315)</f>
        <v>SERVO PACKAGING LIMITED</v>
      </c>
      <c r="F315" s="6">
        <v>45803</v>
      </c>
      <c r="G315" s="6" t="str">
        <f>TEXT(F315, "MMM-YY")</f>
        <v>May-25</v>
      </c>
      <c r="H315" t="s">
        <v>316</v>
      </c>
      <c r="I315" s="25">
        <v>101</v>
      </c>
      <c r="J315" s="4">
        <v>16000</v>
      </c>
      <c r="K315" t="s">
        <v>970</v>
      </c>
      <c r="L315" s="4" t="str">
        <f>VLOOKUP(K315, 'Items Master'!A:E,5,0)</f>
        <v>EXXON</v>
      </c>
      <c r="M315" s="4" t="str">
        <f>VLOOKUP(K315, 'Items Master'!A:D,4,0)</f>
        <v>LLDPE</v>
      </c>
      <c r="N315" s="4" t="s">
        <v>24</v>
      </c>
      <c r="Q315" s="6">
        <v>45803</v>
      </c>
      <c r="R315" s="6" t="str">
        <f>TEXT(Q315, "MMM-YY")</f>
        <v>May-25</v>
      </c>
      <c r="W315" s="25">
        <v>101</v>
      </c>
      <c r="Y315"/>
      <c r="Z315"/>
      <c r="AB315"/>
      <c r="AC315"/>
      <c r="AD315"/>
      <c r="AE315"/>
      <c r="AF315"/>
      <c r="AG315"/>
      <c r="AH315"/>
      <c r="AI315"/>
      <c r="AJ315"/>
      <c r="AK315"/>
      <c r="AL315"/>
      <c r="AM315"/>
      <c r="AN315" s="9">
        <f t="shared" si="9"/>
        <v>0</v>
      </c>
      <c r="AO315" s="8"/>
      <c r="AP315" s="9">
        <f>I315-W315-X315-AN315</f>
        <v>0</v>
      </c>
      <c r="AQ315" t="s">
        <v>1316</v>
      </c>
    </row>
    <row r="316" spans="1:43" x14ac:dyDescent="0.3">
      <c r="A316" s="11">
        <f t="shared" si="10"/>
        <v>314</v>
      </c>
      <c r="B316" s="5" t="s">
        <v>1675</v>
      </c>
      <c r="C316" t="s">
        <v>893</v>
      </c>
      <c r="D316" s="24" t="s">
        <v>48</v>
      </c>
      <c r="E316" s="24" t="str">
        <f>IFERROR(VLOOKUP(D316,Dropdown!A:B,2,0),D316)</f>
        <v>CVPL</v>
      </c>
      <c r="F316" s="6">
        <v>45804</v>
      </c>
      <c r="G316" s="6" t="str">
        <f>TEXT(F316, "MMM-YY")</f>
        <v>May-25</v>
      </c>
      <c r="H316" t="s">
        <v>317</v>
      </c>
      <c r="I316" s="25">
        <v>97.49</v>
      </c>
      <c r="J316" s="4">
        <v>1000</v>
      </c>
      <c r="K316" t="s">
        <v>903</v>
      </c>
      <c r="L316" s="4" t="str">
        <f>VLOOKUP(K316, 'Items Master'!A:E,5,0)</f>
        <v>GAIL</v>
      </c>
      <c r="M316" s="4" t="str">
        <f>VLOOKUP(K316, 'Items Master'!A:D,4,0)</f>
        <v>LLDPE</v>
      </c>
      <c r="N316" s="4" t="s">
        <v>49</v>
      </c>
      <c r="O316" t="s">
        <v>1296</v>
      </c>
      <c r="Q316" s="6">
        <v>45804</v>
      </c>
      <c r="R316" s="6" t="str">
        <f>TEXT(Q316, "MMM-YY")</f>
        <v>May-25</v>
      </c>
      <c r="X316" s="25">
        <v>98.98</v>
      </c>
      <c r="AB316"/>
      <c r="AC316"/>
      <c r="AD316"/>
      <c r="AE316"/>
      <c r="AF316"/>
      <c r="AG316"/>
      <c r="AH316"/>
      <c r="AI316"/>
      <c r="AJ316"/>
      <c r="AK316"/>
      <c r="AL316"/>
      <c r="AM316"/>
      <c r="AN316" s="9">
        <f t="shared" si="9"/>
        <v>0</v>
      </c>
      <c r="AO316" s="8"/>
      <c r="AP316" s="9">
        <f>I316-W316-X316-AN316</f>
        <v>-1.4900000000000091</v>
      </c>
      <c r="AQ316" t="s">
        <v>1324</v>
      </c>
    </row>
    <row r="317" spans="1:43" x14ac:dyDescent="0.3">
      <c r="A317" s="11">
        <f t="shared" si="10"/>
        <v>315</v>
      </c>
      <c r="B317" s="5" t="s">
        <v>1675</v>
      </c>
      <c r="C317" t="s">
        <v>893</v>
      </c>
      <c r="D317" s="24" t="s">
        <v>48</v>
      </c>
      <c r="E317" s="24" t="str">
        <f>IFERROR(VLOOKUP(D317,Dropdown!A:B,2,0),D317)</f>
        <v>CVPL</v>
      </c>
      <c r="F317" s="6">
        <v>45804</v>
      </c>
      <c r="G317" s="6" t="str">
        <f>TEXT(F317, "MMM-YY")</f>
        <v>May-25</v>
      </c>
      <c r="H317" t="s">
        <v>317</v>
      </c>
      <c r="I317" s="25">
        <v>116</v>
      </c>
      <c r="J317" s="4">
        <v>100</v>
      </c>
      <c r="K317" t="s">
        <v>895</v>
      </c>
      <c r="L317" s="4" t="str">
        <f>VLOOKUP(K317, 'Items Master'!A:E,5,0)</f>
        <v>RIL</v>
      </c>
      <c r="M317" s="4" t="str">
        <f>VLOOKUP(K317, 'Items Master'!A:D,4,0)</f>
        <v>LDPE</v>
      </c>
      <c r="N317" s="4" t="s">
        <v>24</v>
      </c>
      <c r="Q317" s="6">
        <v>45804</v>
      </c>
      <c r="R317" s="6" t="str">
        <f>TEXT(Q317, "MMM-YY")</f>
        <v>May-25</v>
      </c>
      <c r="W317" s="25">
        <v>116</v>
      </c>
      <c r="Y317"/>
      <c r="Z317"/>
      <c r="AB317"/>
      <c r="AC317"/>
      <c r="AD317"/>
      <c r="AE317"/>
      <c r="AF317"/>
      <c r="AG317"/>
      <c r="AH317"/>
      <c r="AI317"/>
      <c r="AJ317"/>
      <c r="AK317"/>
      <c r="AL317"/>
      <c r="AM317"/>
      <c r="AN317" s="9">
        <f t="shared" si="9"/>
        <v>0</v>
      </c>
      <c r="AO317" s="8"/>
      <c r="AP317" s="9">
        <f>I317-W317-X317-AN317</f>
        <v>0</v>
      </c>
      <c r="AQ317" t="s">
        <v>1316</v>
      </c>
    </row>
    <row r="318" spans="1:43" x14ac:dyDescent="0.3">
      <c r="A318" s="11">
        <f t="shared" si="10"/>
        <v>316</v>
      </c>
      <c r="B318" s="5" t="s">
        <v>1675</v>
      </c>
      <c r="C318" t="s">
        <v>893</v>
      </c>
      <c r="D318" s="24" t="s">
        <v>844</v>
      </c>
      <c r="E318" s="24" t="str">
        <f>IFERROR(VLOOKUP(D318,Dropdown!A:B,2,0),D318)</f>
        <v>APEX TECHNO POLYMER PRIVATE LIMITED</v>
      </c>
      <c r="F318" s="6">
        <v>45804</v>
      </c>
      <c r="G318" s="6" t="str">
        <f>TEXT(F318, "MMM-YY")</f>
        <v>May-25</v>
      </c>
      <c r="H318" t="s">
        <v>318</v>
      </c>
      <c r="I318" s="25">
        <v>119</v>
      </c>
      <c r="J318" s="4">
        <v>900</v>
      </c>
      <c r="K318" t="s">
        <v>963</v>
      </c>
      <c r="L318" s="4" t="str">
        <f>VLOOKUP(K318, 'Items Master'!A:E,5,0)</f>
        <v>RAVAGO</v>
      </c>
      <c r="M318" s="4" t="str">
        <f>VLOOKUP(K318, 'Items Master'!A:D,4,0)</f>
        <v>PBT</v>
      </c>
      <c r="N318" s="4" t="s">
        <v>24</v>
      </c>
      <c r="Q318" s="6">
        <v>45804</v>
      </c>
      <c r="R318" s="6" t="str">
        <f>TEXT(Q318, "MMM-YY")</f>
        <v>May-25</v>
      </c>
      <c r="W318" s="25">
        <v>119</v>
      </c>
      <c r="Y318"/>
      <c r="Z318"/>
      <c r="AB318"/>
      <c r="AC318"/>
      <c r="AD318"/>
      <c r="AE318"/>
      <c r="AF318"/>
      <c r="AG318"/>
      <c r="AH318"/>
      <c r="AI318"/>
      <c r="AJ318"/>
      <c r="AK318"/>
      <c r="AL318"/>
      <c r="AM318"/>
      <c r="AN318" s="9">
        <f t="shared" si="9"/>
        <v>0</v>
      </c>
      <c r="AO318" s="8"/>
      <c r="AP318" s="9">
        <f>I318-W318-X318-AN318</f>
        <v>0</v>
      </c>
      <c r="AQ318" t="s">
        <v>1316</v>
      </c>
    </row>
    <row r="319" spans="1:43" x14ac:dyDescent="0.3">
      <c r="A319" s="11">
        <f t="shared" si="10"/>
        <v>317</v>
      </c>
      <c r="B319" s="5" t="s">
        <v>1675</v>
      </c>
      <c r="C319" t="s">
        <v>893</v>
      </c>
      <c r="D319" s="24" t="s">
        <v>857</v>
      </c>
      <c r="E319" s="24" t="str">
        <f>IFERROR(VLOOKUP(D319,Dropdown!A:B,2,0),D319)</f>
        <v>Purav</v>
      </c>
      <c r="F319" s="6">
        <v>45804</v>
      </c>
      <c r="G319" s="6" t="str">
        <f>TEXT(F319, "MMM-YY")</f>
        <v>May-25</v>
      </c>
      <c r="H319" t="s">
        <v>319</v>
      </c>
      <c r="I319" s="25">
        <v>96.4</v>
      </c>
      <c r="J319" s="4">
        <v>10000</v>
      </c>
      <c r="K319" t="s">
        <v>898</v>
      </c>
      <c r="L319" s="4" t="str">
        <f>VLOOKUP(K319, 'Items Master'!A:E,5,0)</f>
        <v>OPAL</v>
      </c>
      <c r="M319" s="4" t="str">
        <f>VLOOKUP(K319, 'Items Master'!A:D,4,0)</f>
        <v>LLDPE</v>
      </c>
      <c r="N319" s="4" t="s">
        <v>49</v>
      </c>
      <c r="O319" t="s">
        <v>1296</v>
      </c>
      <c r="Q319" s="6">
        <v>45804</v>
      </c>
      <c r="R319" s="6" t="str">
        <f>TEXT(Q319, "MMM-YY")</f>
        <v>May-25</v>
      </c>
      <c r="U319" t="s">
        <v>1605</v>
      </c>
      <c r="X319" s="25">
        <v>96.3</v>
      </c>
      <c r="AH319" s="8">
        <v>0.1</v>
      </c>
      <c r="AN319" s="9">
        <f t="shared" si="9"/>
        <v>0.1</v>
      </c>
      <c r="AO319" s="8"/>
      <c r="AP319" s="9">
        <f>I319-W319-X319-AN319</f>
        <v>8.5209617139980764E-15</v>
      </c>
      <c r="AQ319" t="s">
        <v>1316</v>
      </c>
    </row>
    <row r="320" spans="1:43" x14ac:dyDescent="0.3">
      <c r="A320" s="11">
        <f t="shared" si="10"/>
        <v>318</v>
      </c>
      <c r="B320" s="5" t="s">
        <v>1675</v>
      </c>
      <c r="C320" t="s">
        <v>893</v>
      </c>
      <c r="D320" s="24" t="s">
        <v>836</v>
      </c>
      <c r="E320" s="24" t="str">
        <f>IFERROR(VLOOKUP(D320,Dropdown!A:B,2,0),D320)</f>
        <v>Intime</v>
      </c>
      <c r="F320" s="6">
        <v>45804</v>
      </c>
      <c r="G320" s="6" t="str">
        <f>TEXT(F320, "MMM-YY")</f>
        <v>May-25</v>
      </c>
      <c r="H320" t="s">
        <v>320</v>
      </c>
      <c r="I320" s="25">
        <v>95.933000000000007</v>
      </c>
      <c r="J320" s="4">
        <v>11000</v>
      </c>
      <c r="K320" t="s">
        <v>911</v>
      </c>
      <c r="L320" s="4" t="str">
        <f>VLOOKUP(K320, 'Items Master'!A:E,5,0)</f>
        <v>BCPL</v>
      </c>
      <c r="M320" s="4" t="str">
        <f>VLOOKUP(K320, 'Items Master'!A:D,4,0)</f>
        <v>LLDPE</v>
      </c>
      <c r="N320" s="4" t="s">
        <v>49</v>
      </c>
      <c r="Q320" s="6">
        <v>45804</v>
      </c>
      <c r="R320" s="6" t="str">
        <f>TEXT(Q320, "MMM-YY")</f>
        <v>May-25</v>
      </c>
      <c r="X320" s="25">
        <v>95.933000000000007</v>
      </c>
      <c r="AB320"/>
      <c r="AC320"/>
      <c r="AD320"/>
      <c r="AE320"/>
      <c r="AF320"/>
      <c r="AG320"/>
      <c r="AH320"/>
      <c r="AI320"/>
      <c r="AJ320"/>
      <c r="AK320"/>
      <c r="AL320"/>
      <c r="AM320"/>
      <c r="AN320" s="9">
        <f t="shared" si="9"/>
        <v>0</v>
      </c>
      <c r="AO320" s="8"/>
      <c r="AP320" s="9">
        <f>I320-W320-X320-AN320</f>
        <v>0</v>
      </c>
      <c r="AQ320" t="s">
        <v>1324</v>
      </c>
    </row>
    <row r="321" spans="1:43" x14ac:dyDescent="0.3">
      <c r="A321" s="11">
        <f t="shared" si="10"/>
        <v>319</v>
      </c>
      <c r="B321" s="5" t="s">
        <v>1675</v>
      </c>
      <c r="C321" t="s">
        <v>893</v>
      </c>
      <c r="D321" s="24" t="s">
        <v>826</v>
      </c>
      <c r="E321" s="24" t="str">
        <f>IFERROR(VLOOKUP(D321,Dropdown!A:B,2,0),D321)</f>
        <v>Kamakya</v>
      </c>
      <c r="F321" s="6">
        <v>45804</v>
      </c>
      <c r="G321" s="6" t="str">
        <f>TEXT(F321, "MMM-YY")</f>
        <v>May-25</v>
      </c>
      <c r="H321" t="s">
        <v>321</v>
      </c>
      <c r="I321" s="25">
        <v>98.6</v>
      </c>
      <c r="J321" s="4">
        <v>25000</v>
      </c>
      <c r="K321" t="s">
        <v>899</v>
      </c>
      <c r="L321" s="4" t="str">
        <f>VLOOKUP(K321, 'Items Master'!A:E,5,0)</f>
        <v>MRPL</v>
      </c>
      <c r="M321" s="4" t="str">
        <f>VLOOKUP(K321, 'Items Master'!A:D,4,0)</f>
        <v>PP</v>
      </c>
      <c r="N321" s="4" t="s">
        <v>49</v>
      </c>
      <c r="Q321" s="6">
        <v>45804</v>
      </c>
      <c r="R321" s="6" t="str">
        <f>TEXT(Q321, "MMM-YY")</f>
        <v>May-25</v>
      </c>
      <c r="U321" t="s">
        <v>1320</v>
      </c>
      <c r="W321"/>
      <c r="X321" s="8">
        <v>96.9</v>
      </c>
      <c r="Y321" t="s">
        <v>1304</v>
      </c>
      <c r="Z321" t="s">
        <v>1305</v>
      </c>
      <c r="AB321"/>
      <c r="AC321"/>
      <c r="AD321"/>
      <c r="AE321"/>
      <c r="AF321"/>
      <c r="AG321"/>
      <c r="AH321"/>
      <c r="AI321" s="8">
        <v>1.7</v>
      </c>
      <c r="AN321" s="9">
        <f t="shared" si="9"/>
        <v>1.7</v>
      </c>
      <c r="AO321" s="8"/>
      <c r="AP321" s="9">
        <f>I321-W321-X321-AN321</f>
        <v>-1.1324274851176597E-14</v>
      </c>
      <c r="AQ321" t="s">
        <v>1316</v>
      </c>
    </row>
    <row r="322" spans="1:43" x14ac:dyDescent="0.3">
      <c r="A322" s="11">
        <f t="shared" si="10"/>
        <v>320</v>
      </c>
      <c r="B322" s="5" t="s">
        <v>1675</v>
      </c>
      <c r="C322" t="s">
        <v>893</v>
      </c>
      <c r="D322" s="24" t="s">
        <v>48</v>
      </c>
      <c r="E322" s="24" t="str">
        <f>IFERROR(VLOOKUP(D322,Dropdown!A:B,2,0),D322)</f>
        <v>CVPL</v>
      </c>
      <c r="F322" s="6">
        <v>45804</v>
      </c>
      <c r="G322" s="6" t="str">
        <f>TEXT(F322, "MMM-YY")</f>
        <v>May-25</v>
      </c>
      <c r="H322" t="s">
        <v>322</v>
      </c>
      <c r="I322" s="25">
        <v>96.9</v>
      </c>
      <c r="J322" s="4">
        <v>10000</v>
      </c>
      <c r="K322" t="s">
        <v>899</v>
      </c>
      <c r="L322" s="4" t="str">
        <f>VLOOKUP(K322, 'Items Master'!A:E,5,0)</f>
        <v>MRPL</v>
      </c>
      <c r="M322" s="4" t="str">
        <f>VLOOKUP(K322, 'Items Master'!A:D,4,0)</f>
        <v>PP</v>
      </c>
      <c r="N322" s="4" t="s">
        <v>49</v>
      </c>
      <c r="O322" t="s">
        <v>1296</v>
      </c>
      <c r="Q322" s="6">
        <v>45804</v>
      </c>
      <c r="R322" s="6" t="str">
        <f>TEXT(Q322, "MMM-YY")</f>
        <v>May-25</v>
      </c>
      <c r="X322" s="25">
        <v>98.896000000000001</v>
      </c>
      <c r="AB322"/>
      <c r="AC322"/>
      <c r="AD322"/>
      <c r="AE322"/>
      <c r="AF322"/>
      <c r="AG322"/>
      <c r="AH322"/>
      <c r="AI322"/>
      <c r="AJ322"/>
      <c r="AK322"/>
      <c r="AL322"/>
      <c r="AM322"/>
      <c r="AN322" s="9">
        <f t="shared" si="9"/>
        <v>0</v>
      </c>
      <c r="AO322" s="8"/>
      <c r="AP322" s="9">
        <f>I322-W322-X322-AN322</f>
        <v>-1.9959999999999951</v>
      </c>
      <c r="AQ322" t="s">
        <v>1324</v>
      </c>
    </row>
    <row r="323" spans="1:43" x14ac:dyDescent="0.3">
      <c r="A323" s="11">
        <f t="shared" si="10"/>
        <v>321</v>
      </c>
      <c r="B323" s="5" t="s">
        <v>1675</v>
      </c>
      <c r="C323" t="s">
        <v>893</v>
      </c>
      <c r="D323" s="24" t="s">
        <v>48</v>
      </c>
      <c r="E323" s="24" t="str">
        <f>IFERROR(VLOOKUP(D323,Dropdown!A:B,2,0),D323)</f>
        <v>CVPL</v>
      </c>
      <c r="F323" s="6">
        <v>45805</v>
      </c>
      <c r="G323" s="6" t="str">
        <f>TEXT(F323, "MMM-YY")</f>
        <v>May-25</v>
      </c>
      <c r="H323" t="s">
        <v>323</v>
      </c>
      <c r="I323" s="25">
        <v>97.49</v>
      </c>
      <c r="J323" s="4">
        <v>1000</v>
      </c>
      <c r="K323" t="s">
        <v>911</v>
      </c>
      <c r="L323" s="4" t="str">
        <f>VLOOKUP(K323, 'Items Master'!A:E,5,0)</f>
        <v>BCPL</v>
      </c>
      <c r="M323" s="4" t="str">
        <f>VLOOKUP(K323, 'Items Master'!A:D,4,0)</f>
        <v>LLDPE</v>
      </c>
      <c r="N323" s="4" t="s">
        <v>49</v>
      </c>
      <c r="O323" t="s">
        <v>1296</v>
      </c>
      <c r="Q323" s="6">
        <v>45805</v>
      </c>
      <c r="R323" s="6" t="str">
        <f>TEXT(Q323, "MMM-YY")</f>
        <v>May-25</v>
      </c>
      <c r="X323" s="25">
        <v>98.98</v>
      </c>
      <c r="AB323"/>
      <c r="AC323"/>
      <c r="AD323"/>
      <c r="AE323"/>
      <c r="AF323"/>
      <c r="AG323"/>
      <c r="AH323"/>
      <c r="AI323"/>
      <c r="AJ323"/>
      <c r="AK323"/>
      <c r="AL323"/>
      <c r="AM323"/>
      <c r="AN323" s="9">
        <f t="shared" si="9"/>
        <v>0</v>
      </c>
      <c r="AO323" s="8"/>
      <c r="AP323" s="9">
        <f>I323-W323-X323-AN323</f>
        <v>-1.4900000000000091</v>
      </c>
      <c r="AQ323" t="s">
        <v>1324</v>
      </c>
    </row>
    <row r="324" spans="1:43" x14ac:dyDescent="0.3">
      <c r="A324" s="11">
        <f t="shared" si="10"/>
        <v>322</v>
      </c>
      <c r="B324" s="5" t="s">
        <v>1675</v>
      </c>
      <c r="C324" t="s">
        <v>893</v>
      </c>
      <c r="D324" s="24" t="s">
        <v>48</v>
      </c>
      <c r="E324" s="24" t="str">
        <f>IFERROR(VLOOKUP(D324,Dropdown!A:B,2,0),D324)</f>
        <v>CVPL</v>
      </c>
      <c r="F324" s="6">
        <v>45805</v>
      </c>
      <c r="G324" s="6" t="str">
        <f>TEXT(F324, "MMM-YY")</f>
        <v>May-25</v>
      </c>
      <c r="H324" t="s">
        <v>323</v>
      </c>
      <c r="I324" s="25">
        <v>116</v>
      </c>
      <c r="J324" s="4">
        <v>250</v>
      </c>
      <c r="K324" t="s">
        <v>895</v>
      </c>
      <c r="L324" s="4" t="str">
        <f>VLOOKUP(K324, 'Items Master'!A:E,5,0)</f>
        <v>RIL</v>
      </c>
      <c r="M324" s="4" t="str">
        <f>VLOOKUP(K324, 'Items Master'!A:D,4,0)</f>
        <v>LDPE</v>
      </c>
      <c r="N324" s="4" t="s">
        <v>24</v>
      </c>
      <c r="Q324" s="6">
        <v>45805</v>
      </c>
      <c r="R324" s="6" t="str">
        <f>TEXT(Q324, "MMM-YY")</f>
        <v>May-25</v>
      </c>
      <c r="W324" s="25">
        <v>116</v>
      </c>
      <c r="Y324"/>
      <c r="Z324"/>
      <c r="AB324"/>
      <c r="AC324"/>
      <c r="AD324"/>
      <c r="AE324"/>
      <c r="AF324"/>
      <c r="AG324"/>
      <c r="AH324"/>
      <c r="AI324"/>
      <c r="AJ324"/>
      <c r="AK324"/>
      <c r="AL324"/>
      <c r="AM324"/>
      <c r="AN324" s="9">
        <f t="shared" si="9"/>
        <v>0</v>
      </c>
      <c r="AO324" s="8"/>
      <c r="AP324" s="9">
        <f>I324-W324-X324-AN324</f>
        <v>0</v>
      </c>
      <c r="AQ324" t="s">
        <v>1316</v>
      </c>
    </row>
    <row r="325" spans="1:43" x14ac:dyDescent="0.3">
      <c r="A325" s="11">
        <f t="shared" si="10"/>
        <v>323</v>
      </c>
      <c r="B325" s="5" t="s">
        <v>1675</v>
      </c>
      <c r="C325" t="s">
        <v>893</v>
      </c>
      <c r="D325" s="24" t="s">
        <v>857</v>
      </c>
      <c r="E325" s="24" t="str">
        <f>IFERROR(VLOOKUP(D325,Dropdown!A:B,2,0),D325)</f>
        <v>Purav</v>
      </c>
      <c r="F325" s="6">
        <v>45805</v>
      </c>
      <c r="G325" s="6" t="str">
        <f>TEXT(F325, "MMM-YY")</f>
        <v>May-25</v>
      </c>
      <c r="H325" t="s">
        <v>324</v>
      </c>
      <c r="I325" s="25">
        <v>96.4</v>
      </c>
      <c r="J325" s="4">
        <v>10000</v>
      </c>
      <c r="K325" t="s">
        <v>17</v>
      </c>
      <c r="L325" s="4" t="str">
        <f>VLOOKUP(K325, 'Items Master'!A:E,5,0)</f>
        <v>OPAL</v>
      </c>
      <c r="M325" s="4" t="str">
        <f>VLOOKUP(K325, 'Items Master'!A:D,4,0)</f>
        <v>LLDPE</v>
      </c>
      <c r="N325" s="4" t="s">
        <v>49</v>
      </c>
      <c r="O325" t="s">
        <v>1296</v>
      </c>
      <c r="Q325" s="6">
        <v>45805</v>
      </c>
      <c r="R325" s="6" t="str">
        <f>TEXT(Q325, "MMM-YY")</f>
        <v>May-25</v>
      </c>
      <c r="U325" t="s">
        <v>1605</v>
      </c>
      <c r="X325" s="25">
        <v>96.3</v>
      </c>
      <c r="AH325" s="8">
        <v>0.1</v>
      </c>
      <c r="AN325" s="9">
        <f t="shared" ref="AN325:AN388" si="11">SUM(AB325:AM325)</f>
        <v>0.1</v>
      </c>
      <c r="AO325" s="8"/>
      <c r="AP325" s="9">
        <f>I325-W325-X325-AN325</f>
        <v>8.5209617139980764E-15</v>
      </c>
      <c r="AQ325" t="s">
        <v>1316</v>
      </c>
    </row>
    <row r="326" spans="1:43" x14ac:dyDescent="0.3">
      <c r="A326" s="11">
        <f t="shared" si="10"/>
        <v>324</v>
      </c>
      <c r="B326" s="5" t="s">
        <v>1675</v>
      </c>
      <c r="C326" t="s">
        <v>893</v>
      </c>
      <c r="D326" s="24" t="s">
        <v>825</v>
      </c>
      <c r="E326" s="24" t="str">
        <f>IFERROR(VLOOKUP(D326,Dropdown!A:B,2,0),D326)</f>
        <v>HARISHREE POLYMERS PRIVATE LIMITED</v>
      </c>
      <c r="F326" s="6">
        <v>45805</v>
      </c>
      <c r="G326" s="6" t="str">
        <f>TEXT(F326, "MMM-YY")</f>
        <v>May-25</v>
      </c>
      <c r="H326" t="s">
        <v>325</v>
      </c>
      <c r="I326" s="25">
        <v>92</v>
      </c>
      <c r="J326" s="4">
        <v>10000</v>
      </c>
      <c r="K326" t="s">
        <v>896</v>
      </c>
      <c r="L326" s="4" t="str">
        <f>VLOOKUP(K326, 'Items Master'!A:E,5,0)</f>
        <v>OPAL</v>
      </c>
      <c r="M326" s="4" t="str">
        <f>VLOOKUP(K326, 'Items Master'!A:D,4,0)</f>
        <v>HDPE</v>
      </c>
      <c r="N326" s="4" t="s">
        <v>1325</v>
      </c>
      <c r="O326" t="s">
        <v>35</v>
      </c>
      <c r="Q326" s="6">
        <v>45805</v>
      </c>
      <c r="R326" s="6" t="str">
        <f>TEXT(Q326, "MMM-YY")</f>
        <v>May-25</v>
      </c>
      <c r="W326" s="25">
        <v>92</v>
      </c>
      <c r="Y326"/>
      <c r="Z326"/>
      <c r="AB326"/>
      <c r="AC326"/>
      <c r="AD326"/>
      <c r="AE326"/>
      <c r="AF326"/>
      <c r="AG326"/>
      <c r="AH326"/>
      <c r="AI326"/>
      <c r="AJ326"/>
      <c r="AK326"/>
      <c r="AL326"/>
      <c r="AM326"/>
      <c r="AN326" s="9">
        <f t="shared" si="11"/>
        <v>0</v>
      </c>
      <c r="AO326" s="8"/>
      <c r="AP326" s="9">
        <f>I326-W326-X326-AN326</f>
        <v>0</v>
      </c>
      <c r="AQ326" t="s">
        <v>1316</v>
      </c>
    </row>
    <row r="327" spans="1:43" x14ac:dyDescent="0.3">
      <c r="A327" s="11">
        <f t="shared" ref="A327:A390" si="12">A326+1</f>
        <v>325</v>
      </c>
      <c r="B327" s="5" t="s">
        <v>1675</v>
      </c>
      <c r="C327" t="s">
        <v>893</v>
      </c>
      <c r="D327" s="24" t="s">
        <v>869</v>
      </c>
      <c r="E327" s="24" t="str">
        <f>IFERROR(VLOOKUP(D327,Dropdown!A:B,2,0),D327)</f>
        <v>MARVEL POLYEXIM LLP</v>
      </c>
      <c r="F327" s="6">
        <v>45805</v>
      </c>
      <c r="G327" s="6" t="str">
        <f>TEXT(F327, "MMM-YY")</f>
        <v>May-25</v>
      </c>
      <c r="H327" t="s">
        <v>326</v>
      </c>
      <c r="I327" s="25">
        <v>70.900000000000006</v>
      </c>
      <c r="J327" s="4">
        <v>11000</v>
      </c>
      <c r="K327" t="s">
        <v>936</v>
      </c>
      <c r="L327" s="4" t="str">
        <f>VLOOKUP(K327, 'Items Master'!A:E,5,0)</f>
        <v>FORMOSA</v>
      </c>
      <c r="M327" s="4" t="str">
        <f>VLOOKUP(K327, 'Items Master'!A:D,4,0)</f>
        <v>PVC</v>
      </c>
      <c r="N327" s="4" t="s">
        <v>24</v>
      </c>
      <c r="Q327" s="6">
        <v>45805</v>
      </c>
      <c r="R327" s="6" t="str">
        <f>TEXT(Q327, "MMM-YY")</f>
        <v>May-25</v>
      </c>
      <c r="W327" s="25">
        <v>70.900000000000006</v>
      </c>
      <c r="Y327"/>
      <c r="Z327"/>
      <c r="AB327"/>
      <c r="AC327"/>
      <c r="AD327"/>
      <c r="AE327"/>
      <c r="AF327"/>
      <c r="AG327"/>
      <c r="AH327"/>
      <c r="AI327"/>
      <c r="AJ327"/>
      <c r="AK327"/>
      <c r="AL327"/>
      <c r="AM327"/>
      <c r="AN327" s="9">
        <f t="shared" si="11"/>
        <v>0</v>
      </c>
      <c r="AO327" s="8"/>
      <c r="AP327" s="9">
        <f>I327-W327-X327-AN327</f>
        <v>0</v>
      </c>
      <c r="AQ327" t="s">
        <v>1316</v>
      </c>
    </row>
    <row r="328" spans="1:43" x14ac:dyDescent="0.3">
      <c r="A328" s="11">
        <f t="shared" si="12"/>
        <v>326</v>
      </c>
      <c r="B328" s="5" t="s">
        <v>1675</v>
      </c>
      <c r="C328" t="s">
        <v>893</v>
      </c>
      <c r="D328" s="24" t="s">
        <v>838</v>
      </c>
      <c r="E328" s="24" t="str">
        <f>IFERROR(VLOOKUP(D328,Dropdown!A:B,2,0),D328)</f>
        <v>Treenity</v>
      </c>
      <c r="F328" s="6">
        <v>45805</v>
      </c>
      <c r="G328" s="6" t="str">
        <f>TEXT(F328, "MMM-YY")</f>
        <v>May-25</v>
      </c>
      <c r="H328" t="s">
        <v>327</v>
      </c>
      <c r="I328" s="25">
        <v>98.6</v>
      </c>
      <c r="J328" s="4">
        <v>30000</v>
      </c>
      <c r="K328" t="s">
        <v>899</v>
      </c>
      <c r="L328" s="4" t="str">
        <f>VLOOKUP(K328, 'Items Master'!A:E,5,0)</f>
        <v>MRPL</v>
      </c>
      <c r="M328" s="4" t="str">
        <f>VLOOKUP(K328, 'Items Master'!A:D,4,0)</f>
        <v>PP</v>
      </c>
      <c r="N328" s="4" t="s">
        <v>49</v>
      </c>
      <c r="Q328" s="6">
        <v>45805</v>
      </c>
      <c r="R328" s="6" t="str">
        <f>TEXT(Q328, "MMM-YY")</f>
        <v>May-25</v>
      </c>
      <c r="U328" t="s">
        <v>1320</v>
      </c>
      <c r="W328"/>
      <c r="X328" s="8">
        <v>96.9</v>
      </c>
      <c r="Y328" t="s">
        <v>1304</v>
      </c>
      <c r="Z328" t="s">
        <v>1305</v>
      </c>
      <c r="AB328"/>
      <c r="AC328"/>
      <c r="AD328"/>
      <c r="AE328"/>
      <c r="AF328"/>
      <c r="AG328"/>
      <c r="AH328"/>
      <c r="AI328" s="8">
        <v>1.7</v>
      </c>
      <c r="AN328" s="9">
        <f t="shared" si="11"/>
        <v>1.7</v>
      </c>
      <c r="AO328" s="8"/>
      <c r="AP328" s="9">
        <f>I328-W328-X328-AN328</f>
        <v>-1.1324274851176597E-14</v>
      </c>
      <c r="AQ328" t="s">
        <v>1316</v>
      </c>
    </row>
    <row r="329" spans="1:43" x14ac:dyDescent="0.3">
      <c r="A329" s="11">
        <f t="shared" si="12"/>
        <v>327</v>
      </c>
      <c r="B329" s="5" t="s">
        <v>1675</v>
      </c>
      <c r="C329" t="s">
        <v>894</v>
      </c>
      <c r="D329" s="24" t="s">
        <v>837</v>
      </c>
      <c r="E329" s="24" t="str">
        <f>IFERROR(VLOOKUP(D329,Dropdown!A:B,2,0),D329)</f>
        <v>SYNTHETIC PACKERS LIMITED</v>
      </c>
      <c r="F329" s="6">
        <v>45805</v>
      </c>
      <c r="G329" s="6" t="str">
        <f>TEXT(F329, "MMM-YY")</f>
        <v>May-25</v>
      </c>
      <c r="H329" t="s">
        <v>328</v>
      </c>
      <c r="I329" s="25">
        <v>90</v>
      </c>
      <c r="J329" s="4">
        <v>24750</v>
      </c>
      <c r="K329" t="s">
        <v>909</v>
      </c>
      <c r="L329" s="4" t="str">
        <f>VLOOKUP(K329, 'Items Master'!A:E,5,0)</f>
        <v>LUBAN</v>
      </c>
      <c r="M329" s="4" t="str">
        <f>VLOOKUP(K329, 'Items Master'!A:D,4,0)</f>
        <v>HDPE</v>
      </c>
      <c r="N329" s="4" t="s">
        <v>24</v>
      </c>
      <c r="Q329" s="6">
        <v>45805</v>
      </c>
      <c r="R329" s="6" t="str">
        <f>TEXT(Q329, "MMM-YY")</f>
        <v>May-25</v>
      </c>
      <c r="W329" s="25">
        <v>90</v>
      </c>
      <c r="Y329"/>
      <c r="Z329"/>
      <c r="AB329"/>
      <c r="AC329"/>
      <c r="AD329"/>
      <c r="AE329"/>
      <c r="AF329"/>
      <c r="AG329"/>
      <c r="AH329"/>
      <c r="AI329"/>
      <c r="AJ329"/>
      <c r="AK329"/>
      <c r="AL329"/>
      <c r="AM329"/>
      <c r="AN329" s="9">
        <f t="shared" si="11"/>
        <v>0</v>
      </c>
      <c r="AO329" s="8"/>
      <c r="AP329" s="9">
        <f>I329-W329-X329-AN329</f>
        <v>0</v>
      </c>
      <c r="AQ329" t="s">
        <v>1316</v>
      </c>
    </row>
    <row r="330" spans="1:43" x14ac:dyDescent="0.3">
      <c r="A330" s="11">
        <f t="shared" si="12"/>
        <v>328</v>
      </c>
      <c r="B330" s="5" t="s">
        <v>1675</v>
      </c>
      <c r="C330" t="s">
        <v>893</v>
      </c>
      <c r="D330" s="24" t="s">
        <v>48</v>
      </c>
      <c r="E330" s="24" t="str">
        <f>IFERROR(VLOOKUP(D330,Dropdown!A:B,2,0),D330)</f>
        <v>CVPL</v>
      </c>
      <c r="F330" s="6">
        <v>45806</v>
      </c>
      <c r="G330" s="6" t="str">
        <f>TEXT(F330, "MMM-YY")</f>
        <v>May-25</v>
      </c>
      <c r="H330" t="s">
        <v>329</v>
      </c>
      <c r="I330" s="25">
        <v>97.49</v>
      </c>
      <c r="J330" s="4">
        <v>8000</v>
      </c>
      <c r="K330" t="s">
        <v>902</v>
      </c>
      <c r="L330" s="4" t="str">
        <f>VLOOKUP(K330, 'Items Master'!A:E,5,0)</f>
        <v>GAIL</v>
      </c>
      <c r="M330" s="4" t="str">
        <f>VLOOKUP(K330, 'Items Master'!A:D,4,0)</f>
        <v>LLDPE</v>
      </c>
      <c r="N330" s="4" t="s">
        <v>49</v>
      </c>
      <c r="O330" t="s">
        <v>1296</v>
      </c>
      <c r="Q330" s="6">
        <v>45806</v>
      </c>
      <c r="R330" s="6" t="str">
        <f>TEXT(Q330, "MMM-YY")</f>
        <v>May-25</v>
      </c>
      <c r="X330" s="25">
        <v>98.98</v>
      </c>
      <c r="AB330"/>
      <c r="AC330"/>
      <c r="AD330"/>
      <c r="AE330"/>
      <c r="AF330"/>
      <c r="AG330"/>
      <c r="AH330"/>
      <c r="AI330"/>
      <c r="AJ330"/>
      <c r="AK330"/>
      <c r="AL330"/>
      <c r="AM330"/>
      <c r="AN330" s="9">
        <f t="shared" si="11"/>
        <v>0</v>
      </c>
      <c r="AO330" s="8"/>
      <c r="AP330" s="9">
        <f>I330-W330-X330-AN330</f>
        <v>-1.4900000000000091</v>
      </c>
      <c r="AQ330" t="s">
        <v>1324</v>
      </c>
    </row>
    <row r="331" spans="1:43" x14ac:dyDescent="0.3">
      <c r="A331" s="11">
        <f t="shared" si="12"/>
        <v>329</v>
      </c>
      <c r="B331" s="5" t="s">
        <v>1675</v>
      </c>
      <c r="C331" t="s">
        <v>893</v>
      </c>
      <c r="D331" s="24" t="s">
        <v>824</v>
      </c>
      <c r="E331" s="24" t="str">
        <f>IFERROR(VLOOKUP(D331,Dropdown!A:B,2,0),D331)</f>
        <v>Paragon</v>
      </c>
      <c r="F331" s="6">
        <v>45806</v>
      </c>
      <c r="G331" s="6" t="str">
        <f>TEXT(F331, "MMM-YY")</f>
        <v>May-25</v>
      </c>
      <c r="H331" t="s">
        <v>330</v>
      </c>
      <c r="I331" s="25">
        <v>117.16</v>
      </c>
      <c r="J331" s="4">
        <v>5000</v>
      </c>
      <c r="K331" t="s">
        <v>895</v>
      </c>
      <c r="L331" s="4" t="str">
        <f>VLOOKUP(K331, 'Items Master'!A:E,5,0)</f>
        <v>RIL</v>
      </c>
      <c r="M331" s="4" t="str">
        <f>VLOOKUP(K331, 'Items Master'!A:D,4,0)</f>
        <v>LDPE</v>
      </c>
      <c r="N331" s="4" t="s">
        <v>24</v>
      </c>
      <c r="Q331" s="6">
        <v>45806</v>
      </c>
      <c r="R331" s="6" t="str">
        <f>TEXT(Q331, "MMM-YY")</f>
        <v>May-25</v>
      </c>
      <c r="W331" s="25">
        <v>117.16</v>
      </c>
      <c r="X331"/>
      <c r="Y331"/>
      <c r="Z331"/>
      <c r="AB331"/>
      <c r="AC331"/>
      <c r="AD331"/>
      <c r="AE331"/>
      <c r="AF331"/>
      <c r="AG331"/>
      <c r="AH331"/>
      <c r="AI331"/>
      <c r="AJ331"/>
      <c r="AK331"/>
      <c r="AL331"/>
      <c r="AM331"/>
      <c r="AN331" s="9">
        <f t="shared" si="11"/>
        <v>0</v>
      </c>
      <c r="AO331" s="8"/>
      <c r="AP331" s="9">
        <f>I331-W331-X331-AN331</f>
        <v>0</v>
      </c>
      <c r="AQ331" t="s">
        <v>1324</v>
      </c>
    </row>
    <row r="332" spans="1:43" x14ac:dyDescent="0.3">
      <c r="A332" s="11">
        <f t="shared" si="12"/>
        <v>330</v>
      </c>
      <c r="B332" s="5" t="s">
        <v>1675</v>
      </c>
      <c r="C332" t="s">
        <v>893</v>
      </c>
      <c r="D332" s="24" t="s">
        <v>857</v>
      </c>
      <c r="E332" s="24" t="str">
        <f>IFERROR(VLOOKUP(D332,Dropdown!A:B,2,0),D332)</f>
        <v>Purav</v>
      </c>
      <c r="F332" s="6">
        <v>45806</v>
      </c>
      <c r="G332" s="6" t="str">
        <f>TEXT(F332, "MMM-YY")</f>
        <v>May-25</v>
      </c>
      <c r="H332" t="s">
        <v>331</v>
      </c>
      <c r="I332" s="25">
        <v>96.4</v>
      </c>
      <c r="J332" s="4">
        <v>10000</v>
      </c>
      <c r="K332" t="s">
        <v>17</v>
      </c>
      <c r="L332" s="4" t="str">
        <f>VLOOKUP(K332, 'Items Master'!A:E,5,0)</f>
        <v>OPAL</v>
      </c>
      <c r="M332" s="4" t="str">
        <f>VLOOKUP(K332, 'Items Master'!A:D,4,0)</f>
        <v>LLDPE</v>
      </c>
      <c r="N332" s="4" t="s">
        <v>49</v>
      </c>
      <c r="O332" t="s">
        <v>1296</v>
      </c>
      <c r="Q332" s="6">
        <v>45806</v>
      </c>
      <c r="R332" s="6" t="str">
        <f>TEXT(Q332, "MMM-YY")</f>
        <v>May-25</v>
      </c>
      <c r="U332" t="s">
        <v>1605</v>
      </c>
      <c r="X332" s="25">
        <v>96.3</v>
      </c>
      <c r="AH332" s="8">
        <v>0.1</v>
      </c>
      <c r="AN332" s="9">
        <f t="shared" si="11"/>
        <v>0.1</v>
      </c>
      <c r="AO332" s="8"/>
      <c r="AP332" s="9">
        <f>I332-W332-X332-AN332</f>
        <v>8.5209617139980764E-15</v>
      </c>
      <c r="AQ332" t="s">
        <v>1316</v>
      </c>
    </row>
    <row r="333" spans="1:43" x14ac:dyDescent="0.3">
      <c r="A333" s="11">
        <f t="shared" si="12"/>
        <v>331</v>
      </c>
      <c r="B333" s="5" t="s">
        <v>1675</v>
      </c>
      <c r="C333" t="s">
        <v>893</v>
      </c>
      <c r="D333" s="24" t="s">
        <v>857</v>
      </c>
      <c r="E333" s="24" t="str">
        <f>IFERROR(VLOOKUP(D333,Dropdown!A:B,2,0),D333)</f>
        <v>Purav</v>
      </c>
      <c r="F333" s="6">
        <v>45806</v>
      </c>
      <c r="G333" s="6" t="str">
        <f>TEXT(F333, "MMM-YY")</f>
        <v>May-25</v>
      </c>
      <c r="H333" t="s">
        <v>332</v>
      </c>
      <c r="I333" s="25">
        <v>96.4</v>
      </c>
      <c r="J333" s="4">
        <v>10000</v>
      </c>
      <c r="K333" t="s">
        <v>898</v>
      </c>
      <c r="L333" s="4" t="str">
        <f>VLOOKUP(K333, 'Items Master'!A:E,5,0)</f>
        <v>OPAL</v>
      </c>
      <c r="M333" s="4" t="str">
        <f>VLOOKUP(K333, 'Items Master'!A:D,4,0)</f>
        <v>LLDPE</v>
      </c>
      <c r="N333" s="4" t="s">
        <v>49</v>
      </c>
      <c r="O333" t="s">
        <v>1296</v>
      </c>
      <c r="Q333" s="6">
        <v>45806</v>
      </c>
      <c r="R333" s="6" t="str">
        <f>TEXT(Q333, "MMM-YY")</f>
        <v>May-25</v>
      </c>
      <c r="U333" t="s">
        <v>1605</v>
      </c>
      <c r="X333" s="25">
        <v>96.3</v>
      </c>
      <c r="AH333" s="8">
        <v>0.1</v>
      </c>
      <c r="AN333" s="9">
        <f t="shared" si="11"/>
        <v>0.1</v>
      </c>
      <c r="AO333" s="8"/>
      <c r="AP333" s="9">
        <f>I333-W333-X333-AN333</f>
        <v>8.5209617139980764E-15</v>
      </c>
      <c r="AQ333" t="s">
        <v>1316</v>
      </c>
    </row>
    <row r="334" spans="1:43" x14ac:dyDescent="0.3">
      <c r="A334" s="11">
        <f t="shared" si="12"/>
        <v>332</v>
      </c>
      <c r="B334" s="5" t="s">
        <v>1675</v>
      </c>
      <c r="C334" t="s">
        <v>893</v>
      </c>
      <c r="D334" s="24" t="s">
        <v>824</v>
      </c>
      <c r="E334" s="24" t="str">
        <f>IFERROR(VLOOKUP(D334,Dropdown!A:B,2,0),D334)</f>
        <v>Paragon</v>
      </c>
      <c r="F334" s="6">
        <v>45806</v>
      </c>
      <c r="G334" s="6" t="str">
        <f>TEXT(F334, "MMM-YY")</f>
        <v>May-25</v>
      </c>
      <c r="H334" t="s">
        <v>333</v>
      </c>
      <c r="I334" s="25">
        <v>92.27</v>
      </c>
      <c r="J334" s="4">
        <v>10000</v>
      </c>
      <c r="K334" t="s">
        <v>927</v>
      </c>
      <c r="L334" s="4" t="str">
        <f>VLOOKUP(K334, 'Items Master'!A:E,5,0)</f>
        <v>RIL</v>
      </c>
      <c r="M334" s="4" t="str">
        <f>VLOOKUP(K334, 'Items Master'!A:D,4,0)</f>
        <v>HDPE</v>
      </c>
      <c r="N334" s="4" t="s">
        <v>49</v>
      </c>
      <c r="Q334" s="6">
        <v>45806</v>
      </c>
      <c r="R334" s="6" t="str">
        <f>TEXT(Q334, "MMM-YY")</f>
        <v>May-25</v>
      </c>
      <c r="X334" s="25">
        <v>93.48</v>
      </c>
      <c r="AB334"/>
      <c r="AC334"/>
      <c r="AD334"/>
      <c r="AE334"/>
      <c r="AF334"/>
      <c r="AG334"/>
      <c r="AH334"/>
      <c r="AI334"/>
      <c r="AJ334"/>
      <c r="AK334"/>
      <c r="AL334"/>
      <c r="AM334"/>
      <c r="AN334" s="9">
        <f t="shared" si="11"/>
        <v>0</v>
      </c>
      <c r="AO334" s="8"/>
      <c r="AP334" s="9">
        <f>I334-W334-X334-AN334</f>
        <v>-1.210000000000008</v>
      </c>
      <c r="AQ334" t="s">
        <v>1324</v>
      </c>
    </row>
    <row r="335" spans="1:43" x14ac:dyDescent="0.3">
      <c r="A335" s="11">
        <f t="shared" si="12"/>
        <v>333</v>
      </c>
      <c r="B335" s="5" t="s">
        <v>1675</v>
      </c>
      <c r="C335" t="s">
        <v>893</v>
      </c>
      <c r="D335" s="24" t="s">
        <v>824</v>
      </c>
      <c r="E335" s="24" t="str">
        <f>IFERROR(VLOOKUP(D335,Dropdown!A:B,2,0),D335)</f>
        <v>Paragon</v>
      </c>
      <c r="F335" s="6">
        <v>45806</v>
      </c>
      <c r="G335" s="6" t="str">
        <f>TEXT(F335, "MMM-YY")</f>
        <v>May-25</v>
      </c>
      <c r="H335" t="s">
        <v>333</v>
      </c>
      <c r="I335" s="25">
        <v>90.826669999999993</v>
      </c>
      <c r="J335" s="4">
        <v>300</v>
      </c>
      <c r="K335" t="s">
        <v>971</v>
      </c>
      <c r="L335" s="4" t="str">
        <f>VLOOKUP(K335, 'Items Master'!A:E,5,0)</f>
        <v>RIL</v>
      </c>
      <c r="M335" s="4" t="str">
        <f>VLOOKUP(K335, 'Items Master'!A:D,4,0)</f>
        <v>HDPE</v>
      </c>
      <c r="N335" s="4" t="s">
        <v>49</v>
      </c>
      <c r="Q335" s="6">
        <v>45806</v>
      </c>
      <c r="R335" s="6" t="str">
        <f>TEXT(Q335, "MMM-YY")</f>
        <v>May-25</v>
      </c>
      <c r="X335" s="25">
        <v>92.03</v>
      </c>
      <c r="AB335"/>
      <c r="AC335"/>
      <c r="AD335"/>
      <c r="AE335"/>
      <c r="AF335"/>
      <c r="AG335"/>
      <c r="AH335"/>
      <c r="AI335"/>
      <c r="AJ335"/>
      <c r="AK335"/>
      <c r="AL335"/>
      <c r="AM335"/>
      <c r="AN335" s="9">
        <f t="shared" si="11"/>
        <v>0</v>
      </c>
      <c r="AO335" s="8"/>
      <c r="AP335" s="9">
        <f>I335-W335-X335-AN335</f>
        <v>-1.2033300000000082</v>
      </c>
      <c r="AQ335" t="s">
        <v>1324</v>
      </c>
    </row>
    <row r="336" spans="1:43" x14ac:dyDescent="0.3">
      <c r="A336" s="11">
        <f t="shared" si="12"/>
        <v>334</v>
      </c>
      <c r="B336" s="5" t="s">
        <v>1675</v>
      </c>
      <c r="C336" t="s">
        <v>893</v>
      </c>
      <c r="D336" s="24" t="s">
        <v>836</v>
      </c>
      <c r="E336" s="24" t="str">
        <f>IFERROR(VLOOKUP(D336,Dropdown!A:B,2,0),D336)</f>
        <v>Intime</v>
      </c>
      <c r="F336" s="6">
        <v>45806</v>
      </c>
      <c r="G336" s="6" t="str">
        <f>TEXT(F336, "MMM-YY")</f>
        <v>May-25</v>
      </c>
      <c r="H336" t="s">
        <v>334</v>
      </c>
      <c r="I336" s="25">
        <v>95.933000000000007</v>
      </c>
      <c r="J336" s="4">
        <v>11000</v>
      </c>
      <c r="K336" t="s">
        <v>911</v>
      </c>
      <c r="L336" s="4" t="str">
        <f>VLOOKUP(K336, 'Items Master'!A:E,5,0)</f>
        <v>BCPL</v>
      </c>
      <c r="M336" s="4" t="str">
        <f>VLOOKUP(K336, 'Items Master'!A:D,4,0)</f>
        <v>LLDPE</v>
      </c>
      <c r="N336" s="4" t="s">
        <v>49</v>
      </c>
      <c r="Q336" s="6">
        <v>45806</v>
      </c>
      <c r="R336" s="6" t="str">
        <f>TEXT(Q336, "MMM-YY")</f>
        <v>May-25</v>
      </c>
      <c r="X336" s="25">
        <v>95.933000000000007</v>
      </c>
      <c r="AB336"/>
      <c r="AC336"/>
      <c r="AD336"/>
      <c r="AE336"/>
      <c r="AF336"/>
      <c r="AG336"/>
      <c r="AH336"/>
      <c r="AI336"/>
      <c r="AJ336"/>
      <c r="AK336"/>
      <c r="AL336"/>
      <c r="AM336"/>
      <c r="AN336" s="9">
        <f t="shared" si="11"/>
        <v>0</v>
      </c>
      <c r="AO336" s="8"/>
      <c r="AP336" s="9">
        <f>I336-W336-X336-AN336</f>
        <v>0</v>
      </c>
      <c r="AQ336" t="s">
        <v>1324</v>
      </c>
    </row>
    <row r="337" spans="1:43" x14ac:dyDescent="0.3">
      <c r="A337" s="11">
        <f t="shared" si="12"/>
        <v>335</v>
      </c>
      <c r="B337" s="5" t="s">
        <v>1675</v>
      </c>
      <c r="C337" t="s">
        <v>893</v>
      </c>
      <c r="D337" s="24" t="s">
        <v>824</v>
      </c>
      <c r="E337" s="24" t="str">
        <f>IFERROR(VLOOKUP(D337,Dropdown!A:B,2,0),D337)</f>
        <v>Paragon</v>
      </c>
      <c r="F337" s="6">
        <v>45806</v>
      </c>
      <c r="G337" s="6" t="str">
        <f>TEXT(F337, "MMM-YY")</f>
        <v>May-25</v>
      </c>
      <c r="H337" t="s">
        <v>335</v>
      </c>
      <c r="I337" s="25">
        <v>103.78</v>
      </c>
      <c r="J337" s="4">
        <v>2000</v>
      </c>
      <c r="K337" t="s">
        <v>925</v>
      </c>
      <c r="L337" s="4" t="str">
        <f>VLOOKUP(K337, 'Items Master'!A:E,5,0)</f>
        <v>RIL</v>
      </c>
      <c r="M337" s="4" t="str">
        <f>VLOOKUP(K337, 'Items Master'!A:D,4,0)</f>
        <v>PP ICP</v>
      </c>
      <c r="N337" s="4" t="s">
        <v>49</v>
      </c>
      <c r="Q337" s="6">
        <v>45806</v>
      </c>
      <c r="R337" s="6" t="str">
        <f>TEXT(Q337, "MMM-YY")</f>
        <v>May-25</v>
      </c>
      <c r="X337" s="25">
        <v>103.78</v>
      </c>
      <c r="AB337"/>
      <c r="AC337"/>
      <c r="AD337"/>
      <c r="AE337"/>
      <c r="AF337"/>
      <c r="AG337"/>
      <c r="AH337"/>
      <c r="AI337"/>
      <c r="AJ337"/>
      <c r="AK337"/>
      <c r="AL337"/>
      <c r="AM337"/>
      <c r="AN337" s="9">
        <f t="shared" si="11"/>
        <v>0</v>
      </c>
      <c r="AO337" s="8"/>
      <c r="AP337" s="9">
        <f>I337-W337-X337-AN337</f>
        <v>0</v>
      </c>
      <c r="AQ337" t="s">
        <v>1324</v>
      </c>
    </row>
    <row r="338" spans="1:43" x14ac:dyDescent="0.3">
      <c r="A338" s="11">
        <f t="shared" si="12"/>
        <v>336</v>
      </c>
      <c r="B338" s="5" t="s">
        <v>1675</v>
      </c>
      <c r="C338" t="s">
        <v>893</v>
      </c>
      <c r="D338" s="24" t="s">
        <v>844</v>
      </c>
      <c r="E338" s="24" t="str">
        <f>IFERROR(VLOOKUP(D338,Dropdown!A:B,2,0),D338)</f>
        <v>APEX TECHNO POLYMER PRIVATE LIMITED</v>
      </c>
      <c r="F338" s="6">
        <v>45806</v>
      </c>
      <c r="G338" s="6" t="str">
        <f>TEXT(F338, "MMM-YY")</f>
        <v>May-25</v>
      </c>
      <c r="H338" t="s">
        <v>336</v>
      </c>
      <c r="I338" s="25">
        <v>234</v>
      </c>
      <c r="J338" s="4">
        <v>250</v>
      </c>
      <c r="K338" t="s">
        <v>972</v>
      </c>
      <c r="L338" s="4" t="str">
        <f>VLOOKUP(K338, 'Items Master'!A:E,5,0)</f>
        <v>RAVAGO</v>
      </c>
      <c r="M338" s="4" t="str">
        <f>VLOOKUP(K338, 'Items Master'!A:D,4,0)</f>
        <v>Nylon</v>
      </c>
      <c r="N338" s="4" t="s">
        <v>24</v>
      </c>
      <c r="Q338" s="6">
        <v>45806</v>
      </c>
      <c r="R338" s="6" t="str">
        <f>TEXT(Q338, "MMM-YY")</f>
        <v>May-25</v>
      </c>
      <c r="W338" s="25">
        <v>234</v>
      </c>
      <c r="Y338"/>
      <c r="Z338"/>
      <c r="AB338"/>
      <c r="AC338"/>
      <c r="AD338"/>
      <c r="AE338"/>
      <c r="AF338"/>
      <c r="AG338"/>
      <c r="AH338"/>
      <c r="AI338"/>
      <c r="AJ338"/>
      <c r="AK338"/>
      <c r="AL338"/>
      <c r="AM338"/>
      <c r="AN338" s="9">
        <f t="shared" si="11"/>
        <v>0</v>
      </c>
      <c r="AO338" s="8"/>
      <c r="AP338" s="9">
        <f>I338-W338-X338-AN338</f>
        <v>0</v>
      </c>
      <c r="AQ338" t="s">
        <v>1316</v>
      </c>
    </row>
    <row r="339" spans="1:43" x14ac:dyDescent="0.3">
      <c r="A339" s="11">
        <f t="shared" si="12"/>
        <v>337</v>
      </c>
      <c r="B339" s="5" t="s">
        <v>1675</v>
      </c>
      <c r="C339" t="s">
        <v>894</v>
      </c>
      <c r="D339" s="24" t="s">
        <v>857</v>
      </c>
      <c r="E339" s="24" t="str">
        <f>IFERROR(VLOOKUP(D339,Dropdown!A:B,2,0),D339)</f>
        <v>Purav</v>
      </c>
      <c r="F339" s="6">
        <v>45806</v>
      </c>
      <c r="G339" s="6" t="str">
        <f>TEXT(F339, "MMM-YY")</f>
        <v>May-25</v>
      </c>
      <c r="H339" t="s">
        <v>337</v>
      </c>
      <c r="I339" s="25">
        <v>96.4</v>
      </c>
      <c r="J339" s="4">
        <v>8000</v>
      </c>
      <c r="K339" t="s">
        <v>17</v>
      </c>
      <c r="L339" s="4" t="str">
        <f>VLOOKUP(K339, 'Items Master'!A:E,5,0)</f>
        <v>OPAL</v>
      </c>
      <c r="M339" s="4" t="str">
        <f>VLOOKUP(K339, 'Items Master'!A:D,4,0)</f>
        <v>LLDPE</v>
      </c>
      <c r="N339" s="4" t="s">
        <v>49</v>
      </c>
      <c r="O339" t="s">
        <v>1296</v>
      </c>
      <c r="Q339" s="6">
        <v>45806</v>
      </c>
      <c r="R339" s="6" t="str">
        <f>TEXT(Q339, "MMM-YY")</f>
        <v>May-25</v>
      </c>
      <c r="U339" t="s">
        <v>1605</v>
      </c>
      <c r="X339" s="25">
        <v>96.3</v>
      </c>
      <c r="AH339" s="8">
        <v>0.1</v>
      </c>
      <c r="AN339" s="9">
        <f t="shared" si="11"/>
        <v>0.1</v>
      </c>
      <c r="AO339" s="8"/>
      <c r="AP339" s="9">
        <f>I339-W339-X339-AN339</f>
        <v>8.5209617139980764E-15</v>
      </c>
      <c r="AQ339" t="s">
        <v>1316</v>
      </c>
    </row>
    <row r="340" spans="1:43" x14ac:dyDescent="0.3">
      <c r="A340" s="11">
        <f t="shared" si="12"/>
        <v>338</v>
      </c>
      <c r="B340" s="5" t="s">
        <v>1675</v>
      </c>
      <c r="C340" t="s">
        <v>894</v>
      </c>
      <c r="D340" s="24" t="s">
        <v>857</v>
      </c>
      <c r="E340" s="24" t="str">
        <f>IFERROR(VLOOKUP(D340,Dropdown!A:B,2,0),D340)</f>
        <v>Purav</v>
      </c>
      <c r="F340" s="6">
        <v>45806</v>
      </c>
      <c r="G340" s="6" t="str">
        <f>TEXT(F340, "MMM-YY")</f>
        <v>May-25</v>
      </c>
      <c r="H340" t="s">
        <v>338</v>
      </c>
      <c r="I340" s="25">
        <v>94.35</v>
      </c>
      <c r="J340" s="4">
        <v>10000</v>
      </c>
      <c r="K340" t="s">
        <v>896</v>
      </c>
      <c r="L340" s="4" t="str">
        <f>VLOOKUP(K340, 'Items Master'!A:E,5,0)</f>
        <v>OPAL</v>
      </c>
      <c r="M340" s="4" t="str">
        <f>VLOOKUP(K340, 'Items Master'!A:D,4,0)</f>
        <v>HDPE</v>
      </c>
      <c r="N340" s="4" t="s">
        <v>49</v>
      </c>
      <c r="O340" t="s">
        <v>1296</v>
      </c>
      <c r="Q340" s="6">
        <v>45806</v>
      </c>
      <c r="R340" s="6" t="str">
        <f>TEXT(Q340, "MMM-YY")</f>
        <v>May-25</v>
      </c>
      <c r="U340" t="s">
        <v>1605</v>
      </c>
      <c r="X340" s="25">
        <v>94.25</v>
      </c>
      <c r="AH340" s="8">
        <v>0.1</v>
      </c>
      <c r="AN340" s="9">
        <f t="shared" si="11"/>
        <v>0.1</v>
      </c>
      <c r="AO340" s="8"/>
      <c r="AP340" s="9">
        <f>I340-W340-X340-AN340</f>
        <v>-5.6898930012039273E-15</v>
      </c>
      <c r="AQ340" t="s">
        <v>1316</v>
      </c>
    </row>
    <row r="341" spans="1:43" x14ac:dyDescent="0.3">
      <c r="A341" s="11">
        <f t="shared" si="12"/>
        <v>339</v>
      </c>
      <c r="B341" s="5" t="s">
        <v>1675</v>
      </c>
      <c r="C341" t="s">
        <v>894</v>
      </c>
      <c r="D341" s="24" t="s">
        <v>837</v>
      </c>
      <c r="E341" s="24" t="str">
        <f>IFERROR(VLOOKUP(D341,Dropdown!A:B,2,0),D341)</f>
        <v>SYNTHETIC PACKERS LIMITED</v>
      </c>
      <c r="F341" s="6">
        <v>45806</v>
      </c>
      <c r="G341" s="6" t="str">
        <f>TEXT(F341, "MMM-YY")</f>
        <v>May-25</v>
      </c>
      <c r="H341" t="s">
        <v>339</v>
      </c>
      <c r="I341" s="25">
        <v>90</v>
      </c>
      <c r="J341" s="4">
        <v>24750</v>
      </c>
      <c r="K341" t="s">
        <v>909</v>
      </c>
      <c r="L341" s="4" t="str">
        <f>VLOOKUP(K341, 'Items Master'!A:E,5,0)</f>
        <v>LUBAN</v>
      </c>
      <c r="M341" s="4" t="str">
        <f>VLOOKUP(K341, 'Items Master'!A:D,4,0)</f>
        <v>HDPE</v>
      </c>
      <c r="N341" s="4" t="s">
        <v>24</v>
      </c>
      <c r="Q341" s="6">
        <v>45806</v>
      </c>
      <c r="R341" s="6" t="str">
        <f>TEXT(Q341, "MMM-YY")</f>
        <v>May-25</v>
      </c>
      <c r="W341" s="25">
        <v>90</v>
      </c>
      <c r="Y341"/>
      <c r="Z341"/>
      <c r="AB341"/>
      <c r="AC341"/>
      <c r="AD341"/>
      <c r="AE341"/>
      <c r="AF341"/>
      <c r="AG341"/>
      <c r="AH341"/>
      <c r="AI341"/>
      <c r="AJ341"/>
      <c r="AK341"/>
      <c r="AL341"/>
      <c r="AM341"/>
      <c r="AN341" s="9">
        <f t="shared" si="11"/>
        <v>0</v>
      </c>
      <c r="AO341" s="8"/>
      <c r="AP341" s="9">
        <f>I341-W341-X341-AN341</f>
        <v>0</v>
      </c>
      <c r="AQ341" t="s">
        <v>1316</v>
      </c>
    </row>
    <row r="342" spans="1:43" x14ac:dyDescent="0.3">
      <c r="A342" s="11">
        <f t="shared" si="12"/>
        <v>340</v>
      </c>
      <c r="B342" s="5" t="s">
        <v>1675</v>
      </c>
      <c r="C342" t="s">
        <v>893</v>
      </c>
      <c r="D342" s="24" t="s">
        <v>824</v>
      </c>
      <c r="E342" s="24" t="str">
        <f>IFERROR(VLOOKUP(D342,Dropdown!A:B,2,0),D342)</f>
        <v>Paragon</v>
      </c>
      <c r="F342" s="6">
        <v>45807</v>
      </c>
      <c r="G342" s="6" t="str">
        <f>TEXT(F342, "MMM-YY")</f>
        <v>May-25</v>
      </c>
      <c r="H342" t="s">
        <v>340</v>
      </c>
      <c r="I342" s="25">
        <v>117.61</v>
      </c>
      <c r="J342" s="4">
        <v>1500</v>
      </c>
      <c r="K342" t="s">
        <v>895</v>
      </c>
      <c r="L342" s="4" t="str">
        <f>VLOOKUP(K342, 'Items Master'!A:E,5,0)</f>
        <v>RIL</v>
      </c>
      <c r="M342" s="4" t="str">
        <f>VLOOKUP(K342, 'Items Master'!A:D,4,0)</f>
        <v>LDPE</v>
      </c>
      <c r="N342" s="4" t="s">
        <v>24</v>
      </c>
      <c r="Q342" s="6">
        <v>45807</v>
      </c>
      <c r="R342" s="6" t="str">
        <f>TEXT(Q342, "MMM-YY")</f>
        <v>May-25</v>
      </c>
      <c r="W342" s="25">
        <v>117.61</v>
      </c>
      <c r="X342"/>
      <c r="Y342"/>
      <c r="Z342"/>
      <c r="AB342"/>
      <c r="AC342"/>
      <c r="AD342"/>
      <c r="AE342"/>
      <c r="AF342"/>
      <c r="AG342"/>
      <c r="AH342"/>
      <c r="AI342"/>
      <c r="AJ342"/>
      <c r="AK342"/>
      <c r="AL342"/>
      <c r="AM342"/>
      <c r="AN342" s="9">
        <f t="shared" si="11"/>
        <v>0</v>
      </c>
      <c r="AO342" s="8"/>
      <c r="AP342" s="9">
        <f>I342-W342-X342-AN342</f>
        <v>0</v>
      </c>
      <c r="AQ342" t="s">
        <v>1324</v>
      </c>
    </row>
    <row r="343" spans="1:43" x14ac:dyDescent="0.3">
      <c r="A343" s="11">
        <f t="shared" si="12"/>
        <v>341</v>
      </c>
      <c r="B343" s="5" t="s">
        <v>1675</v>
      </c>
      <c r="C343" t="s">
        <v>893</v>
      </c>
      <c r="D343" s="24" t="s">
        <v>838</v>
      </c>
      <c r="E343" s="24" t="str">
        <f>IFERROR(VLOOKUP(D343,Dropdown!A:B,2,0),D343)</f>
        <v>Treenity</v>
      </c>
      <c r="F343" s="6">
        <v>45807</v>
      </c>
      <c r="G343" s="6" t="str">
        <f>TEXT(F343, "MMM-YY")</f>
        <v>May-25</v>
      </c>
      <c r="H343" t="s">
        <v>341</v>
      </c>
      <c r="I343" s="25">
        <v>100.25</v>
      </c>
      <c r="J343" s="4">
        <v>1500</v>
      </c>
      <c r="K343" t="s">
        <v>901</v>
      </c>
      <c r="L343" s="4" t="str">
        <f>VLOOKUP(K343, 'Items Master'!A:E,5,0)</f>
        <v>MRPL</v>
      </c>
      <c r="M343" s="4" t="str">
        <f>VLOOKUP(K343, 'Items Master'!A:D,4,0)</f>
        <v>PP</v>
      </c>
      <c r="N343" s="4" t="s">
        <v>49</v>
      </c>
      <c r="Q343" s="6">
        <v>45807</v>
      </c>
      <c r="R343" s="6" t="str">
        <f>TEXT(Q343, "MMM-YY")</f>
        <v>May-25</v>
      </c>
      <c r="U343" t="s">
        <v>1320</v>
      </c>
      <c r="W343"/>
      <c r="X343" s="8">
        <v>98.35</v>
      </c>
      <c r="Y343" t="s">
        <v>1304</v>
      </c>
      <c r="Z343" t="s">
        <v>1305</v>
      </c>
      <c r="AB343"/>
      <c r="AC343"/>
      <c r="AD343"/>
      <c r="AE343"/>
      <c r="AF343"/>
      <c r="AG343"/>
      <c r="AH343"/>
      <c r="AI343" s="8">
        <v>1.9</v>
      </c>
      <c r="AN343" s="9">
        <f t="shared" si="11"/>
        <v>1.9</v>
      </c>
      <c r="AO343" s="8"/>
      <c r="AP343" s="9">
        <f>I343-W343-X343-AN343</f>
        <v>5.773159728050814E-15</v>
      </c>
      <c r="AQ343" t="s">
        <v>1316</v>
      </c>
    </row>
    <row r="344" spans="1:43" x14ac:dyDescent="0.3">
      <c r="A344" s="11">
        <f t="shared" si="12"/>
        <v>342</v>
      </c>
      <c r="B344" s="5" t="s">
        <v>1675</v>
      </c>
      <c r="C344" t="s">
        <v>893</v>
      </c>
      <c r="D344" s="24" t="s">
        <v>838</v>
      </c>
      <c r="E344" s="24" t="str">
        <f>IFERROR(VLOOKUP(D344,Dropdown!A:B,2,0),D344)</f>
        <v>Treenity</v>
      </c>
      <c r="F344" s="6">
        <v>45807</v>
      </c>
      <c r="G344" s="6" t="str">
        <f>TEXT(F344, "MMM-YY")</f>
        <v>May-25</v>
      </c>
      <c r="H344" t="s">
        <v>342</v>
      </c>
      <c r="I344" s="25">
        <v>100.25</v>
      </c>
      <c r="J344" s="4">
        <v>9000</v>
      </c>
      <c r="K344" t="s">
        <v>901</v>
      </c>
      <c r="L344" s="4" t="str">
        <f>VLOOKUP(K344, 'Items Master'!A:E,5,0)</f>
        <v>MRPL</v>
      </c>
      <c r="M344" s="4" t="str">
        <f>VLOOKUP(K344, 'Items Master'!A:D,4,0)</f>
        <v>PP</v>
      </c>
      <c r="N344" s="4" t="s">
        <v>49</v>
      </c>
      <c r="Q344" s="6">
        <v>45807</v>
      </c>
      <c r="R344" s="6" t="str">
        <f>TEXT(Q344, "MMM-YY")</f>
        <v>May-25</v>
      </c>
      <c r="U344" t="s">
        <v>1320</v>
      </c>
      <c r="W344"/>
      <c r="X344" s="8">
        <v>98.35</v>
      </c>
      <c r="Y344" t="s">
        <v>1304</v>
      </c>
      <c r="Z344" t="s">
        <v>1305</v>
      </c>
      <c r="AB344"/>
      <c r="AC344"/>
      <c r="AD344"/>
      <c r="AE344"/>
      <c r="AF344"/>
      <c r="AG344"/>
      <c r="AH344"/>
      <c r="AI344" s="8">
        <v>1.9</v>
      </c>
      <c r="AN344" s="9">
        <f t="shared" si="11"/>
        <v>1.9</v>
      </c>
      <c r="AO344" s="8"/>
      <c r="AP344" s="9">
        <f>I344-W344-X344-AN344</f>
        <v>5.773159728050814E-15</v>
      </c>
      <c r="AQ344" t="s">
        <v>1316</v>
      </c>
    </row>
    <row r="345" spans="1:43" x14ac:dyDescent="0.3">
      <c r="A345" s="11">
        <f t="shared" si="12"/>
        <v>343</v>
      </c>
      <c r="B345" s="5" t="s">
        <v>1675</v>
      </c>
      <c r="C345" t="s">
        <v>893</v>
      </c>
      <c r="D345" s="24" t="s">
        <v>824</v>
      </c>
      <c r="E345" s="24" t="str">
        <f>IFERROR(VLOOKUP(D345,Dropdown!A:B,2,0),D345)</f>
        <v>Paragon</v>
      </c>
      <c r="F345" s="6">
        <v>45807</v>
      </c>
      <c r="G345" s="6" t="str">
        <f>TEXT(F345, "MMM-YY")</f>
        <v>May-25</v>
      </c>
      <c r="H345" t="s">
        <v>343</v>
      </c>
      <c r="I345" s="25">
        <v>93.48</v>
      </c>
      <c r="J345" s="4">
        <v>250</v>
      </c>
      <c r="K345" t="s">
        <v>927</v>
      </c>
      <c r="L345" s="4" t="str">
        <f>VLOOKUP(K345, 'Items Master'!A:E,5,0)</f>
        <v>RIL</v>
      </c>
      <c r="M345" s="4" t="str">
        <f>VLOOKUP(K345, 'Items Master'!A:D,4,0)</f>
        <v>HDPE</v>
      </c>
      <c r="N345" s="4" t="s">
        <v>49</v>
      </c>
      <c r="Q345" s="6">
        <v>45807</v>
      </c>
      <c r="R345" s="6" t="str">
        <f>TEXT(Q345, "MMM-YY")</f>
        <v>May-25</v>
      </c>
      <c r="X345" s="25">
        <v>93.48</v>
      </c>
      <c r="AB345"/>
      <c r="AC345"/>
      <c r="AD345"/>
      <c r="AE345"/>
      <c r="AF345"/>
      <c r="AG345"/>
      <c r="AH345"/>
      <c r="AI345"/>
      <c r="AJ345"/>
      <c r="AK345"/>
      <c r="AL345"/>
      <c r="AM345"/>
      <c r="AN345" s="9">
        <f t="shared" si="11"/>
        <v>0</v>
      </c>
      <c r="AO345" s="8"/>
      <c r="AP345" s="9">
        <f>I345-W345-X345-AN345</f>
        <v>0</v>
      </c>
      <c r="AQ345" t="s">
        <v>1324</v>
      </c>
    </row>
    <row r="346" spans="1:43" x14ac:dyDescent="0.3">
      <c r="A346" s="11">
        <f t="shared" si="12"/>
        <v>344</v>
      </c>
      <c r="B346" s="5" t="s">
        <v>1675</v>
      </c>
      <c r="C346" t="s">
        <v>893</v>
      </c>
      <c r="D346" s="24" t="s">
        <v>824</v>
      </c>
      <c r="E346" s="24" t="str">
        <f>IFERROR(VLOOKUP(D346,Dropdown!A:B,2,0),D346)</f>
        <v>Paragon</v>
      </c>
      <c r="F346" s="6">
        <v>45807</v>
      </c>
      <c r="G346" s="6" t="str">
        <f>TEXT(F346, "MMM-YY")</f>
        <v>May-25</v>
      </c>
      <c r="H346" t="s">
        <v>343</v>
      </c>
      <c r="I346" s="25">
        <v>108.84</v>
      </c>
      <c r="J346" s="4">
        <v>125</v>
      </c>
      <c r="K346" t="s">
        <v>973</v>
      </c>
      <c r="L346" s="4" t="str">
        <f>VLOOKUP(K346, 'Items Master'!A:E,5,0)</f>
        <v>RIL</v>
      </c>
      <c r="M346" s="4" t="str">
        <f>VLOOKUP(K346, 'Items Master'!A:D,4,0)</f>
        <v>LLDPE</v>
      </c>
      <c r="N346" s="4" t="s">
        <v>49</v>
      </c>
      <c r="Q346" s="6">
        <v>45807</v>
      </c>
      <c r="R346" s="6" t="str">
        <f>TEXT(Q346, "MMM-YY")</f>
        <v>May-25</v>
      </c>
      <c r="X346" s="25">
        <v>108.84</v>
      </c>
      <c r="AB346"/>
      <c r="AC346"/>
      <c r="AD346"/>
      <c r="AE346"/>
      <c r="AF346"/>
      <c r="AG346"/>
      <c r="AH346"/>
      <c r="AI346"/>
      <c r="AJ346"/>
      <c r="AK346"/>
      <c r="AL346"/>
      <c r="AM346"/>
      <c r="AN346" s="9">
        <f t="shared" si="11"/>
        <v>0</v>
      </c>
      <c r="AO346" s="8"/>
      <c r="AP346" s="9">
        <f>I346-W346-X346-AN346</f>
        <v>0</v>
      </c>
      <c r="AQ346" t="s">
        <v>1324</v>
      </c>
    </row>
    <row r="347" spans="1:43" x14ac:dyDescent="0.3">
      <c r="A347" s="11">
        <f t="shared" si="12"/>
        <v>345</v>
      </c>
      <c r="B347" s="5" t="s">
        <v>1675</v>
      </c>
      <c r="C347" t="s">
        <v>893</v>
      </c>
      <c r="D347" s="24" t="s">
        <v>837</v>
      </c>
      <c r="E347" s="24" t="str">
        <f>IFERROR(VLOOKUP(D347,Dropdown!A:B,2,0),D347)</f>
        <v>SYNTHETIC PACKERS LIMITED</v>
      </c>
      <c r="F347" s="6">
        <v>45807</v>
      </c>
      <c r="G347" s="6" t="str">
        <f>TEXT(F347, "MMM-YY")</f>
        <v>May-25</v>
      </c>
      <c r="H347" t="s">
        <v>344</v>
      </c>
      <c r="I347" s="25">
        <v>91.5</v>
      </c>
      <c r="J347" s="4">
        <v>5000</v>
      </c>
      <c r="K347" t="s">
        <v>909</v>
      </c>
      <c r="L347" s="4" t="str">
        <f>VLOOKUP(K347, 'Items Master'!A:E,5,0)</f>
        <v>LUBAN</v>
      </c>
      <c r="M347" s="4" t="str">
        <f>VLOOKUP(K347, 'Items Master'!A:D,4,0)</f>
        <v>HDPE</v>
      </c>
      <c r="N347" s="4" t="s">
        <v>24</v>
      </c>
      <c r="Q347" s="6">
        <v>45807</v>
      </c>
      <c r="R347" s="6" t="str">
        <f>TEXT(Q347, "MMM-YY")</f>
        <v>May-25</v>
      </c>
      <c r="W347" s="25">
        <v>91.5</v>
      </c>
      <c r="Y347"/>
      <c r="Z347"/>
      <c r="AB347"/>
      <c r="AC347"/>
      <c r="AD347"/>
      <c r="AE347"/>
      <c r="AF347"/>
      <c r="AG347"/>
      <c r="AH347"/>
      <c r="AI347"/>
      <c r="AJ347"/>
      <c r="AK347"/>
      <c r="AL347"/>
      <c r="AM347"/>
      <c r="AN347" s="9">
        <f t="shared" si="11"/>
        <v>0</v>
      </c>
      <c r="AO347" s="8"/>
      <c r="AP347" s="9">
        <f>I347-W347-X347-AN347</f>
        <v>0</v>
      </c>
      <c r="AQ347" t="s">
        <v>1316</v>
      </c>
    </row>
    <row r="348" spans="1:43" x14ac:dyDescent="0.3">
      <c r="A348" s="11">
        <f t="shared" si="12"/>
        <v>346</v>
      </c>
      <c r="B348" s="5" t="s">
        <v>1675</v>
      </c>
      <c r="C348" t="s">
        <v>893</v>
      </c>
      <c r="D348" s="24" t="s">
        <v>48</v>
      </c>
      <c r="E348" s="24" t="str">
        <f>IFERROR(VLOOKUP(D348,Dropdown!A:B,2,0),D348)</f>
        <v>CVPL</v>
      </c>
      <c r="F348" s="6">
        <v>45807</v>
      </c>
      <c r="G348" s="6" t="str">
        <f>TEXT(F348, "MMM-YY")</f>
        <v>May-25</v>
      </c>
      <c r="H348" t="s">
        <v>345</v>
      </c>
      <c r="I348" s="25">
        <v>98.19</v>
      </c>
      <c r="J348" s="4">
        <v>2000</v>
      </c>
      <c r="K348" t="s">
        <v>974</v>
      </c>
      <c r="L348" s="4" t="str">
        <f>VLOOKUP(K348, 'Items Master'!A:E,5,0)</f>
        <v>GAIL</v>
      </c>
      <c r="M348" s="4" t="str">
        <f>VLOOKUP(K348, 'Items Master'!A:D,4,0)</f>
        <v>LLDPE</v>
      </c>
      <c r="N348" s="4" t="s">
        <v>49</v>
      </c>
      <c r="O348" t="s">
        <v>1296</v>
      </c>
      <c r="Q348" s="6">
        <v>45807</v>
      </c>
      <c r="R348" s="6" t="str">
        <f>TEXT(Q348, "MMM-YY")</f>
        <v>May-25</v>
      </c>
      <c r="X348" s="25">
        <v>99.68</v>
      </c>
      <c r="AB348"/>
      <c r="AC348"/>
      <c r="AD348"/>
      <c r="AE348"/>
      <c r="AF348"/>
      <c r="AG348"/>
      <c r="AH348"/>
      <c r="AI348"/>
      <c r="AJ348"/>
      <c r="AK348"/>
      <c r="AL348"/>
      <c r="AM348"/>
      <c r="AN348" s="9">
        <f t="shared" si="11"/>
        <v>0</v>
      </c>
      <c r="AO348" s="8"/>
      <c r="AP348" s="9">
        <f>I348-W348-X348-AN348</f>
        <v>-1.4900000000000091</v>
      </c>
      <c r="AQ348" t="s">
        <v>1324</v>
      </c>
    </row>
    <row r="349" spans="1:43" x14ac:dyDescent="0.3">
      <c r="A349" s="11">
        <f t="shared" si="12"/>
        <v>347</v>
      </c>
      <c r="B349" s="5" t="s">
        <v>1675</v>
      </c>
      <c r="C349" t="s">
        <v>893</v>
      </c>
      <c r="D349" s="24" t="s">
        <v>825</v>
      </c>
      <c r="E349" s="24" t="str">
        <f>IFERROR(VLOOKUP(D349,Dropdown!A:B,2,0),D349)</f>
        <v>HARISHREE POLYMERS PRIVATE LIMITED</v>
      </c>
      <c r="F349" s="6">
        <v>45807</v>
      </c>
      <c r="G349" s="6" t="str">
        <f>TEXT(F349, "MMM-YY")</f>
        <v>May-25</v>
      </c>
      <c r="H349" t="s">
        <v>346</v>
      </c>
      <c r="I349" s="25">
        <v>91</v>
      </c>
      <c r="J349" s="4">
        <v>10000</v>
      </c>
      <c r="K349" t="s">
        <v>909</v>
      </c>
      <c r="L349" s="4" t="str">
        <f>VLOOKUP(K349, 'Items Master'!A:E,5,0)</f>
        <v>LUBAN</v>
      </c>
      <c r="M349" s="4" t="str">
        <f>VLOOKUP(K349, 'Items Master'!A:D,4,0)</f>
        <v>HDPE</v>
      </c>
      <c r="N349" s="4" t="s">
        <v>1325</v>
      </c>
      <c r="O349" t="s">
        <v>35</v>
      </c>
      <c r="Q349" s="6">
        <v>45807</v>
      </c>
      <c r="R349" s="6" t="str">
        <f>TEXT(Q349, "MMM-YY")</f>
        <v>May-25</v>
      </c>
      <c r="W349" s="25">
        <v>91</v>
      </c>
      <c r="Y349"/>
      <c r="Z349"/>
      <c r="AB349"/>
      <c r="AC349"/>
      <c r="AD349"/>
      <c r="AE349"/>
      <c r="AF349"/>
      <c r="AG349"/>
      <c r="AH349"/>
      <c r="AI349"/>
      <c r="AJ349"/>
      <c r="AK349"/>
      <c r="AL349"/>
      <c r="AM349"/>
      <c r="AN349" s="9">
        <f t="shared" si="11"/>
        <v>0</v>
      </c>
      <c r="AO349" s="8"/>
      <c r="AP349" s="9">
        <f>I349-W349-X349-AN349</f>
        <v>0</v>
      </c>
      <c r="AQ349" t="s">
        <v>1316</v>
      </c>
    </row>
    <row r="350" spans="1:43" x14ac:dyDescent="0.3">
      <c r="A350" s="11">
        <f t="shared" si="12"/>
        <v>348</v>
      </c>
      <c r="B350" s="5" t="s">
        <v>1675</v>
      </c>
      <c r="C350" t="s">
        <v>894</v>
      </c>
      <c r="D350" s="24" t="s">
        <v>48</v>
      </c>
      <c r="E350" s="24" t="str">
        <f>IFERROR(VLOOKUP(D350,Dropdown!A:B,2,0),D350)</f>
        <v>CVPL</v>
      </c>
      <c r="F350" s="6">
        <v>45807</v>
      </c>
      <c r="G350" s="6" t="str">
        <f>TEXT(F350, "MMM-YY")</f>
        <v>May-25</v>
      </c>
      <c r="H350" t="s">
        <v>347</v>
      </c>
      <c r="I350" s="25">
        <v>99</v>
      </c>
      <c r="J350" s="4">
        <v>25500</v>
      </c>
      <c r="K350" t="s">
        <v>938</v>
      </c>
      <c r="L350" s="4" t="str">
        <f>VLOOKUP(K350, 'Items Master'!A:E,5,0)</f>
        <v>EXXON</v>
      </c>
      <c r="M350" s="4" t="str">
        <f>VLOOKUP(K350, 'Items Master'!A:D,4,0)</f>
        <v>PP</v>
      </c>
      <c r="N350" s="4" t="s">
        <v>24</v>
      </c>
      <c r="Q350" s="6">
        <v>45807</v>
      </c>
      <c r="R350" s="6" t="str">
        <f>TEXT(Q350, "MMM-YY")</f>
        <v>May-25</v>
      </c>
      <c r="W350" s="25">
        <v>99</v>
      </c>
      <c r="Y350"/>
      <c r="Z350"/>
      <c r="AB350"/>
      <c r="AC350"/>
      <c r="AD350"/>
      <c r="AE350"/>
      <c r="AF350"/>
      <c r="AG350"/>
      <c r="AH350"/>
      <c r="AI350"/>
      <c r="AJ350"/>
      <c r="AK350"/>
      <c r="AL350"/>
      <c r="AM350"/>
      <c r="AN350" s="9">
        <f t="shared" si="11"/>
        <v>0</v>
      </c>
      <c r="AO350" s="8"/>
      <c r="AP350" s="9">
        <f>I350-W350-X350-AN350</f>
        <v>0</v>
      </c>
      <c r="AQ350" t="s">
        <v>1316</v>
      </c>
    </row>
    <row r="351" spans="1:43" x14ac:dyDescent="0.3">
      <c r="A351" s="11">
        <f t="shared" si="12"/>
        <v>349</v>
      </c>
      <c r="B351" s="5" t="s">
        <v>1675</v>
      </c>
      <c r="C351" t="s">
        <v>894</v>
      </c>
      <c r="D351" s="24" t="s">
        <v>870</v>
      </c>
      <c r="E351" s="24" t="str">
        <f>IFERROR(VLOOKUP(D351,Dropdown!A:B,2,0),D351)</f>
        <v>LAXMI POLYCHEM INDIA LTD</v>
      </c>
      <c r="F351" s="6">
        <v>45807</v>
      </c>
      <c r="G351" s="6" t="str">
        <f>TEXT(F351, "MMM-YY")</f>
        <v>May-25</v>
      </c>
      <c r="H351" t="s">
        <v>348</v>
      </c>
      <c r="I351" s="25">
        <v>68.5</v>
      </c>
      <c r="J351" s="4">
        <v>13000</v>
      </c>
      <c r="K351" t="s">
        <v>900</v>
      </c>
      <c r="L351" s="4" t="str">
        <f>VLOOKUP(K351, 'Items Master'!A:E,5,0)</f>
        <v>HANWHA</v>
      </c>
      <c r="M351" s="4" t="str">
        <f>VLOOKUP(K351, 'Items Master'!A:D,4,0)</f>
        <v>PVC</v>
      </c>
      <c r="N351" s="4" t="s">
        <v>24</v>
      </c>
      <c r="Q351" s="6">
        <v>45807</v>
      </c>
      <c r="R351" s="6" t="str">
        <f>TEXT(Q351, "MMM-YY")</f>
        <v>May-25</v>
      </c>
      <c r="W351" s="25">
        <v>68.5</v>
      </c>
      <c r="Y351"/>
      <c r="Z351"/>
      <c r="AB351"/>
      <c r="AC351"/>
      <c r="AD351"/>
      <c r="AE351"/>
      <c r="AF351"/>
      <c r="AG351"/>
      <c r="AH351"/>
      <c r="AI351"/>
      <c r="AJ351"/>
      <c r="AK351"/>
      <c r="AL351"/>
      <c r="AM351"/>
      <c r="AN351" s="9">
        <f t="shared" si="11"/>
        <v>0</v>
      </c>
      <c r="AO351" s="8"/>
      <c r="AP351" s="9">
        <f>I351-W351-X351-AN351</f>
        <v>0</v>
      </c>
      <c r="AQ351" t="s">
        <v>1316</v>
      </c>
    </row>
    <row r="352" spans="1:43" x14ac:dyDescent="0.3">
      <c r="A352" s="11">
        <f t="shared" si="12"/>
        <v>350</v>
      </c>
      <c r="B352" s="5" t="s">
        <v>1675</v>
      </c>
      <c r="C352" t="s">
        <v>893</v>
      </c>
      <c r="D352" s="24" t="s">
        <v>824</v>
      </c>
      <c r="E352" s="24" t="str">
        <f>IFERROR(VLOOKUP(D352,Dropdown!A:B,2,0),D352)</f>
        <v>Paragon</v>
      </c>
      <c r="F352" s="6">
        <v>45808</v>
      </c>
      <c r="G352" s="6" t="str">
        <f>TEXT(F352, "MMM-YY")</f>
        <v>May-25</v>
      </c>
      <c r="H352" t="s">
        <v>349</v>
      </c>
      <c r="I352" s="25">
        <v>117.16</v>
      </c>
      <c r="J352" s="4">
        <v>1000</v>
      </c>
      <c r="K352" t="s">
        <v>895</v>
      </c>
      <c r="L352" s="4" t="str">
        <f>VLOOKUP(K352, 'Items Master'!A:E,5,0)</f>
        <v>RIL</v>
      </c>
      <c r="M352" s="4" t="str">
        <f>VLOOKUP(K352, 'Items Master'!A:D,4,0)</f>
        <v>LDPE</v>
      </c>
      <c r="N352" s="4" t="s">
        <v>24</v>
      </c>
      <c r="Q352" s="6">
        <v>45808</v>
      </c>
      <c r="R352" s="6" t="str">
        <f>TEXT(Q352, "MMM-YY")</f>
        <v>May-25</v>
      </c>
      <c r="W352" s="25">
        <v>117.16</v>
      </c>
      <c r="X352"/>
      <c r="Y352"/>
      <c r="Z352"/>
      <c r="AB352"/>
      <c r="AC352"/>
      <c r="AD352"/>
      <c r="AE352"/>
      <c r="AF352"/>
      <c r="AG352"/>
      <c r="AH352"/>
      <c r="AI352"/>
      <c r="AJ352"/>
      <c r="AK352"/>
      <c r="AL352"/>
      <c r="AM352"/>
      <c r="AN352" s="9">
        <f t="shared" si="11"/>
        <v>0</v>
      </c>
      <c r="AO352" s="8"/>
      <c r="AP352" s="9">
        <f>I352-W352-X352-AN352</f>
        <v>0</v>
      </c>
      <c r="AQ352" t="s">
        <v>1316</v>
      </c>
    </row>
    <row r="353" spans="1:43" x14ac:dyDescent="0.3">
      <c r="A353" s="11">
        <f t="shared" si="12"/>
        <v>351</v>
      </c>
      <c r="B353" s="5" t="s">
        <v>1675</v>
      </c>
      <c r="C353" t="s">
        <v>893</v>
      </c>
      <c r="D353" s="24" t="s">
        <v>824</v>
      </c>
      <c r="E353" s="24" t="str">
        <f>IFERROR(VLOOKUP(D353,Dropdown!A:B,2,0),D353)</f>
        <v>Paragon</v>
      </c>
      <c r="F353" s="6">
        <v>45808</v>
      </c>
      <c r="G353" s="6" t="str">
        <f>TEXT(F353, "MMM-YY")</f>
        <v>May-25</v>
      </c>
      <c r="H353" t="s">
        <v>349</v>
      </c>
      <c r="I353" s="25">
        <v>108.78</v>
      </c>
      <c r="J353" s="4">
        <v>1000</v>
      </c>
      <c r="K353" t="s">
        <v>948</v>
      </c>
      <c r="L353" s="4" t="str">
        <f>VLOOKUP(K353, 'Items Master'!A:E,5,0)</f>
        <v>RIL</v>
      </c>
      <c r="M353" s="4" t="str">
        <f>VLOOKUP(K353, 'Items Master'!A:D,4,0)</f>
        <v>PP RCP</v>
      </c>
      <c r="N353" s="4" t="s">
        <v>49</v>
      </c>
      <c r="Q353" s="6">
        <v>45808</v>
      </c>
      <c r="R353" s="6" t="str">
        <f>TEXT(Q353, "MMM-YY")</f>
        <v>May-25</v>
      </c>
      <c r="X353" s="25">
        <v>108.78</v>
      </c>
      <c r="AB353"/>
      <c r="AC353"/>
      <c r="AD353"/>
      <c r="AE353"/>
      <c r="AF353"/>
      <c r="AG353"/>
      <c r="AH353"/>
      <c r="AI353"/>
      <c r="AJ353"/>
      <c r="AK353"/>
      <c r="AL353"/>
      <c r="AM353"/>
      <c r="AN353" s="9">
        <f t="shared" si="11"/>
        <v>0</v>
      </c>
      <c r="AO353" s="8"/>
      <c r="AP353" s="9">
        <f>I353-W353-X353-AN353</f>
        <v>0</v>
      </c>
      <c r="AQ353" t="s">
        <v>1324</v>
      </c>
    </row>
    <row r="354" spans="1:43" x14ac:dyDescent="0.3">
      <c r="A354" s="11">
        <f t="shared" si="12"/>
        <v>352</v>
      </c>
      <c r="B354" s="5" t="s">
        <v>1675</v>
      </c>
      <c r="C354" t="s">
        <v>893</v>
      </c>
      <c r="D354" s="24" t="s">
        <v>824</v>
      </c>
      <c r="E354" s="24" t="str">
        <f>IFERROR(VLOOKUP(D354,Dropdown!A:B,2,0),D354)</f>
        <v>Paragon</v>
      </c>
      <c r="F354" s="6">
        <v>45808</v>
      </c>
      <c r="G354" s="6" t="str">
        <f>TEXT(F354, "MMM-YY")</f>
        <v>May-25</v>
      </c>
      <c r="H354" t="s">
        <v>350</v>
      </c>
      <c r="I354" s="25">
        <v>117.16</v>
      </c>
      <c r="J354" s="4">
        <v>1000</v>
      </c>
      <c r="K354" t="s">
        <v>895</v>
      </c>
      <c r="L354" s="4" t="str">
        <f>VLOOKUP(K354, 'Items Master'!A:E,5,0)</f>
        <v>RIL</v>
      </c>
      <c r="M354" s="4" t="str">
        <f>VLOOKUP(K354, 'Items Master'!A:D,4,0)</f>
        <v>LDPE</v>
      </c>
      <c r="N354" s="4" t="s">
        <v>24</v>
      </c>
      <c r="Q354" s="6">
        <v>45808</v>
      </c>
      <c r="R354" s="6" t="str">
        <f>TEXT(Q354, "MMM-YY")</f>
        <v>May-25</v>
      </c>
      <c r="W354" s="25">
        <v>117.16</v>
      </c>
      <c r="X354"/>
      <c r="Y354"/>
      <c r="Z354"/>
      <c r="AB354"/>
      <c r="AC354"/>
      <c r="AD354"/>
      <c r="AE354"/>
      <c r="AF354"/>
      <c r="AG354"/>
      <c r="AH354"/>
      <c r="AI354"/>
      <c r="AJ354"/>
      <c r="AK354"/>
      <c r="AL354"/>
      <c r="AM354"/>
      <c r="AN354" s="9">
        <f t="shared" si="11"/>
        <v>0</v>
      </c>
      <c r="AO354" s="8"/>
      <c r="AP354" s="9">
        <f>I354-W354-X354-AN354</f>
        <v>0</v>
      </c>
      <c r="AQ354" t="s">
        <v>1316</v>
      </c>
    </row>
    <row r="355" spans="1:43" x14ac:dyDescent="0.3">
      <c r="A355" s="11">
        <f t="shared" si="12"/>
        <v>353</v>
      </c>
      <c r="B355" s="5" t="s">
        <v>1675</v>
      </c>
      <c r="C355" t="s">
        <v>893</v>
      </c>
      <c r="D355" s="24" t="s">
        <v>48</v>
      </c>
      <c r="E355" s="24" t="str">
        <f>IFERROR(VLOOKUP(D355,Dropdown!A:B,2,0),D355)</f>
        <v>CVPL</v>
      </c>
      <c r="F355" s="6">
        <v>45808</v>
      </c>
      <c r="G355" s="6" t="str">
        <f>TEXT(F355, "MMM-YY")</f>
        <v>May-25</v>
      </c>
      <c r="H355" t="s">
        <v>351</v>
      </c>
      <c r="I355" s="25">
        <v>96.9</v>
      </c>
      <c r="J355" s="4">
        <v>5000</v>
      </c>
      <c r="K355" t="s">
        <v>899</v>
      </c>
      <c r="L355" s="4" t="str">
        <f>VLOOKUP(K355, 'Items Master'!A:E,5,0)</f>
        <v>MRPL</v>
      </c>
      <c r="M355" s="4" t="str">
        <f>VLOOKUP(K355, 'Items Master'!A:D,4,0)</f>
        <v>PP</v>
      </c>
      <c r="N355" s="4" t="s">
        <v>49</v>
      </c>
      <c r="O355" t="s">
        <v>20</v>
      </c>
      <c r="Q355" s="6">
        <v>45808</v>
      </c>
      <c r="R355" s="6" t="str">
        <f>TEXT(Q355, "MMM-YY")</f>
        <v>May-25</v>
      </c>
      <c r="X355" s="25">
        <v>98.896000000000001</v>
      </c>
      <c r="AB355"/>
      <c r="AC355"/>
      <c r="AD355"/>
      <c r="AE355"/>
      <c r="AF355"/>
      <c r="AG355"/>
      <c r="AH355"/>
      <c r="AI355"/>
      <c r="AJ355"/>
      <c r="AK355"/>
      <c r="AL355"/>
      <c r="AM355"/>
      <c r="AN355" s="9">
        <f t="shared" si="11"/>
        <v>0</v>
      </c>
      <c r="AO355" s="8"/>
      <c r="AP355" s="9">
        <f>I355-W355-X355-AN355</f>
        <v>-1.9959999999999951</v>
      </c>
      <c r="AQ355" t="s">
        <v>1324</v>
      </c>
    </row>
    <row r="356" spans="1:43" x14ac:dyDescent="0.3">
      <c r="A356" s="11">
        <f t="shared" si="12"/>
        <v>354</v>
      </c>
      <c r="B356" s="5" t="s">
        <v>1675</v>
      </c>
      <c r="C356" t="s">
        <v>893</v>
      </c>
      <c r="D356" s="24" t="s">
        <v>48</v>
      </c>
      <c r="E356" s="24" t="str">
        <f>IFERROR(VLOOKUP(D356,Dropdown!A:B,2,0),D356)</f>
        <v>CVPL</v>
      </c>
      <c r="F356" s="6">
        <v>45808</v>
      </c>
      <c r="G356" s="6" t="str">
        <f>TEXT(F356, "MMM-YY")</f>
        <v>May-25</v>
      </c>
      <c r="H356" t="s">
        <v>351</v>
      </c>
      <c r="I356" s="25">
        <v>98.35</v>
      </c>
      <c r="J356" s="4">
        <v>5000</v>
      </c>
      <c r="K356" t="s">
        <v>901</v>
      </c>
      <c r="L356" s="4" t="str">
        <f>VLOOKUP(K356, 'Items Master'!A:E,5,0)</f>
        <v>MRPL</v>
      </c>
      <c r="M356" s="4" t="str">
        <f>VLOOKUP(K356, 'Items Master'!A:D,4,0)</f>
        <v>PP</v>
      </c>
      <c r="N356" s="4" t="s">
        <v>49</v>
      </c>
      <c r="Q356" s="6">
        <v>45808</v>
      </c>
      <c r="R356" s="6" t="str">
        <f>TEXT(Q356, "MMM-YY")</f>
        <v>May-25</v>
      </c>
      <c r="X356" s="25">
        <v>98.346000000000004</v>
      </c>
      <c r="AB356"/>
      <c r="AC356"/>
      <c r="AD356"/>
      <c r="AE356"/>
      <c r="AF356"/>
      <c r="AG356"/>
      <c r="AH356"/>
      <c r="AI356"/>
      <c r="AJ356"/>
      <c r="AK356"/>
      <c r="AL356"/>
      <c r="AM356"/>
      <c r="AN356" s="9">
        <f t="shared" si="11"/>
        <v>0</v>
      </c>
      <c r="AO356" s="8"/>
      <c r="AP356" s="9">
        <f>I356-W356-X356-AN356</f>
        <v>3.9999999999906777E-3</v>
      </c>
      <c r="AQ356" t="s">
        <v>1324</v>
      </c>
    </row>
    <row r="357" spans="1:43" x14ac:dyDescent="0.3">
      <c r="A357" s="11">
        <f t="shared" si="12"/>
        <v>355</v>
      </c>
      <c r="B357" s="5" t="s">
        <v>1675</v>
      </c>
      <c r="C357" t="s">
        <v>893</v>
      </c>
      <c r="D357" s="24" t="s">
        <v>48</v>
      </c>
      <c r="E357" s="24" t="str">
        <f>IFERROR(VLOOKUP(D357,Dropdown!A:B,2,0),D357)</f>
        <v>CVPL</v>
      </c>
      <c r="F357" s="6">
        <v>45808</v>
      </c>
      <c r="G357" s="6" t="str">
        <f>TEXT(F357, "MMM-YY")</f>
        <v>May-25</v>
      </c>
      <c r="H357" t="s">
        <v>352</v>
      </c>
      <c r="I357" s="25">
        <v>98.19</v>
      </c>
      <c r="J357" s="4">
        <v>2500</v>
      </c>
      <c r="K357" t="s">
        <v>974</v>
      </c>
      <c r="L357" s="4" t="str">
        <f>VLOOKUP(K357, 'Items Master'!A:E,5,0)</f>
        <v>GAIL</v>
      </c>
      <c r="M357" s="4" t="str">
        <f>VLOOKUP(K357, 'Items Master'!A:D,4,0)</f>
        <v>LLDPE</v>
      </c>
      <c r="N357" s="4" t="s">
        <v>49</v>
      </c>
      <c r="O357" t="s">
        <v>20</v>
      </c>
      <c r="Q357" s="6">
        <v>45808</v>
      </c>
      <c r="R357" s="6" t="str">
        <f>TEXT(Q357, "MMM-YY")</f>
        <v>May-25</v>
      </c>
      <c r="X357" s="25">
        <v>99.68</v>
      </c>
      <c r="AB357"/>
      <c r="AC357"/>
      <c r="AD357"/>
      <c r="AE357"/>
      <c r="AF357"/>
      <c r="AG357"/>
      <c r="AH357"/>
      <c r="AI357"/>
      <c r="AJ357"/>
      <c r="AK357"/>
      <c r="AL357"/>
      <c r="AM357"/>
      <c r="AN357" s="9">
        <f t="shared" si="11"/>
        <v>0</v>
      </c>
      <c r="AO357" s="8"/>
      <c r="AP357" s="9">
        <f>I357-W357-X357-AN357</f>
        <v>-1.4900000000000091</v>
      </c>
      <c r="AQ357" t="s">
        <v>1324</v>
      </c>
    </row>
    <row r="358" spans="1:43" x14ac:dyDescent="0.3">
      <c r="A358" s="11">
        <f t="shared" si="12"/>
        <v>356</v>
      </c>
      <c r="B358" s="5" t="s">
        <v>1675</v>
      </c>
      <c r="C358" t="s">
        <v>893</v>
      </c>
      <c r="D358" s="24" t="s">
        <v>838</v>
      </c>
      <c r="E358" s="24" t="str">
        <f>IFERROR(VLOOKUP(D358,Dropdown!A:B,2,0),D358)</f>
        <v>Treenity</v>
      </c>
      <c r="F358" s="6">
        <v>45808</v>
      </c>
      <c r="G358" s="6" t="str">
        <f>TEXT(F358, "MMM-YY")</f>
        <v>May-25</v>
      </c>
      <c r="H358" t="s">
        <v>353</v>
      </c>
      <c r="I358" s="25">
        <v>100.25</v>
      </c>
      <c r="J358" s="4">
        <v>1000</v>
      </c>
      <c r="K358" t="s">
        <v>901</v>
      </c>
      <c r="L358" s="4" t="str">
        <f>VLOOKUP(K358, 'Items Master'!A:E,5,0)</f>
        <v>MRPL</v>
      </c>
      <c r="M358" s="4" t="str">
        <f>VLOOKUP(K358, 'Items Master'!A:D,4,0)</f>
        <v>PP</v>
      </c>
      <c r="N358" s="4" t="s">
        <v>49</v>
      </c>
      <c r="Q358" s="6">
        <v>45808</v>
      </c>
      <c r="R358" s="6" t="str">
        <f>TEXT(Q358, "MMM-YY")</f>
        <v>May-25</v>
      </c>
      <c r="U358" t="s">
        <v>1320</v>
      </c>
      <c r="W358"/>
      <c r="X358" s="8">
        <v>98.35</v>
      </c>
      <c r="Y358" t="s">
        <v>1304</v>
      </c>
      <c r="Z358" t="s">
        <v>1305</v>
      </c>
      <c r="AB358"/>
      <c r="AC358"/>
      <c r="AD358"/>
      <c r="AE358"/>
      <c r="AF358"/>
      <c r="AG358"/>
      <c r="AH358"/>
      <c r="AI358" s="8">
        <v>1.9</v>
      </c>
      <c r="AN358" s="9">
        <f t="shared" si="11"/>
        <v>1.9</v>
      </c>
      <c r="AO358" s="8"/>
      <c r="AP358" s="9">
        <f>I358-W358-X358-AN358</f>
        <v>5.773159728050814E-15</v>
      </c>
      <c r="AQ358" t="s">
        <v>1316</v>
      </c>
    </row>
    <row r="359" spans="1:43" x14ac:dyDescent="0.3">
      <c r="A359" s="11">
        <f t="shared" si="12"/>
        <v>357</v>
      </c>
      <c r="B359" s="5" t="s">
        <v>1675</v>
      </c>
      <c r="C359" t="s">
        <v>893</v>
      </c>
      <c r="D359" s="24" t="s">
        <v>864</v>
      </c>
      <c r="E359" s="24" t="str">
        <f>IFERROR(VLOOKUP(D359,Dropdown!A:B,2,0),D359)</f>
        <v>SVP</v>
      </c>
      <c r="F359" s="6">
        <v>45808</v>
      </c>
      <c r="G359" s="6" t="str">
        <f>TEXT(F359, "MMM-YY")</f>
        <v>May-25</v>
      </c>
      <c r="H359" t="s">
        <v>354</v>
      </c>
      <c r="I359" s="25">
        <v>90</v>
      </c>
      <c r="J359" s="4">
        <v>5000</v>
      </c>
      <c r="K359" t="s">
        <v>929</v>
      </c>
      <c r="L359" s="4" t="str">
        <f>VLOOKUP(K359, 'Items Master'!A:E,5,0)</f>
        <v>HMEL</v>
      </c>
      <c r="M359" s="4" t="str">
        <f>VLOOKUP(K359, 'Items Master'!A:D,4,0)</f>
        <v>HDPE</v>
      </c>
      <c r="N359" s="4" t="s">
        <v>24</v>
      </c>
      <c r="Q359" s="6">
        <v>45808</v>
      </c>
      <c r="R359" s="6" t="str">
        <f>TEXT(Q359, "MMM-YY")</f>
        <v>May-25</v>
      </c>
      <c r="W359" s="25">
        <v>90</v>
      </c>
      <c r="Y359"/>
      <c r="Z359"/>
      <c r="AN359" s="9">
        <f t="shared" si="11"/>
        <v>0</v>
      </c>
      <c r="AO359" s="8"/>
      <c r="AP359" s="9">
        <f>I359-W359-X359-AN359</f>
        <v>0</v>
      </c>
      <c r="AQ359" t="s">
        <v>1316</v>
      </c>
    </row>
    <row r="360" spans="1:43" x14ac:dyDescent="0.3">
      <c r="A360" s="11">
        <f t="shared" si="12"/>
        <v>358</v>
      </c>
      <c r="B360" s="5" t="s">
        <v>1675</v>
      </c>
      <c r="C360" t="s">
        <v>893</v>
      </c>
      <c r="D360" s="24" t="s">
        <v>864</v>
      </c>
      <c r="E360" s="24" t="str">
        <f>IFERROR(VLOOKUP(D360,Dropdown!A:B,2,0),D360)</f>
        <v>SVP</v>
      </c>
      <c r="F360" s="6">
        <v>45808</v>
      </c>
      <c r="G360" s="6" t="str">
        <f>TEXT(F360, "MMM-YY")</f>
        <v>May-25</v>
      </c>
      <c r="H360" t="s">
        <v>354</v>
      </c>
      <c r="I360" s="25">
        <v>91.5</v>
      </c>
      <c r="J360" s="4">
        <v>5000</v>
      </c>
      <c r="K360" t="s">
        <v>975</v>
      </c>
      <c r="L360" s="4" t="str">
        <f>VLOOKUP(K360, 'Items Master'!A:E,5,0)</f>
        <v>HMEL</v>
      </c>
      <c r="M360" s="4" t="str">
        <f>VLOOKUP(K360, 'Items Master'!A:D,4,0)</f>
        <v>LLDPE</v>
      </c>
      <c r="N360" s="4" t="s">
        <v>24</v>
      </c>
      <c r="Q360" s="6">
        <v>45808</v>
      </c>
      <c r="R360" s="6" t="str">
        <f>TEXT(Q360, "MMM-YY")</f>
        <v>May-25</v>
      </c>
      <c r="W360" s="25">
        <v>91.5</v>
      </c>
      <c r="Y360"/>
      <c r="Z360"/>
      <c r="AN360" s="9">
        <f t="shared" si="11"/>
        <v>0</v>
      </c>
      <c r="AO360" s="8"/>
      <c r="AP360" s="9">
        <f>I360-W360-X360-AN360</f>
        <v>0</v>
      </c>
      <c r="AQ360" t="s">
        <v>1316</v>
      </c>
    </row>
    <row r="361" spans="1:43" x14ac:dyDescent="0.3">
      <c r="A361" s="11">
        <f t="shared" si="12"/>
        <v>359</v>
      </c>
      <c r="B361" s="5" t="s">
        <v>1675</v>
      </c>
      <c r="C361" t="s">
        <v>893</v>
      </c>
      <c r="D361" s="24" t="s">
        <v>824</v>
      </c>
      <c r="E361" s="24" t="str">
        <f>IFERROR(VLOOKUP(D361,Dropdown!A:B,2,0),D361)</f>
        <v>Paragon</v>
      </c>
      <c r="F361" s="6">
        <v>45808</v>
      </c>
      <c r="G361" s="6" t="str">
        <f>TEXT(F361, "MMM-YY")</f>
        <v>May-25</v>
      </c>
      <c r="H361" t="s">
        <v>355</v>
      </c>
      <c r="I361" s="25">
        <v>95.68</v>
      </c>
      <c r="J361" s="4">
        <v>7000</v>
      </c>
      <c r="K361" t="s">
        <v>915</v>
      </c>
      <c r="L361" s="4" t="str">
        <f>VLOOKUP(K361, 'Items Master'!A:E,5,0)</f>
        <v>RIL</v>
      </c>
      <c r="M361" s="4" t="str">
        <f>VLOOKUP(K361, 'Items Master'!A:D,4,0)</f>
        <v>LLDPE</v>
      </c>
      <c r="N361" s="4" t="s">
        <v>49</v>
      </c>
      <c r="Q361" s="6">
        <v>45808</v>
      </c>
      <c r="R361" s="6" t="str">
        <f>TEXT(Q361, "MMM-YY")</f>
        <v>May-25</v>
      </c>
      <c r="X361" s="25">
        <v>96.89</v>
      </c>
      <c r="AB361"/>
      <c r="AC361"/>
      <c r="AD361"/>
      <c r="AE361"/>
      <c r="AF361"/>
      <c r="AG361"/>
      <c r="AH361"/>
      <c r="AI361"/>
      <c r="AJ361"/>
      <c r="AK361"/>
      <c r="AL361"/>
      <c r="AM361"/>
      <c r="AN361" s="9">
        <f t="shared" si="11"/>
        <v>0</v>
      </c>
      <c r="AO361" s="8"/>
      <c r="AP361" s="9">
        <f>I361-W361-X361-AN361</f>
        <v>-1.2099999999999937</v>
      </c>
      <c r="AQ361" t="s">
        <v>1324</v>
      </c>
    </row>
    <row r="362" spans="1:43" x14ac:dyDescent="0.3">
      <c r="A362" s="11">
        <f t="shared" si="12"/>
        <v>360</v>
      </c>
      <c r="B362" s="5" t="s">
        <v>1675</v>
      </c>
      <c r="C362" t="s">
        <v>893</v>
      </c>
      <c r="D362" s="24" t="s">
        <v>824</v>
      </c>
      <c r="E362" s="24" t="str">
        <f>IFERROR(VLOOKUP(D362,Dropdown!A:B,2,0),D362)</f>
        <v>Paragon</v>
      </c>
      <c r="F362" s="6">
        <v>45808</v>
      </c>
      <c r="G362" s="6" t="str">
        <f>TEXT(F362, "MMM-YY")</f>
        <v>May-25</v>
      </c>
      <c r="H362" t="s">
        <v>355</v>
      </c>
      <c r="I362" s="25">
        <v>115.95</v>
      </c>
      <c r="J362" s="4">
        <v>3000</v>
      </c>
      <c r="K362" t="s">
        <v>895</v>
      </c>
      <c r="L362" s="4" t="str">
        <f>VLOOKUP(K362, 'Items Master'!A:E,5,0)</f>
        <v>RIL</v>
      </c>
      <c r="M362" s="4" t="str">
        <f>VLOOKUP(K362, 'Items Master'!A:D,4,0)</f>
        <v>LDPE</v>
      </c>
      <c r="N362" s="4" t="s">
        <v>24</v>
      </c>
      <c r="Q362" s="6">
        <v>45808</v>
      </c>
      <c r="R362" s="6" t="str">
        <f>TEXT(Q362, "MMM-YY")</f>
        <v>May-25</v>
      </c>
      <c r="W362" s="25">
        <v>115.95</v>
      </c>
      <c r="X362"/>
      <c r="Y362"/>
      <c r="Z362"/>
      <c r="AB362"/>
      <c r="AC362"/>
      <c r="AD362"/>
      <c r="AE362"/>
      <c r="AF362"/>
      <c r="AG362"/>
      <c r="AH362"/>
      <c r="AI362"/>
      <c r="AJ362"/>
      <c r="AK362"/>
      <c r="AL362"/>
      <c r="AM362"/>
      <c r="AN362" s="9">
        <f t="shared" si="11"/>
        <v>0</v>
      </c>
      <c r="AO362" s="8"/>
      <c r="AP362" s="9">
        <f>I362-W362-X362-AN362</f>
        <v>0</v>
      </c>
      <c r="AQ362" t="s">
        <v>1324</v>
      </c>
    </row>
    <row r="363" spans="1:43" x14ac:dyDescent="0.3">
      <c r="A363" s="11">
        <f t="shared" si="12"/>
        <v>361</v>
      </c>
      <c r="B363" s="5" t="s">
        <v>1675</v>
      </c>
      <c r="C363" t="s">
        <v>893</v>
      </c>
      <c r="D363" s="24" t="s">
        <v>48</v>
      </c>
      <c r="E363" s="24" t="str">
        <f>IFERROR(VLOOKUP(D363,Dropdown!A:B,2,0),D363)</f>
        <v>CVPL</v>
      </c>
      <c r="F363" s="6">
        <v>45808</v>
      </c>
      <c r="G363" s="6" t="str">
        <f>TEXT(F363, "MMM-YY")</f>
        <v>May-25</v>
      </c>
      <c r="H363" t="s">
        <v>356</v>
      </c>
      <c r="I363" s="25">
        <v>95.87</v>
      </c>
      <c r="J363" s="4">
        <v>5000</v>
      </c>
      <c r="K363" t="s">
        <v>952</v>
      </c>
      <c r="L363" s="4" t="str">
        <f>VLOOKUP(K363, 'Items Master'!A:E,5,0)</f>
        <v>GAIL</v>
      </c>
      <c r="M363" s="4" t="str">
        <f>VLOOKUP(K363, 'Items Master'!A:D,4,0)</f>
        <v>HDPE</v>
      </c>
      <c r="N363" s="4" t="s">
        <v>49</v>
      </c>
      <c r="O363" t="s">
        <v>1296</v>
      </c>
      <c r="Q363" s="6">
        <v>45808</v>
      </c>
      <c r="R363" s="6" t="str">
        <f>TEXT(Q363, "MMM-YY")</f>
        <v>May-25</v>
      </c>
      <c r="X363" s="25">
        <v>95.366</v>
      </c>
      <c r="AB363"/>
      <c r="AC363"/>
      <c r="AD363"/>
      <c r="AE363"/>
      <c r="AF363"/>
      <c r="AG363"/>
      <c r="AH363"/>
      <c r="AI363"/>
      <c r="AJ363"/>
      <c r="AK363"/>
      <c r="AL363"/>
      <c r="AM363"/>
      <c r="AN363" s="9">
        <f t="shared" si="11"/>
        <v>0</v>
      </c>
      <c r="AO363" s="8"/>
      <c r="AP363" s="9">
        <f>I363-W363-X363-AN363</f>
        <v>0.50400000000000489</v>
      </c>
      <c r="AQ363" t="s">
        <v>1324</v>
      </c>
    </row>
    <row r="364" spans="1:43" x14ac:dyDescent="0.3">
      <c r="A364" s="11">
        <f t="shared" si="12"/>
        <v>362</v>
      </c>
      <c r="B364" s="5" t="s">
        <v>1675</v>
      </c>
      <c r="C364" t="s">
        <v>894</v>
      </c>
      <c r="D364" s="24" t="s">
        <v>847</v>
      </c>
      <c r="E364" s="24" t="str">
        <f>IFERROR(VLOOKUP(D364,Dropdown!A:B,2,0),D364)</f>
        <v>K V N IMPEX PVT LTD</v>
      </c>
      <c r="F364" s="6">
        <v>45808</v>
      </c>
      <c r="G364" s="6" t="str">
        <f>TEXT(F364, "MMM-YY")</f>
        <v>May-25</v>
      </c>
      <c r="H364" t="s">
        <v>357</v>
      </c>
      <c r="I364" s="25">
        <v>98.25</v>
      </c>
      <c r="J364" s="4">
        <v>16000</v>
      </c>
      <c r="K364" t="s">
        <v>933</v>
      </c>
      <c r="L364" s="4" t="str">
        <f>VLOOKUP(K364, 'Items Master'!A:E,5,0)</f>
        <v>BOROUGE</v>
      </c>
      <c r="M364" s="4" t="str">
        <f>VLOOKUP(K364, 'Items Master'!A:D,4,0)</f>
        <v>PP</v>
      </c>
      <c r="N364" s="4" t="s">
        <v>24</v>
      </c>
      <c r="Q364" s="6">
        <v>45808</v>
      </c>
      <c r="R364" s="6" t="str">
        <f>TEXT(Q364, "MMM-YY")</f>
        <v>May-25</v>
      </c>
      <c r="W364" s="25">
        <v>98.25</v>
      </c>
      <c r="Y364"/>
      <c r="Z364"/>
      <c r="AB364"/>
      <c r="AC364"/>
      <c r="AD364"/>
      <c r="AE364"/>
      <c r="AF364"/>
      <c r="AG364"/>
      <c r="AH364"/>
      <c r="AI364"/>
      <c r="AJ364"/>
      <c r="AK364"/>
      <c r="AL364"/>
      <c r="AM364"/>
      <c r="AN364" s="9">
        <f t="shared" si="11"/>
        <v>0</v>
      </c>
      <c r="AO364" s="8"/>
      <c r="AP364" s="9">
        <f>I364-W364-X364-AN364</f>
        <v>0</v>
      </c>
      <c r="AQ364" t="s">
        <v>1316</v>
      </c>
    </row>
    <row r="365" spans="1:43" x14ac:dyDescent="0.3">
      <c r="A365" s="11">
        <f t="shared" si="12"/>
        <v>363</v>
      </c>
      <c r="B365" s="5" t="s">
        <v>1675</v>
      </c>
      <c r="C365" t="s">
        <v>893</v>
      </c>
      <c r="D365" s="24" t="s">
        <v>871</v>
      </c>
      <c r="E365" s="24" t="str">
        <f>IFERROR(VLOOKUP(D365,Dropdown!A:B,2,0),D365)</f>
        <v>JD POLYMERS PACKAGING SOLUTIONS PRIVATE LIMITED</v>
      </c>
      <c r="F365" s="6">
        <v>45810</v>
      </c>
      <c r="G365" s="6" t="str">
        <f>TEXT(F365, "MMM-YY")</f>
        <v>Jun-25</v>
      </c>
      <c r="H365" t="s">
        <v>358</v>
      </c>
      <c r="I365" s="25">
        <v>94</v>
      </c>
      <c r="J365" s="4">
        <v>1500</v>
      </c>
      <c r="K365" t="s">
        <v>929</v>
      </c>
      <c r="L365" s="4" t="str">
        <f>VLOOKUP(K365, 'Items Master'!A:E,5,0)</f>
        <v>HMEL</v>
      </c>
      <c r="M365" s="4" t="str">
        <f>VLOOKUP(K365, 'Items Master'!A:D,4,0)</f>
        <v>HDPE</v>
      </c>
      <c r="N365" s="4" t="s">
        <v>24</v>
      </c>
      <c r="Q365" s="6">
        <v>45810</v>
      </c>
      <c r="R365" s="6" t="str">
        <f>TEXT(Q365, "MMM-YY")</f>
        <v>Jun-25</v>
      </c>
      <c r="W365" s="25">
        <v>94</v>
      </c>
      <c r="Y365"/>
      <c r="Z365"/>
      <c r="AB365"/>
      <c r="AC365"/>
      <c r="AD365"/>
      <c r="AE365"/>
      <c r="AF365"/>
      <c r="AG365"/>
      <c r="AH365"/>
      <c r="AI365"/>
      <c r="AJ365"/>
      <c r="AK365"/>
      <c r="AL365"/>
      <c r="AM365"/>
      <c r="AN365" s="9">
        <f t="shared" si="11"/>
        <v>0</v>
      </c>
      <c r="AO365" s="8"/>
      <c r="AP365" s="9">
        <f>I365-W365-X365-AN365</f>
        <v>0</v>
      </c>
      <c r="AQ365" t="s">
        <v>1316</v>
      </c>
    </row>
    <row r="366" spans="1:43" x14ac:dyDescent="0.3">
      <c r="A366" s="11">
        <f t="shared" si="12"/>
        <v>364</v>
      </c>
      <c r="B366" s="5" t="s">
        <v>1675</v>
      </c>
      <c r="C366" t="s">
        <v>893</v>
      </c>
      <c r="D366" s="24" t="s">
        <v>48</v>
      </c>
      <c r="E366" s="24" t="str">
        <f>IFERROR(VLOOKUP(D366,Dropdown!A:B,2,0),D366)</f>
        <v>CVPL</v>
      </c>
      <c r="F366" s="6">
        <v>45810</v>
      </c>
      <c r="G366" s="6" t="str">
        <f>TEXT(F366, "MMM-YY")</f>
        <v>Jun-25</v>
      </c>
      <c r="H366" t="s">
        <v>359</v>
      </c>
      <c r="I366" s="25">
        <v>93.25</v>
      </c>
      <c r="J366" s="4">
        <v>2500</v>
      </c>
      <c r="K366" t="s">
        <v>947</v>
      </c>
      <c r="L366" s="4" t="str">
        <f>VLOOKUP(K366, 'Items Master'!A:E,5,0)</f>
        <v>RIL</v>
      </c>
      <c r="M366" s="4" t="str">
        <f>VLOOKUP(K366, 'Items Master'!A:D,4,0)</f>
        <v>LLDPE</v>
      </c>
      <c r="N366" s="4" t="s">
        <v>24</v>
      </c>
      <c r="Q366" s="6">
        <v>45810</v>
      </c>
      <c r="R366" s="6" t="str">
        <f>TEXT(Q366, "MMM-YY")</f>
        <v>Jun-25</v>
      </c>
      <c r="W366" s="25">
        <v>93.25</v>
      </c>
      <c r="Y366"/>
      <c r="Z366"/>
      <c r="AB366"/>
      <c r="AC366"/>
      <c r="AD366"/>
      <c r="AE366"/>
      <c r="AF366"/>
      <c r="AG366"/>
      <c r="AH366"/>
      <c r="AI366"/>
      <c r="AJ366"/>
      <c r="AK366"/>
      <c r="AL366"/>
      <c r="AM366"/>
      <c r="AN366" s="9">
        <f t="shared" si="11"/>
        <v>0</v>
      </c>
      <c r="AO366" s="8"/>
      <c r="AP366" s="9">
        <f>I366-W366-X366-AN366</f>
        <v>0</v>
      </c>
      <c r="AQ366" t="s">
        <v>1316</v>
      </c>
    </row>
    <row r="367" spans="1:43" x14ac:dyDescent="0.3">
      <c r="A367" s="11">
        <f t="shared" si="12"/>
        <v>365</v>
      </c>
      <c r="B367" s="5" t="s">
        <v>1675</v>
      </c>
      <c r="C367" t="s">
        <v>894</v>
      </c>
      <c r="D367" s="24" t="s">
        <v>857</v>
      </c>
      <c r="E367" s="24" t="str">
        <f>IFERROR(VLOOKUP(D367,Dropdown!A:B,2,0),D367)</f>
        <v>Purav</v>
      </c>
      <c r="F367" s="6">
        <v>45810</v>
      </c>
      <c r="G367" s="6" t="str">
        <f>TEXT(F367, "MMM-YY")</f>
        <v>Jun-25</v>
      </c>
      <c r="H367" t="s">
        <v>360</v>
      </c>
      <c r="I367" s="25">
        <v>94.4</v>
      </c>
      <c r="J367" s="4">
        <v>10000</v>
      </c>
      <c r="K367" t="s">
        <v>935</v>
      </c>
      <c r="L367" s="4" t="str">
        <f>VLOOKUP(K367, 'Items Master'!A:E,5,0)</f>
        <v>OPAL</v>
      </c>
      <c r="M367" s="4" t="str">
        <f>VLOOKUP(K367, 'Items Master'!A:D,4,0)</f>
        <v>HDPE</v>
      </c>
      <c r="N367" s="4" t="s">
        <v>49</v>
      </c>
      <c r="O367" t="s">
        <v>1296</v>
      </c>
      <c r="Q367" s="6">
        <v>45808</v>
      </c>
      <c r="R367" s="6" t="str">
        <f>TEXT(Q367, "MMM-YY")</f>
        <v>May-25</v>
      </c>
      <c r="U367" t="s">
        <v>1605</v>
      </c>
      <c r="X367" s="25">
        <v>94.28</v>
      </c>
      <c r="AH367" s="8">
        <v>0.1</v>
      </c>
      <c r="AK367" s="8">
        <v>0.02</v>
      </c>
      <c r="AN367" s="9">
        <f t="shared" si="11"/>
        <v>0.12000000000000001</v>
      </c>
      <c r="AO367" s="8"/>
      <c r="AP367" s="9">
        <f>I367-W367-X367-AN367</f>
        <v>4.5380366131553274E-15</v>
      </c>
      <c r="AQ367" t="s">
        <v>1316</v>
      </c>
    </row>
    <row r="368" spans="1:43" x14ac:dyDescent="0.3">
      <c r="A368" s="11">
        <f t="shared" si="12"/>
        <v>366</v>
      </c>
      <c r="B368" s="5" t="s">
        <v>1675</v>
      </c>
      <c r="C368" t="s">
        <v>894</v>
      </c>
      <c r="D368" s="24" t="s">
        <v>832</v>
      </c>
      <c r="E368" s="24" t="str">
        <f>IFERROR(VLOOKUP(D368,Dropdown!A:B,2,0),D368)</f>
        <v>AMBIKA PETROCHEM PRIVATE LIMITED</v>
      </c>
      <c r="F368" s="6">
        <v>45810</v>
      </c>
      <c r="G368" s="6" t="str">
        <f>TEXT(F368, "MMM-YY")</f>
        <v>Jun-25</v>
      </c>
      <c r="H368" t="s">
        <v>361</v>
      </c>
      <c r="I368" s="25">
        <v>92.25</v>
      </c>
      <c r="J368" s="4">
        <v>12000</v>
      </c>
      <c r="K368" t="s">
        <v>909</v>
      </c>
      <c r="L368" s="4" t="str">
        <f>VLOOKUP(K368, 'Items Master'!A:E,5,0)</f>
        <v>LUBAN</v>
      </c>
      <c r="M368" s="4" t="str">
        <f>VLOOKUP(K368, 'Items Master'!A:D,4,0)</f>
        <v>HDPE</v>
      </c>
      <c r="N368" s="4" t="s">
        <v>24</v>
      </c>
      <c r="Q368" s="6">
        <v>45810</v>
      </c>
      <c r="R368" s="6" t="str">
        <f>TEXT(Q368, "MMM-YY")</f>
        <v>Jun-25</v>
      </c>
      <c r="W368" s="25">
        <v>92.25</v>
      </c>
      <c r="Y368"/>
      <c r="Z368"/>
      <c r="AB368"/>
      <c r="AC368"/>
      <c r="AD368"/>
      <c r="AE368"/>
      <c r="AF368"/>
      <c r="AG368"/>
      <c r="AH368"/>
      <c r="AI368"/>
      <c r="AJ368"/>
      <c r="AK368"/>
      <c r="AL368"/>
      <c r="AM368"/>
      <c r="AN368" s="9">
        <f t="shared" si="11"/>
        <v>0</v>
      </c>
      <c r="AO368" s="8"/>
      <c r="AP368" s="9">
        <f>I368-W368-X368-AN368</f>
        <v>0</v>
      </c>
      <c r="AQ368" t="s">
        <v>1316</v>
      </c>
    </row>
    <row r="369" spans="1:43" x14ac:dyDescent="0.3">
      <c r="A369" s="11">
        <f t="shared" si="12"/>
        <v>367</v>
      </c>
      <c r="B369" s="5" t="s">
        <v>1675</v>
      </c>
      <c r="C369" t="s">
        <v>893</v>
      </c>
      <c r="D369" s="24" t="s">
        <v>48</v>
      </c>
      <c r="E369" s="24" t="str">
        <f>IFERROR(VLOOKUP(D369,Dropdown!A:B,2,0),D369)</f>
        <v>CVPL</v>
      </c>
      <c r="F369" s="6">
        <v>45811</v>
      </c>
      <c r="G369" s="6" t="str">
        <f>TEXT(F369, "MMM-YY")</f>
        <v>Jun-25</v>
      </c>
      <c r="H369" t="s">
        <v>362</v>
      </c>
      <c r="I369" s="25">
        <v>100.37</v>
      </c>
      <c r="J369" s="4">
        <v>2000</v>
      </c>
      <c r="K369" t="s">
        <v>976</v>
      </c>
      <c r="L369" s="4" t="str">
        <f>VLOOKUP(K369, 'Items Master'!A:E,5,0)</f>
        <v>MRPL</v>
      </c>
      <c r="M369" s="4" t="str">
        <f>VLOOKUP(K369, 'Items Master'!A:D,4,0)</f>
        <v>PP</v>
      </c>
      <c r="N369" s="4" t="s">
        <v>49</v>
      </c>
      <c r="O369" t="s">
        <v>1298</v>
      </c>
      <c r="Q369" s="6">
        <v>45811</v>
      </c>
      <c r="R369" s="6" t="str">
        <f>TEXT(Q369, "MMM-YY")</f>
        <v>Jun-25</v>
      </c>
      <c r="X369" s="25">
        <v>98.570999999999998</v>
      </c>
      <c r="AB369"/>
      <c r="AC369"/>
      <c r="AD369"/>
      <c r="AE369"/>
      <c r="AF369"/>
      <c r="AG369"/>
      <c r="AH369"/>
      <c r="AI369"/>
      <c r="AJ369"/>
      <c r="AK369"/>
      <c r="AL369"/>
      <c r="AM369"/>
      <c r="AN369" s="9">
        <f t="shared" si="11"/>
        <v>0</v>
      </c>
      <c r="AO369" s="8"/>
      <c r="AP369" s="9">
        <f>I369-W369-X369-AN369</f>
        <v>1.7990000000000066</v>
      </c>
      <c r="AQ369" t="s">
        <v>1324</v>
      </c>
    </row>
    <row r="370" spans="1:43" x14ac:dyDescent="0.3">
      <c r="A370" s="11">
        <f t="shared" si="12"/>
        <v>368</v>
      </c>
      <c r="B370" s="5" t="s">
        <v>1675</v>
      </c>
      <c r="C370" t="s">
        <v>893</v>
      </c>
      <c r="D370" s="24" t="s">
        <v>838</v>
      </c>
      <c r="E370" s="24" t="str">
        <f>IFERROR(VLOOKUP(D370,Dropdown!A:B,2,0),D370)</f>
        <v>Treenity</v>
      </c>
      <c r="F370" s="6">
        <v>45811</v>
      </c>
      <c r="G370" s="6" t="str">
        <f>TEXT(F370, "MMM-YY")</f>
        <v>Jun-25</v>
      </c>
      <c r="H370" t="s">
        <v>363</v>
      </c>
      <c r="I370" s="25">
        <v>98.8</v>
      </c>
      <c r="J370" s="4">
        <v>2750</v>
      </c>
      <c r="K370" t="s">
        <v>899</v>
      </c>
      <c r="L370" s="4" t="str">
        <f>VLOOKUP(K370, 'Items Master'!A:E,5,0)</f>
        <v>MRPL</v>
      </c>
      <c r="M370" s="4" t="str">
        <f>VLOOKUP(K370, 'Items Master'!A:D,4,0)</f>
        <v>PP</v>
      </c>
      <c r="N370" s="4" t="s">
        <v>49</v>
      </c>
      <c r="Q370" s="6">
        <v>45808</v>
      </c>
      <c r="R370" s="6" t="str">
        <f>TEXT(Q370, "MMM-YY")</f>
        <v>May-25</v>
      </c>
      <c r="U370" t="s">
        <v>1320</v>
      </c>
      <c r="W370"/>
      <c r="X370" s="8">
        <v>96.9</v>
      </c>
      <c r="Y370" t="s">
        <v>1304</v>
      </c>
      <c r="Z370" t="s">
        <v>1305</v>
      </c>
      <c r="AB370"/>
      <c r="AC370"/>
      <c r="AD370"/>
      <c r="AE370"/>
      <c r="AF370"/>
      <c r="AG370"/>
      <c r="AH370"/>
      <c r="AI370" s="8">
        <v>1.9</v>
      </c>
      <c r="AN370" s="9">
        <f t="shared" si="11"/>
        <v>1.9</v>
      </c>
      <c r="AO370" s="8"/>
      <c r="AP370" s="9">
        <f>I370-W370-X370-AN370</f>
        <v>-8.4376949871511897E-15</v>
      </c>
      <c r="AQ370" t="s">
        <v>1316</v>
      </c>
    </row>
    <row r="371" spans="1:43" x14ac:dyDescent="0.3">
      <c r="A371" s="11">
        <f t="shared" si="12"/>
        <v>369</v>
      </c>
      <c r="B371" s="5" t="s">
        <v>1675</v>
      </c>
      <c r="C371" t="s">
        <v>893</v>
      </c>
      <c r="D371" s="24" t="s">
        <v>48</v>
      </c>
      <c r="E371" s="24" t="str">
        <f>IFERROR(VLOOKUP(D371,Dropdown!A:B,2,0),D371)</f>
        <v>CVPL</v>
      </c>
      <c r="F371" s="6">
        <v>45811</v>
      </c>
      <c r="G371" s="6" t="str">
        <f>TEXT(F371, "MMM-YY")</f>
        <v>Jun-25</v>
      </c>
      <c r="H371" t="s">
        <v>364</v>
      </c>
      <c r="I371" s="25">
        <v>94.11</v>
      </c>
      <c r="J371" s="4">
        <v>5000</v>
      </c>
      <c r="K371" t="s">
        <v>926</v>
      </c>
      <c r="L371" s="4" t="str">
        <f>VLOOKUP(K371, 'Items Master'!A:E,5,0)</f>
        <v>GAIL</v>
      </c>
      <c r="M371" s="4" t="str">
        <f>VLOOKUP(K371, 'Items Master'!A:D,4,0)</f>
        <v>HDPE</v>
      </c>
      <c r="N371" s="4" t="s">
        <v>49</v>
      </c>
      <c r="Q371" s="6">
        <v>45808</v>
      </c>
      <c r="R371" s="6" t="str">
        <f>TEXT(Q371, "MMM-YY")</f>
        <v>May-25</v>
      </c>
      <c r="X371" s="25">
        <v>94.105999999999995</v>
      </c>
      <c r="AB371"/>
      <c r="AC371"/>
      <c r="AD371"/>
      <c r="AE371"/>
      <c r="AF371"/>
      <c r="AG371"/>
      <c r="AH371"/>
      <c r="AI371"/>
      <c r="AJ371"/>
      <c r="AK371"/>
      <c r="AL371"/>
      <c r="AM371"/>
      <c r="AN371" s="9">
        <f t="shared" si="11"/>
        <v>0</v>
      </c>
      <c r="AO371" s="8"/>
      <c r="AP371" s="9">
        <f>I371-W371-X371-AN371</f>
        <v>4.0000000000048885E-3</v>
      </c>
      <c r="AQ371" t="s">
        <v>1324</v>
      </c>
    </row>
    <row r="372" spans="1:43" x14ac:dyDescent="0.3">
      <c r="A372" s="11">
        <f t="shared" si="12"/>
        <v>370</v>
      </c>
      <c r="B372" s="5" t="s">
        <v>1675</v>
      </c>
      <c r="C372" t="s">
        <v>893</v>
      </c>
      <c r="D372" s="24" t="s">
        <v>48</v>
      </c>
      <c r="E372" s="24" t="str">
        <f>IFERROR(VLOOKUP(D372,Dropdown!A:B,2,0),D372)</f>
        <v>CVPL</v>
      </c>
      <c r="F372" s="6">
        <v>45812</v>
      </c>
      <c r="G372" s="6" t="str">
        <f>TEXT(F372, "MMM-YY")</f>
        <v>Jun-25</v>
      </c>
      <c r="H372" t="s">
        <v>365</v>
      </c>
      <c r="I372" s="25">
        <v>97.49</v>
      </c>
      <c r="J372" s="4">
        <v>10000</v>
      </c>
      <c r="K372" t="s">
        <v>903</v>
      </c>
      <c r="L372" s="4" t="str">
        <f>VLOOKUP(K372, 'Items Master'!A:E,5,0)</f>
        <v>GAIL</v>
      </c>
      <c r="M372" s="4" t="str">
        <f>VLOOKUP(K372, 'Items Master'!A:D,4,0)</f>
        <v>LLDPE</v>
      </c>
      <c r="N372" s="4" t="s">
        <v>49</v>
      </c>
      <c r="O372" t="s">
        <v>1296</v>
      </c>
      <c r="Q372" s="6">
        <v>45808</v>
      </c>
      <c r="R372" s="6" t="str">
        <f>TEXT(Q372, "MMM-YY")</f>
        <v>May-25</v>
      </c>
      <c r="X372" s="25">
        <v>101.61</v>
      </c>
      <c r="AB372"/>
      <c r="AC372"/>
      <c r="AD372"/>
      <c r="AE372"/>
      <c r="AF372"/>
      <c r="AG372"/>
      <c r="AH372"/>
      <c r="AI372"/>
      <c r="AJ372"/>
      <c r="AK372"/>
      <c r="AL372"/>
      <c r="AM372"/>
      <c r="AN372" s="9">
        <f t="shared" si="11"/>
        <v>0</v>
      </c>
      <c r="AO372" s="8"/>
      <c r="AP372" s="9">
        <f>I372-W372-X372-AN372</f>
        <v>-4.1200000000000045</v>
      </c>
      <c r="AQ372" t="s">
        <v>1324</v>
      </c>
    </row>
    <row r="373" spans="1:43" x14ac:dyDescent="0.3">
      <c r="A373" s="11">
        <f t="shared" si="12"/>
        <v>371</v>
      </c>
      <c r="B373" s="5" t="s">
        <v>1675</v>
      </c>
      <c r="C373" t="s">
        <v>893</v>
      </c>
      <c r="D373" s="24" t="s">
        <v>48</v>
      </c>
      <c r="E373" s="24" t="str">
        <f>IFERROR(VLOOKUP(D373,Dropdown!A:B,2,0),D373)</f>
        <v>CVPL</v>
      </c>
      <c r="F373" s="6">
        <v>45812</v>
      </c>
      <c r="G373" s="6" t="str">
        <f>TEXT(F373, "MMM-YY")</f>
        <v>Jun-25</v>
      </c>
      <c r="H373" t="s">
        <v>366</v>
      </c>
      <c r="I373" s="25">
        <v>97.49</v>
      </c>
      <c r="J373" s="4">
        <v>5000</v>
      </c>
      <c r="K373" t="s">
        <v>903</v>
      </c>
      <c r="L373" s="4" t="str">
        <f>VLOOKUP(K373, 'Items Master'!A:E,5,0)</f>
        <v>GAIL</v>
      </c>
      <c r="M373" s="4" t="str">
        <f>VLOOKUP(K373, 'Items Master'!A:D,4,0)</f>
        <v>LLDPE</v>
      </c>
      <c r="N373" s="4" t="s">
        <v>49</v>
      </c>
      <c r="O373" t="s">
        <v>1296</v>
      </c>
      <c r="Q373" s="6">
        <v>45808</v>
      </c>
      <c r="R373" s="6" t="str">
        <f>TEXT(Q373, "MMM-YY")</f>
        <v>May-25</v>
      </c>
      <c r="X373" s="25">
        <v>97.043999999999997</v>
      </c>
      <c r="AB373"/>
      <c r="AC373"/>
      <c r="AD373"/>
      <c r="AE373"/>
      <c r="AF373"/>
      <c r="AG373"/>
      <c r="AH373"/>
      <c r="AI373"/>
      <c r="AJ373"/>
      <c r="AK373"/>
      <c r="AL373"/>
      <c r="AM373"/>
      <c r="AN373" s="9">
        <f t="shared" si="11"/>
        <v>0</v>
      </c>
      <c r="AO373" s="8"/>
      <c r="AP373" s="9">
        <f>I373-W373-X373-AN373</f>
        <v>0.44599999999999795</v>
      </c>
      <c r="AQ373" t="s">
        <v>1324</v>
      </c>
    </row>
    <row r="374" spans="1:43" x14ac:dyDescent="0.3">
      <c r="A374" s="11">
        <f t="shared" si="12"/>
        <v>372</v>
      </c>
      <c r="B374" s="5" t="s">
        <v>1675</v>
      </c>
      <c r="C374" t="s">
        <v>893</v>
      </c>
      <c r="D374" s="24" t="s">
        <v>48</v>
      </c>
      <c r="E374" s="24" t="str">
        <f>IFERROR(VLOOKUP(D374,Dropdown!A:B,2,0),D374)</f>
        <v>CVPL</v>
      </c>
      <c r="F374" s="6">
        <v>45812</v>
      </c>
      <c r="G374" s="6" t="str">
        <f>TEXT(F374, "MMM-YY")</f>
        <v>Jun-25</v>
      </c>
      <c r="H374" t="s">
        <v>367</v>
      </c>
      <c r="I374" s="25">
        <v>97.49</v>
      </c>
      <c r="J374" s="4">
        <v>3000</v>
      </c>
      <c r="K374" t="s">
        <v>903</v>
      </c>
      <c r="L374" s="4" t="str">
        <f>VLOOKUP(K374, 'Items Master'!A:E,5,0)</f>
        <v>GAIL</v>
      </c>
      <c r="M374" s="4" t="str">
        <f>VLOOKUP(K374, 'Items Master'!A:D,4,0)</f>
        <v>LLDPE</v>
      </c>
      <c r="N374" s="4" t="s">
        <v>49</v>
      </c>
      <c r="O374" t="s">
        <v>1296</v>
      </c>
      <c r="Q374" s="6">
        <v>45808</v>
      </c>
      <c r="R374" s="6" t="str">
        <f>TEXT(Q374, "MMM-YY")</f>
        <v>May-25</v>
      </c>
      <c r="X374" s="25">
        <v>97.043999999999997</v>
      </c>
      <c r="AB374"/>
      <c r="AC374"/>
      <c r="AD374"/>
      <c r="AE374"/>
      <c r="AF374"/>
      <c r="AG374"/>
      <c r="AH374"/>
      <c r="AI374"/>
      <c r="AJ374"/>
      <c r="AK374"/>
      <c r="AL374"/>
      <c r="AM374"/>
      <c r="AN374" s="9">
        <f t="shared" si="11"/>
        <v>0</v>
      </c>
      <c r="AO374" s="8"/>
      <c r="AP374" s="9">
        <f>I374-W374-X374-AN374</f>
        <v>0.44599999999999795</v>
      </c>
      <c r="AQ374" t="s">
        <v>1324</v>
      </c>
    </row>
    <row r="375" spans="1:43" x14ac:dyDescent="0.3">
      <c r="A375" s="11">
        <f t="shared" si="12"/>
        <v>373</v>
      </c>
      <c r="B375" s="5" t="s">
        <v>1675</v>
      </c>
      <c r="C375" t="s">
        <v>893</v>
      </c>
      <c r="D375" s="24" t="s">
        <v>824</v>
      </c>
      <c r="E375" s="24" t="str">
        <f>IFERROR(VLOOKUP(D375,Dropdown!A:B,2,0),D375)</f>
        <v>Paragon</v>
      </c>
      <c r="F375" s="6">
        <v>45812</v>
      </c>
      <c r="G375" s="6" t="str">
        <f>TEXT(F375, "MMM-YY")</f>
        <v>Jun-25</v>
      </c>
      <c r="H375" t="s">
        <v>368</v>
      </c>
      <c r="I375" s="25">
        <v>94.76</v>
      </c>
      <c r="J375" s="4">
        <v>5000</v>
      </c>
      <c r="K375" t="s">
        <v>977</v>
      </c>
      <c r="L375" s="4" t="str">
        <f>VLOOKUP(K375, 'Items Master'!A:E,5,0)</f>
        <v>RIL</v>
      </c>
      <c r="M375" s="4" t="str">
        <f>VLOOKUP(K375, 'Items Master'!A:D,4,0)</f>
        <v>HDPE</v>
      </c>
      <c r="N375" s="4" t="s">
        <v>49</v>
      </c>
      <c r="Q375" s="6">
        <v>45812</v>
      </c>
      <c r="R375" s="6" t="str">
        <f>TEXT(Q375, "MMM-YY")</f>
        <v>Jun-25</v>
      </c>
      <c r="X375" s="25">
        <v>94.46</v>
      </c>
      <c r="AB375"/>
      <c r="AC375"/>
      <c r="AD375"/>
      <c r="AE375"/>
      <c r="AF375"/>
      <c r="AG375"/>
      <c r="AH375"/>
      <c r="AI375"/>
      <c r="AJ375"/>
      <c r="AK375"/>
      <c r="AL375"/>
      <c r="AM375"/>
      <c r="AN375" s="9">
        <f t="shared" si="11"/>
        <v>0</v>
      </c>
      <c r="AO375" s="8"/>
      <c r="AP375" s="9">
        <f>I375-W375-X375-AN375</f>
        <v>0.30000000000001137</v>
      </c>
      <c r="AQ375" t="s">
        <v>1324</v>
      </c>
    </row>
    <row r="376" spans="1:43" x14ac:dyDescent="0.3">
      <c r="A376" s="11">
        <f t="shared" si="12"/>
        <v>374</v>
      </c>
      <c r="B376" s="5" t="s">
        <v>1675</v>
      </c>
      <c r="C376" t="s">
        <v>893</v>
      </c>
      <c r="D376" s="24" t="s">
        <v>857</v>
      </c>
      <c r="E376" s="24" t="str">
        <f>IFERROR(VLOOKUP(D376,Dropdown!A:B,2,0),D376)</f>
        <v>Purav</v>
      </c>
      <c r="F376" s="6">
        <v>45812</v>
      </c>
      <c r="G376" s="6" t="str">
        <f>TEXT(F376, "MMM-YY")</f>
        <v>Jun-25</v>
      </c>
      <c r="H376" t="s">
        <v>369</v>
      </c>
      <c r="I376" s="25">
        <v>93.95</v>
      </c>
      <c r="J376" s="4">
        <v>10000</v>
      </c>
      <c r="K376" t="s">
        <v>896</v>
      </c>
      <c r="L376" s="4" t="str">
        <f>VLOOKUP(K376, 'Items Master'!A:E,5,0)</f>
        <v>OPAL</v>
      </c>
      <c r="M376" s="4" t="str">
        <f>VLOOKUP(K376, 'Items Master'!A:D,4,0)</f>
        <v>HDPE</v>
      </c>
      <c r="N376" s="4" t="s">
        <v>49</v>
      </c>
      <c r="O376" t="s">
        <v>1296</v>
      </c>
      <c r="Q376" s="6">
        <v>45808</v>
      </c>
      <c r="R376" s="6" t="str">
        <f>TEXT(Q376, "MMM-YY")</f>
        <v>May-25</v>
      </c>
      <c r="U376" t="s">
        <v>1605</v>
      </c>
      <c r="X376" s="25">
        <v>94.72</v>
      </c>
      <c r="AB376" s="8">
        <v>-0.9</v>
      </c>
      <c r="AH376" s="8">
        <v>0.1</v>
      </c>
      <c r="AJ376" s="8">
        <v>0.03</v>
      </c>
      <c r="AN376" s="9">
        <f t="shared" si="11"/>
        <v>-0.77</v>
      </c>
      <c r="AO376" s="8"/>
      <c r="AP376" s="9">
        <f>I376-W376-X376-AN376</f>
        <v>3.9968028886505635E-15</v>
      </c>
      <c r="AQ376" t="s">
        <v>1316</v>
      </c>
    </row>
    <row r="377" spans="1:43" x14ac:dyDescent="0.3">
      <c r="A377" s="11">
        <f t="shared" si="12"/>
        <v>375</v>
      </c>
      <c r="B377" s="5" t="s">
        <v>1675</v>
      </c>
      <c r="C377" t="s">
        <v>894</v>
      </c>
      <c r="D377" s="24" t="s">
        <v>857</v>
      </c>
      <c r="E377" s="24" t="str">
        <f>IFERROR(VLOOKUP(D377,Dropdown!A:B,2,0),D377)</f>
        <v>Purav</v>
      </c>
      <c r="F377" s="6">
        <v>45812</v>
      </c>
      <c r="G377" s="6" t="str">
        <f>TEXT(F377, "MMM-YY")</f>
        <v>Jun-25</v>
      </c>
      <c r="H377" t="s">
        <v>370</v>
      </c>
      <c r="I377" s="25">
        <v>93.95</v>
      </c>
      <c r="J377" s="4">
        <v>12000</v>
      </c>
      <c r="K377" t="s">
        <v>896</v>
      </c>
      <c r="L377" s="4" t="str">
        <f>VLOOKUP(K377, 'Items Master'!A:E,5,0)</f>
        <v>OPAL</v>
      </c>
      <c r="M377" s="4" t="str">
        <f>VLOOKUP(K377, 'Items Master'!A:D,4,0)</f>
        <v>HDPE</v>
      </c>
      <c r="N377" s="4" t="s">
        <v>49</v>
      </c>
      <c r="O377" t="s">
        <v>1296</v>
      </c>
      <c r="Q377" s="6">
        <v>45808</v>
      </c>
      <c r="R377" s="6" t="str">
        <f>TEXT(Q377, "MMM-YY")</f>
        <v>May-25</v>
      </c>
      <c r="U377" t="s">
        <v>1605</v>
      </c>
      <c r="X377" s="25">
        <v>94.72</v>
      </c>
      <c r="AB377" s="8">
        <v>-0.9</v>
      </c>
      <c r="AH377" s="8">
        <v>0.1</v>
      </c>
      <c r="AJ377" s="8">
        <v>0.03</v>
      </c>
      <c r="AN377" s="9">
        <f t="shared" si="11"/>
        <v>-0.77</v>
      </c>
      <c r="AO377" s="8"/>
      <c r="AP377" s="9">
        <f>I377-W377-X377-AN377</f>
        <v>3.9968028886505635E-15</v>
      </c>
      <c r="AQ377" t="s">
        <v>1316</v>
      </c>
    </row>
    <row r="378" spans="1:43" x14ac:dyDescent="0.3">
      <c r="A378" s="11">
        <f t="shared" si="12"/>
        <v>376</v>
      </c>
      <c r="B378" s="5" t="s">
        <v>1675</v>
      </c>
      <c r="C378" t="s">
        <v>894</v>
      </c>
      <c r="D378" s="24" t="s">
        <v>837</v>
      </c>
      <c r="E378" s="24" t="str">
        <f>IFERROR(VLOOKUP(D378,Dropdown!A:B,2,0),D378)</f>
        <v>SYNTHETIC PACKERS LIMITED</v>
      </c>
      <c r="F378" s="6">
        <v>45812</v>
      </c>
      <c r="G378" s="6" t="str">
        <f>TEXT(F378, "MMM-YY")</f>
        <v>Jun-25</v>
      </c>
      <c r="H378" t="s">
        <v>371</v>
      </c>
      <c r="I378" s="25">
        <v>90.5</v>
      </c>
      <c r="J378" s="4">
        <v>16000</v>
      </c>
      <c r="K378" t="s">
        <v>906</v>
      </c>
      <c r="L378" s="4" t="str">
        <f>VLOOKUP(K378, 'Items Master'!A:E,5,0)</f>
        <v>EQUATE</v>
      </c>
      <c r="M378" s="4" t="str">
        <f>VLOOKUP(K378, 'Items Master'!A:D,4,0)</f>
        <v>HDPE</v>
      </c>
      <c r="N378" s="4" t="s">
        <v>24</v>
      </c>
      <c r="Q378" s="6">
        <v>45812</v>
      </c>
      <c r="R378" s="6" t="str">
        <f>TEXT(Q378, "MMM-YY")</f>
        <v>Jun-25</v>
      </c>
      <c r="W378" s="25">
        <v>90.5</v>
      </c>
      <c r="Y378"/>
      <c r="Z378"/>
      <c r="AB378"/>
      <c r="AC378"/>
      <c r="AD378"/>
      <c r="AE378"/>
      <c r="AF378"/>
      <c r="AG378"/>
      <c r="AH378"/>
      <c r="AI378"/>
      <c r="AJ378"/>
      <c r="AK378"/>
      <c r="AL378"/>
      <c r="AM378"/>
      <c r="AN378" s="9">
        <f t="shared" si="11"/>
        <v>0</v>
      </c>
      <c r="AO378" s="8"/>
      <c r="AP378" s="9">
        <f>I378-W378-X378-AN378</f>
        <v>0</v>
      </c>
      <c r="AQ378" t="s">
        <v>1316</v>
      </c>
    </row>
    <row r="379" spans="1:43" x14ac:dyDescent="0.3">
      <c r="A379" s="11">
        <f t="shared" si="12"/>
        <v>377</v>
      </c>
      <c r="B379" s="5" t="s">
        <v>1675</v>
      </c>
      <c r="C379" t="s">
        <v>894</v>
      </c>
      <c r="D379" s="24" t="s">
        <v>857</v>
      </c>
      <c r="E379" s="24" t="str">
        <f>IFERROR(VLOOKUP(D379,Dropdown!A:B,2,0),D379)</f>
        <v>Purav</v>
      </c>
      <c r="F379" s="6">
        <v>45812</v>
      </c>
      <c r="G379" s="6" t="str">
        <f>TEXT(F379, "MMM-YY")</f>
        <v>Jun-25</v>
      </c>
      <c r="H379" t="s">
        <v>372</v>
      </c>
      <c r="I379" s="25">
        <v>93.95</v>
      </c>
      <c r="J379" s="4">
        <v>5000</v>
      </c>
      <c r="K379" t="s">
        <v>896</v>
      </c>
      <c r="L379" s="4" t="str">
        <f>VLOOKUP(K379, 'Items Master'!A:E,5,0)</f>
        <v>OPAL</v>
      </c>
      <c r="M379" s="4" t="str">
        <f>VLOOKUP(K379, 'Items Master'!A:D,4,0)</f>
        <v>HDPE</v>
      </c>
      <c r="N379" s="4" t="s">
        <v>49</v>
      </c>
      <c r="O379" t="s">
        <v>1296</v>
      </c>
      <c r="Q379" s="6">
        <v>45808</v>
      </c>
      <c r="R379" s="6" t="str">
        <f>TEXT(Q379, "MMM-YY")</f>
        <v>May-25</v>
      </c>
      <c r="U379" t="s">
        <v>1605</v>
      </c>
      <c r="X379" s="25">
        <v>94.72</v>
      </c>
      <c r="AB379" s="8">
        <v>-0.9</v>
      </c>
      <c r="AH379" s="8">
        <v>0.1</v>
      </c>
      <c r="AJ379" s="8">
        <v>0.03</v>
      </c>
      <c r="AN379" s="9">
        <f t="shared" si="11"/>
        <v>-0.77</v>
      </c>
      <c r="AO379" s="8"/>
      <c r="AP379" s="9">
        <f>I379-W379-X379-AN379</f>
        <v>3.9968028886505635E-15</v>
      </c>
      <c r="AQ379" t="s">
        <v>1316</v>
      </c>
    </row>
    <row r="380" spans="1:43" x14ac:dyDescent="0.3">
      <c r="A380" s="11">
        <f t="shared" si="12"/>
        <v>378</v>
      </c>
      <c r="B380" s="5" t="s">
        <v>1675</v>
      </c>
      <c r="C380" t="s">
        <v>893</v>
      </c>
      <c r="D380" s="24" t="s">
        <v>48</v>
      </c>
      <c r="E380" s="24" t="str">
        <f>IFERROR(VLOOKUP(D380,Dropdown!A:B,2,0),D380)</f>
        <v>CVPL</v>
      </c>
      <c r="F380" s="6">
        <v>45813</v>
      </c>
      <c r="G380" s="6" t="str">
        <f>TEXT(F380, "MMM-YY")</f>
        <v>Jun-25</v>
      </c>
      <c r="H380" t="s">
        <v>373</v>
      </c>
      <c r="I380" s="25">
        <v>97.49</v>
      </c>
      <c r="J380" s="4">
        <v>1000</v>
      </c>
      <c r="K380" t="s">
        <v>903</v>
      </c>
      <c r="L380" s="4" t="str">
        <f>VLOOKUP(K380, 'Items Master'!A:E,5,0)</f>
        <v>GAIL</v>
      </c>
      <c r="M380" s="4" t="str">
        <f>VLOOKUP(K380, 'Items Master'!A:D,4,0)</f>
        <v>LLDPE</v>
      </c>
      <c r="N380" s="4" t="s">
        <v>49</v>
      </c>
      <c r="O380" t="s">
        <v>1296</v>
      </c>
      <c r="Q380" s="6">
        <v>45813</v>
      </c>
      <c r="R380" s="6" t="str">
        <f>TEXT(Q380, "MMM-YY")</f>
        <v>Jun-25</v>
      </c>
      <c r="X380" s="25">
        <v>97.043999999999997</v>
      </c>
      <c r="AB380"/>
      <c r="AC380"/>
      <c r="AD380"/>
      <c r="AE380"/>
      <c r="AF380"/>
      <c r="AG380"/>
      <c r="AH380"/>
      <c r="AI380"/>
      <c r="AJ380"/>
      <c r="AK380"/>
      <c r="AL380"/>
      <c r="AM380"/>
      <c r="AN380" s="9">
        <f t="shared" si="11"/>
        <v>0</v>
      </c>
      <c r="AO380" s="8"/>
      <c r="AP380" s="9">
        <f>I380-W380-X380-AN380</f>
        <v>0.44599999999999795</v>
      </c>
      <c r="AQ380" t="s">
        <v>1324</v>
      </c>
    </row>
    <row r="381" spans="1:43" x14ac:dyDescent="0.3">
      <c r="A381" s="11">
        <f t="shared" si="12"/>
        <v>379</v>
      </c>
      <c r="B381" s="5" t="s">
        <v>1675</v>
      </c>
      <c r="C381" t="s">
        <v>893</v>
      </c>
      <c r="D381" s="24" t="s">
        <v>48</v>
      </c>
      <c r="E381" s="24" t="str">
        <f>IFERROR(VLOOKUP(D381,Dropdown!A:B,2,0),D381)</f>
        <v>CVPL</v>
      </c>
      <c r="F381" s="6">
        <v>45813</v>
      </c>
      <c r="G381" s="6" t="str">
        <f>TEXT(F381, "MMM-YY")</f>
        <v>Jun-25</v>
      </c>
      <c r="H381" t="s">
        <v>374</v>
      </c>
      <c r="I381" s="25">
        <v>97.49</v>
      </c>
      <c r="J381" s="4">
        <v>2000</v>
      </c>
      <c r="K381" t="s">
        <v>903</v>
      </c>
      <c r="L381" s="4" t="str">
        <f>VLOOKUP(K381, 'Items Master'!A:E,5,0)</f>
        <v>GAIL</v>
      </c>
      <c r="M381" s="4" t="str">
        <f>VLOOKUP(K381, 'Items Master'!A:D,4,0)</f>
        <v>LLDPE</v>
      </c>
      <c r="N381" s="4" t="s">
        <v>49</v>
      </c>
      <c r="O381" t="s">
        <v>1296</v>
      </c>
      <c r="Q381" s="6">
        <v>45808</v>
      </c>
      <c r="R381" s="6" t="str">
        <f>TEXT(Q381, "MMM-YY")</f>
        <v>May-25</v>
      </c>
      <c r="X381" s="25">
        <v>97.043999999999997</v>
      </c>
      <c r="AB381"/>
      <c r="AC381"/>
      <c r="AD381"/>
      <c r="AE381"/>
      <c r="AF381"/>
      <c r="AG381"/>
      <c r="AH381"/>
      <c r="AI381"/>
      <c r="AJ381"/>
      <c r="AK381"/>
      <c r="AL381"/>
      <c r="AM381"/>
      <c r="AN381" s="9">
        <f t="shared" si="11"/>
        <v>0</v>
      </c>
      <c r="AO381" s="8"/>
      <c r="AP381" s="9">
        <f>I381-W381-X381-AN381</f>
        <v>0.44599999999999795</v>
      </c>
      <c r="AQ381" t="s">
        <v>1324</v>
      </c>
    </row>
    <row r="382" spans="1:43" x14ac:dyDescent="0.3">
      <c r="A382" s="11">
        <f t="shared" si="12"/>
        <v>380</v>
      </c>
      <c r="B382" s="5" t="s">
        <v>1675</v>
      </c>
      <c r="C382" t="s">
        <v>893</v>
      </c>
      <c r="D382" s="24" t="s">
        <v>872</v>
      </c>
      <c r="E382" s="24" t="str">
        <f>IFERROR(VLOOKUP(D382,Dropdown!A:B,2,0),D382)</f>
        <v>Value</v>
      </c>
      <c r="F382" s="6">
        <v>45813</v>
      </c>
      <c r="G382" s="6" t="str">
        <f>TEXT(F382, "MMM-YY")</f>
        <v>Jun-25</v>
      </c>
      <c r="H382" t="s">
        <v>375</v>
      </c>
      <c r="I382" s="25">
        <v>115.95</v>
      </c>
      <c r="J382" s="4">
        <v>10000</v>
      </c>
      <c r="K382" t="s">
        <v>895</v>
      </c>
      <c r="L382" s="4" t="str">
        <f>VLOOKUP(K382, 'Items Master'!A:E,5,0)</f>
        <v>RIL</v>
      </c>
      <c r="M382" s="4" t="str">
        <f>VLOOKUP(K382, 'Items Master'!A:D,4,0)</f>
        <v>LDPE</v>
      </c>
      <c r="N382" s="4" t="s">
        <v>49</v>
      </c>
      <c r="Q382" s="6">
        <v>45813</v>
      </c>
      <c r="R382" s="6" t="str">
        <f>TEXT(Q382, "MMM-YY")</f>
        <v>Jun-25</v>
      </c>
      <c r="U382" t="s">
        <v>1605</v>
      </c>
      <c r="X382" s="25">
        <v>115.95</v>
      </c>
      <c r="Y382" s="25" t="s">
        <v>1310</v>
      </c>
      <c r="Z382" s="25" t="s">
        <v>1307</v>
      </c>
      <c r="AB382"/>
      <c r="AC382"/>
      <c r="AD382"/>
      <c r="AE382"/>
      <c r="AF382"/>
      <c r="AG382"/>
      <c r="AH382"/>
      <c r="AI382"/>
      <c r="AJ382"/>
      <c r="AK382"/>
      <c r="AL382"/>
      <c r="AM382"/>
      <c r="AN382" s="9">
        <f t="shared" si="11"/>
        <v>0</v>
      </c>
      <c r="AO382" s="8"/>
      <c r="AP382" s="9">
        <f>I382-W382-X382-AN382</f>
        <v>0</v>
      </c>
      <c r="AQ382" t="s">
        <v>1316</v>
      </c>
    </row>
    <row r="383" spans="1:43" x14ac:dyDescent="0.3">
      <c r="A383" s="11">
        <f t="shared" si="12"/>
        <v>381</v>
      </c>
      <c r="B383" s="5" t="s">
        <v>1675</v>
      </c>
      <c r="C383" t="s">
        <v>893</v>
      </c>
      <c r="D383" s="24" t="s">
        <v>838</v>
      </c>
      <c r="E383" s="24" t="str">
        <f>IFERROR(VLOOKUP(D383,Dropdown!A:B,2,0),D383)</f>
        <v>Treenity</v>
      </c>
      <c r="F383" s="6">
        <v>45813</v>
      </c>
      <c r="G383" s="6" t="str">
        <f>TEXT(F383, "MMM-YY")</f>
        <v>Jun-25</v>
      </c>
      <c r="H383" t="s">
        <v>376</v>
      </c>
      <c r="I383" s="25">
        <v>100.25</v>
      </c>
      <c r="J383" s="4">
        <v>1500</v>
      </c>
      <c r="K383" t="s">
        <v>901</v>
      </c>
      <c r="L383" s="4" t="str">
        <f>VLOOKUP(K383, 'Items Master'!A:E,5,0)</f>
        <v>MRPL</v>
      </c>
      <c r="M383" s="4" t="str">
        <f>VLOOKUP(K383, 'Items Master'!A:D,4,0)</f>
        <v>PP</v>
      </c>
      <c r="N383" s="4" t="s">
        <v>49</v>
      </c>
      <c r="Q383" s="6">
        <v>45808</v>
      </c>
      <c r="R383" s="6" t="str">
        <f>TEXT(Q383, "MMM-YY")</f>
        <v>May-25</v>
      </c>
      <c r="U383" t="s">
        <v>1320</v>
      </c>
      <c r="W383"/>
      <c r="X383" s="8">
        <v>98.35</v>
      </c>
      <c r="Y383" t="s">
        <v>1304</v>
      </c>
      <c r="Z383" t="s">
        <v>1305</v>
      </c>
      <c r="AB383"/>
      <c r="AC383"/>
      <c r="AD383"/>
      <c r="AE383"/>
      <c r="AF383"/>
      <c r="AG383"/>
      <c r="AH383"/>
      <c r="AI383" s="8">
        <v>1.9</v>
      </c>
      <c r="AN383" s="9">
        <f t="shared" si="11"/>
        <v>1.9</v>
      </c>
      <c r="AO383" s="8"/>
      <c r="AP383" s="9">
        <f>I383-W383-X383-AN383</f>
        <v>5.773159728050814E-15</v>
      </c>
      <c r="AQ383" t="s">
        <v>1316</v>
      </c>
    </row>
    <row r="384" spans="1:43" x14ac:dyDescent="0.3">
      <c r="A384" s="11">
        <f t="shared" si="12"/>
        <v>382</v>
      </c>
      <c r="B384" s="5" t="s">
        <v>1675</v>
      </c>
      <c r="C384" t="s">
        <v>893</v>
      </c>
      <c r="D384" s="24" t="s">
        <v>838</v>
      </c>
      <c r="E384" s="24" t="str">
        <f>IFERROR(VLOOKUP(D384,Dropdown!A:B,2,0),D384)</f>
        <v>Treenity</v>
      </c>
      <c r="F384" s="6">
        <v>45813</v>
      </c>
      <c r="G384" s="6" t="str">
        <f>TEXT(F384, "MMM-YY")</f>
        <v>Jun-25</v>
      </c>
      <c r="H384" t="s">
        <v>377</v>
      </c>
      <c r="I384" s="25">
        <v>100.25</v>
      </c>
      <c r="J384" s="4">
        <v>1500</v>
      </c>
      <c r="K384" t="s">
        <v>901</v>
      </c>
      <c r="L384" s="4" t="str">
        <f>VLOOKUP(K384, 'Items Master'!A:E,5,0)</f>
        <v>MRPL</v>
      </c>
      <c r="M384" s="4" t="str">
        <f>VLOOKUP(K384, 'Items Master'!A:D,4,0)</f>
        <v>PP</v>
      </c>
      <c r="N384" s="4" t="s">
        <v>49</v>
      </c>
      <c r="Q384" s="6">
        <v>45808</v>
      </c>
      <c r="R384" s="6" t="str">
        <f>TEXT(Q384, "MMM-YY")</f>
        <v>May-25</v>
      </c>
      <c r="U384" t="s">
        <v>1320</v>
      </c>
      <c r="W384"/>
      <c r="X384" s="8">
        <v>98.35</v>
      </c>
      <c r="Y384" t="s">
        <v>1304</v>
      </c>
      <c r="Z384" t="s">
        <v>1305</v>
      </c>
      <c r="AB384"/>
      <c r="AC384"/>
      <c r="AD384"/>
      <c r="AE384"/>
      <c r="AF384"/>
      <c r="AG384"/>
      <c r="AH384"/>
      <c r="AI384" s="8">
        <v>1.9</v>
      </c>
      <c r="AN384" s="9">
        <f t="shared" si="11"/>
        <v>1.9</v>
      </c>
      <c r="AO384" s="8"/>
      <c r="AP384" s="9">
        <f>I384-W384-X384-AN384</f>
        <v>5.773159728050814E-15</v>
      </c>
      <c r="AQ384" t="s">
        <v>1316</v>
      </c>
    </row>
    <row r="385" spans="1:43" x14ac:dyDescent="0.3">
      <c r="A385" s="11">
        <f t="shared" si="12"/>
        <v>383</v>
      </c>
      <c r="B385" s="5" t="s">
        <v>1675</v>
      </c>
      <c r="C385" t="s">
        <v>893</v>
      </c>
      <c r="D385" s="24" t="s">
        <v>838</v>
      </c>
      <c r="E385" s="24" t="str">
        <f>IFERROR(VLOOKUP(D385,Dropdown!A:B,2,0),D385)</f>
        <v>Treenity</v>
      </c>
      <c r="F385" s="6">
        <v>45813</v>
      </c>
      <c r="G385" s="6" t="str">
        <f>TEXT(F385, "MMM-YY")</f>
        <v>Jun-25</v>
      </c>
      <c r="H385" t="s">
        <v>378</v>
      </c>
      <c r="I385" s="25">
        <v>100.25</v>
      </c>
      <c r="J385" s="4">
        <v>5000</v>
      </c>
      <c r="K385" t="s">
        <v>901</v>
      </c>
      <c r="L385" s="4" t="str">
        <f>VLOOKUP(K385, 'Items Master'!A:E,5,0)</f>
        <v>MRPL</v>
      </c>
      <c r="M385" s="4" t="str">
        <f>VLOOKUP(K385, 'Items Master'!A:D,4,0)</f>
        <v>PP</v>
      </c>
      <c r="N385" s="4" t="s">
        <v>49</v>
      </c>
      <c r="Q385" s="6">
        <v>45808</v>
      </c>
      <c r="R385" s="6" t="str">
        <f>TEXT(Q385, "MMM-YY")</f>
        <v>May-25</v>
      </c>
      <c r="U385" t="s">
        <v>1320</v>
      </c>
      <c r="W385"/>
      <c r="X385" s="8">
        <v>98.35</v>
      </c>
      <c r="Y385" t="s">
        <v>1304</v>
      </c>
      <c r="Z385" t="s">
        <v>1305</v>
      </c>
      <c r="AB385"/>
      <c r="AC385"/>
      <c r="AD385"/>
      <c r="AE385"/>
      <c r="AF385"/>
      <c r="AG385"/>
      <c r="AH385"/>
      <c r="AI385" s="8">
        <v>1.9</v>
      </c>
      <c r="AN385" s="9">
        <f t="shared" si="11"/>
        <v>1.9</v>
      </c>
      <c r="AO385" s="8"/>
      <c r="AP385" s="9">
        <f>I385-W385-X385-AN385</f>
        <v>5.773159728050814E-15</v>
      </c>
      <c r="AQ385" t="s">
        <v>1316</v>
      </c>
    </row>
    <row r="386" spans="1:43" x14ac:dyDescent="0.3">
      <c r="A386" s="11">
        <f t="shared" si="12"/>
        <v>384</v>
      </c>
      <c r="B386" s="5" t="s">
        <v>1675</v>
      </c>
      <c r="C386" t="s">
        <v>893</v>
      </c>
      <c r="D386" s="24" t="s">
        <v>838</v>
      </c>
      <c r="E386" s="24" t="str">
        <f>IFERROR(VLOOKUP(D386,Dropdown!A:B,2,0),D386)</f>
        <v>Treenity</v>
      </c>
      <c r="F386" s="6">
        <v>45813</v>
      </c>
      <c r="G386" s="6" t="str">
        <f>TEXT(F386, "MMM-YY")</f>
        <v>Jun-25</v>
      </c>
      <c r="H386" t="s">
        <v>379</v>
      </c>
      <c r="I386" s="25">
        <v>98.65</v>
      </c>
      <c r="J386" s="4">
        <v>7000</v>
      </c>
      <c r="K386" t="s">
        <v>937</v>
      </c>
      <c r="L386" s="4" t="str">
        <f>VLOOKUP(K386, 'Items Master'!A:E,5,0)</f>
        <v>MRPL</v>
      </c>
      <c r="M386" s="4" t="str">
        <f>VLOOKUP(K386, 'Items Master'!A:D,4,0)</f>
        <v>PP</v>
      </c>
      <c r="N386" s="4" t="s">
        <v>49</v>
      </c>
      <c r="Q386" s="6">
        <v>45808</v>
      </c>
      <c r="R386" s="6" t="str">
        <f>TEXT(Q386, "MMM-YY")</f>
        <v>May-25</v>
      </c>
      <c r="U386" t="s">
        <v>1320</v>
      </c>
      <c r="W386"/>
      <c r="X386" s="8">
        <v>96.75</v>
      </c>
      <c r="Y386" t="s">
        <v>1304</v>
      </c>
      <c r="Z386" t="s">
        <v>1305</v>
      </c>
      <c r="AB386"/>
      <c r="AC386"/>
      <c r="AD386"/>
      <c r="AE386"/>
      <c r="AF386"/>
      <c r="AG386"/>
      <c r="AH386"/>
      <c r="AI386" s="8">
        <v>1.9</v>
      </c>
      <c r="AN386" s="9">
        <f t="shared" si="11"/>
        <v>1.9</v>
      </c>
      <c r="AO386" s="8"/>
      <c r="AP386" s="9">
        <f>I386-W386-X386-AN386</f>
        <v>5.773159728050814E-15</v>
      </c>
      <c r="AQ386" t="s">
        <v>1316</v>
      </c>
    </row>
    <row r="387" spans="1:43" x14ac:dyDescent="0.3">
      <c r="A387" s="11">
        <f t="shared" si="12"/>
        <v>385</v>
      </c>
      <c r="B387" s="5" t="s">
        <v>1675</v>
      </c>
      <c r="C387" t="s">
        <v>893</v>
      </c>
      <c r="D387" s="24" t="s">
        <v>838</v>
      </c>
      <c r="E387" s="24" t="str">
        <f>IFERROR(VLOOKUP(D387,Dropdown!A:B,2,0),D387)</f>
        <v>Treenity</v>
      </c>
      <c r="F387" s="6">
        <v>45813</v>
      </c>
      <c r="G387" s="6" t="str">
        <f>TEXT(F387, "MMM-YY")</f>
        <v>Jun-25</v>
      </c>
      <c r="H387" t="s">
        <v>380</v>
      </c>
      <c r="I387" s="25">
        <v>100.25</v>
      </c>
      <c r="J387" s="4">
        <v>3000</v>
      </c>
      <c r="K387" t="s">
        <v>901</v>
      </c>
      <c r="L387" s="4" t="str">
        <f>VLOOKUP(K387, 'Items Master'!A:E,5,0)</f>
        <v>MRPL</v>
      </c>
      <c r="M387" s="4" t="str">
        <f>VLOOKUP(K387, 'Items Master'!A:D,4,0)</f>
        <v>PP</v>
      </c>
      <c r="N387" s="4" t="s">
        <v>49</v>
      </c>
      <c r="Q387" s="6">
        <v>45808</v>
      </c>
      <c r="R387" s="6" t="str">
        <f>TEXT(Q387, "MMM-YY")</f>
        <v>May-25</v>
      </c>
      <c r="U387" t="s">
        <v>1320</v>
      </c>
      <c r="W387"/>
      <c r="X387" s="8">
        <v>98.35</v>
      </c>
      <c r="Y387" t="s">
        <v>1304</v>
      </c>
      <c r="Z387" t="s">
        <v>1305</v>
      </c>
      <c r="AB387"/>
      <c r="AC387"/>
      <c r="AD387"/>
      <c r="AE387"/>
      <c r="AF387"/>
      <c r="AG387"/>
      <c r="AH387"/>
      <c r="AI387" s="8">
        <v>1.9</v>
      </c>
      <c r="AN387" s="9">
        <f t="shared" si="11"/>
        <v>1.9</v>
      </c>
      <c r="AO387" s="8"/>
      <c r="AP387" s="9">
        <f>I387-W387-X387-AN387</f>
        <v>5.773159728050814E-15</v>
      </c>
      <c r="AQ387" t="s">
        <v>1316</v>
      </c>
    </row>
    <row r="388" spans="1:43" x14ac:dyDescent="0.3">
      <c r="A388" s="11">
        <f t="shared" si="12"/>
        <v>386</v>
      </c>
      <c r="B388" s="5" t="s">
        <v>1675</v>
      </c>
      <c r="C388" t="s">
        <v>893</v>
      </c>
      <c r="D388" s="24" t="s">
        <v>844</v>
      </c>
      <c r="E388" s="24" t="str">
        <f>IFERROR(VLOOKUP(D388,Dropdown!A:B,2,0),D388)</f>
        <v>APEX TECHNO POLYMER PRIVATE LIMITED</v>
      </c>
      <c r="F388" s="6">
        <v>45813</v>
      </c>
      <c r="G388" s="6" t="str">
        <f>TEXT(F388, "MMM-YY")</f>
        <v>Jun-25</v>
      </c>
      <c r="H388" t="s">
        <v>381</v>
      </c>
      <c r="I388" s="25">
        <v>136</v>
      </c>
      <c r="J388" s="4">
        <v>500</v>
      </c>
      <c r="K388" t="s">
        <v>978</v>
      </c>
      <c r="L388" s="4" t="str">
        <f>VLOOKUP(K388, 'Items Master'!A:E,5,0)</f>
        <v>TAITA</v>
      </c>
      <c r="M388" s="4" t="str">
        <f>VLOOKUP(K388, 'Items Master'!A:D,4,0)</f>
        <v>ABS</v>
      </c>
      <c r="N388" s="4" t="s">
        <v>24</v>
      </c>
      <c r="Q388" s="6">
        <v>45813</v>
      </c>
      <c r="R388" s="6" t="str">
        <f>TEXT(Q388, "MMM-YY")</f>
        <v>Jun-25</v>
      </c>
      <c r="W388" s="25">
        <v>136</v>
      </c>
      <c r="Y388"/>
      <c r="Z388"/>
      <c r="AB388"/>
      <c r="AC388"/>
      <c r="AD388"/>
      <c r="AE388"/>
      <c r="AF388"/>
      <c r="AG388"/>
      <c r="AH388"/>
      <c r="AI388"/>
      <c r="AJ388"/>
      <c r="AK388"/>
      <c r="AL388"/>
      <c r="AM388"/>
      <c r="AN388" s="9">
        <f t="shared" si="11"/>
        <v>0</v>
      </c>
      <c r="AO388" s="8"/>
      <c r="AP388" s="9">
        <f>I388-W388-X388-AN388</f>
        <v>0</v>
      </c>
      <c r="AQ388" t="s">
        <v>1316</v>
      </c>
    </row>
    <row r="389" spans="1:43" x14ac:dyDescent="0.3">
      <c r="A389" s="11">
        <f t="shared" si="12"/>
        <v>387</v>
      </c>
      <c r="B389" s="5" t="s">
        <v>1675</v>
      </c>
      <c r="C389" t="s">
        <v>893</v>
      </c>
      <c r="D389" s="24" t="s">
        <v>824</v>
      </c>
      <c r="E389" s="24" t="str">
        <f>IFERROR(VLOOKUP(D389,Dropdown!A:B,2,0),D389)</f>
        <v>Paragon</v>
      </c>
      <c r="F389" s="6">
        <v>45813</v>
      </c>
      <c r="G389" s="6" t="str">
        <f>TEXT(F389, "MMM-YY")</f>
        <v>Jun-25</v>
      </c>
      <c r="H389" t="s">
        <v>382</v>
      </c>
      <c r="I389" s="25">
        <v>108.78</v>
      </c>
      <c r="J389" s="4">
        <v>2000</v>
      </c>
      <c r="K389" t="s">
        <v>948</v>
      </c>
      <c r="L389" s="4" t="str">
        <f>VLOOKUP(K389, 'Items Master'!A:E,5,0)</f>
        <v>RIL</v>
      </c>
      <c r="M389" s="4" t="str">
        <f>VLOOKUP(K389, 'Items Master'!A:D,4,0)</f>
        <v>PP RCP</v>
      </c>
      <c r="N389" s="4" t="s">
        <v>49</v>
      </c>
      <c r="Q389" s="6">
        <v>45813</v>
      </c>
      <c r="R389" s="6" t="str">
        <f>TEXT(Q389, "MMM-YY")</f>
        <v>Jun-25</v>
      </c>
      <c r="X389" s="25">
        <v>108.78</v>
      </c>
      <c r="AB389"/>
      <c r="AC389"/>
      <c r="AD389"/>
      <c r="AE389"/>
      <c r="AF389"/>
      <c r="AG389"/>
      <c r="AH389"/>
      <c r="AI389"/>
      <c r="AJ389"/>
      <c r="AK389"/>
      <c r="AL389"/>
      <c r="AM389"/>
      <c r="AN389" s="9">
        <f t="shared" ref="AN389:AN451" si="13">SUM(AB389:AM389)</f>
        <v>0</v>
      </c>
      <c r="AO389" s="8"/>
      <c r="AP389" s="9">
        <f>I389-W389-X389-AN389</f>
        <v>0</v>
      </c>
      <c r="AQ389" t="s">
        <v>1324</v>
      </c>
    </row>
    <row r="390" spans="1:43" x14ac:dyDescent="0.3">
      <c r="A390" s="11">
        <f t="shared" si="12"/>
        <v>388</v>
      </c>
      <c r="B390" s="5" t="s">
        <v>1675</v>
      </c>
      <c r="C390" t="s">
        <v>893</v>
      </c>
      <c r="D390" s="24" t="s">
        <v>838</v>
      </c>
      <c r="E390" s="24" t="str">
        <f>IFERROR(VLOOKUP(D390,Dropdown!A:B,2,0),D390)</f>
        <v>Treenity</v>
      </c>
      <c r="F390" s="6">
        <v>45813</v>
      </c>
      <c r="G390" s="6" t="str">
        <f>TEXT(F390, "MMM-YY")</f>
        <v>Jun-25</v>
      </c>
      <c r="H390" t="s">
        <v>383</v>
      </c>
      <c r="I390" s="25">
        <v>98.65</v>
      </c>
      <c r="J390" s="4">
        <v>12000</v>
      </c>
      <c r="K390" t="s">
        <v>937</v>
      </c>
      <c r="L390" s="4" t="str">
        <f>VLOOKUP(K390, 'Items Master'!A:E,5,0)</f>
        <v>MRPL</v>
      </c>
      <c r="M390" s="4" t="str">
        <f>VLOOKUP(K390, 'Items Master'!A:D,4,0)</f>
        <v>PP</v>
      </c>
      <c r="N390" s="4" t="s">
        <v>49</v>
      </c>
      <c r="Q390" s="6">
        <v>45808</v>
      </c>
      <c r="R390" s="6" t="str">
        <f>TEXT(Q390, "MMM-YY")</f>
        <v>May-25</v>
      </c>
      <c r="U390" t="s">
        <v>1320</v>
      </c>
      <c r="W390"/>
      <c r="X390" s="8">
        <v>96.75</v>
      </c>
      <c r="Y390" t="s">
        <v>1304</v>
      </c>
      <c r="Z390" t="s">
        <v>1305</v>
      </c>
      <c r="AB390"/>
      <c r="AC390"/>
      <c r="AD390"/>
      <c r="AE390"/>
      <c r="AF390"/>
      <c r="AG390"/>
      <c r="AH390"/>
      <c r="AI390" s="8">
        <v>1.9</v>
      </c>
      <c r="AN390" s="9">
        <f t="shared" si="13"/>
        <v>1.9</v>
      </c>
      <c r="AO390" s="8"/>
      <c r="AP390" s="9">
        <f>I390-W390-X390-AN390</f>
        <v>5.773159728050814E-15</v>
      </c>
      <c r="AQ390" t="s">
        <v>1316</v>
      </c>
    </row>
    <row r="391" spans="1:43" x14ac:dyDescent="0.3">
      <c r="A391" s="11">
        <f t="shared" ref="A391:A454" si="14">A390+1</f>
        <v>389</v>
      </c>
      <c r="B391" s="5" t="s">
        <v>1675</v>
      </c>
      <c r="C391" t="s">
        <v>893</v>
      </c>
      <c r="D391" s="24" t="s">
        <v>838</v>
      </c>
      <c r="E391" s="24" t="str">
        <f>IFERROR(VLOOKUP(D391,Dropdown!A:B,2,0),D391)</f>
        <v>Treenity</v>
      </c>
      <c r="F391" s="6">
        <v>45813</v>
      </c>
      <c r="G391" s="6" t="str">
        <f>TEXT(F391, "MMM-YY")</f>
        <v>Jun-25</v>
      </c>
      <c r="H391" t="s">
        <v>384</v>
      </c>
      <c r="I391" s="25">
        <v>98.8</v>
      </c>
      <c r="J391" s="4">
        <v>1750</v>
      </c>
      <c r="K391" t="s">
        <v>899</v>
      </c>
      <c r="L391" s="4" t="str">
        <f>VLOOKUP(K391, 'Items Master'!A:E,5,0)</f>
        <v>MRPL</v>
      </c>
      <c r="M391" s="4" t="str">
        <f>VLOOKUP(K391, 'Items Master'!A:D,4,0)</f>
        <v>PP</v>
      </c>
      <c r="N391" s="4" t="s">
        <v>49</v>
      </c>
      <c r="Q391" s="6">
        <v>45808</v>
      </c>
      <c r="R391" s="6" t="str">
        <f>TEXT(Q391, "MMM-YY")</f>
        <v>May-25</v>
      </c>
      <c r="U391" t="s">
        <v>1320</v>
      </c>
      <c r="W391"/>
      <c r="X391" s="8">
        <v>96.9</v>
      </c>
      <c r="Y391" t="s">
        <v>1304</v>
      </c>
      <c r="Z391" t="s">
        <v>1305</v>
      </c>
      <c r="AB391"/>
      <c r="AC391"/>
      <c r="AD391"/>
      <c r="AE391"/>
      <c r="AF391"/>
      <c r="AG391"/>
      <c r="AH391"/>
      <c r="AI391" s="8">
        <v>1.9</v>
      </c>
      <c r="AN391" s="9">
        <f t="shared" si="13"/>
        <v>1.9</v>
      </c>
      <c r="AO391" s="8"/>
      <c r="AP391" s="9">
        <f>I391-W391-X391-AN391</f>
        <v>-8.4376949871511897E-15</v>
      </c>
      <c r="AQ391" t="s">
        <v>1316</v>
      </c>
    </row>
    <row r="392" spans="1:43" x14ac:dyDescent="0.3">
      <c r="A392" s="11">
        <f t="shared" si="14"/>
        <v>390</v>
      </c>
      <c r="B392" s="5" t="s">
        <v>1675</v>
      </c>
      <c r="C392" t="s">
        <v>893</v>
      </c>
      <c r="D392" s="24" t="s">
        <v>844</v>
      </c>
      <c r="E392" s="24" t="str">
        <f>IFERROR(VLOOKUP(D392,Dropdown!A:B,2,0),D392)</f>
        <v>APEX TECHNO POLYMER PRIVATE LIMITED</v>
      </c>
      <c r="F392" s="6">
        <v>45814</v>
      </c>
      <c r="G392" s="6" t="str">
        <f>TEXT(F392, "MMM-YY")</f>
        <v>Jun-25</v>
      </c>
      <c r="H392" t="s">
        <v>385</v>
      </c>
      <c r="I392" s="25">
        <v>119</v>
      </c>
      <c r="J392" s="4">
        <v>900</v>
      </c>
      <c r="K392" t="s">
        <v>963</v>
      </c>
      <c r="L392" s="4" t="str">
        <f>VLOOKUP(K392, 'Items Master'!A:E,5,0)</f>
        <v>RAVAGO</v>
      </c>
      <c r="M392" s="4" t="str">
        <f>VLOOKUP(K392, 'Items Master'!A:D,4,0)</f>
        <v>PBT</v>
      </c>
      <c r="N392" s="4" t="s">
        <v>24</v>
      </c>
      <c r="Q392" s="6">
        <v>45814</v>
      </c>
      <c r="R392" s="6" t="str">
        <f>TEXT(Q392, "MMM-YY")</f>
        <v>Jun-25</v>
      </c>
      <c r="W392" s="25">
        <v>119</v>
      </c>
      <c r="Y392"/>
      <c r="Z392"/>
      <c r="AB392"/>
      <c r="AC392"/>
      <c r="AD392"/>
      <c r="AE392"/>
      <c r="AF392"/>
      <c r="AG392"/>
      <c r="AH392"/>
      <c r="AI392"/>
      <c r="AJ392"/>
      <c r="AK392"/>
      <c r="AL392"/>
      <c r="AM392"/>
      <c r="AN392" s="9">
        <f t="shared" si="13"/>
        <v>0</v>
      </c>
      <c r="AO392" s="8"/>
      <c r="AP392" s="9">
        <f>I392-W392-X392-AN392</f>
        <v>0</v>
      </c>
      <c r="AQ392" t="s">
        <v>1316</v>
      </c>
    </row>
    <row r="393" spans="1:43" x14ac:dyDescent="0.3">
      <c r="A393" s="11">
        <f t="shared" si="14"/>
        <v>391</v>
      </c>
      <c r="B393" s="5" t="s">
        <v>1675</v>
      </c>
      <c r="C393" t="s">
        <v>893</v>
      </c>
      <c r="D393" s="24" t="s">
        <v>838</v>
      </c>
      <c r="E393" s="24" t="str">
        <f>IFERROR(VLOOKUP(D393,Dropdown!A:B,2,0),D393)</f>
        <v>Treenity</v>
      </c>
      <c r="F393" s="6">
        <v>45814</v>
      </c>
      <c r="G393" s="6" t="str">
        <f>TEXT(F393, "MMM-YY")</f>
        <v>Jun-25</v>
      </c>
      <c r="H393" t="s">
        <v>386</v>
      </c>
      <c r="I393" s="25">
        <v>100.25</v>
      </c>
      <c r="J393" s="4">
        <v>2875</v>
      </c>
      <c r="K393" t="s">
        <v>901</v>
      </c>
      <c r="L393" s="4" t="str">
        <f>VLOOKUP(K393, 'Items Master'!A:E,5,0)</f>
        <v>MRPL</v>
      </c>
      <c r="M393" s="4" t="str">
        <f>VLOOKUP(K393, 'Items Master'!A:D,4,0)</f>
        <v>PP</v>
      </c>
      <c r="N393" s="4" t="s">
        <v>49</v>
      </c>
      <c r="Q393" s="6">
        <v>45808</v>
      </c>
      <c r="R393" s="6" t="str">
        <f>TEXT(Q393, "MMM-YY")</f>
        <v>May-25</v>
      </c>
      <c r="U393" t="s">
        <v>1320</v>
      </c>
      <c r="W393"/>
      <c r="X393" s="8">
        <v>98.35</v>
      </c>
      <c r="Y393" t="s">
        <v>1304</v>
      </c>
      <c r="Z393" t="s">
        <v>1305</v>
      </c>
      <c r="AB393"/>
      <c r="AC393"/>
      <c r="AD393"/>
      <c r="AE393"/>
      <c r="AF393"/>
      <c r="AG393"/>
      <c r="AH393"/>
      <c r="AI393" s="8">
        <v>1.9</v>
      </c>
      <c r="AN393" s="9">
        <f t="shared" si="13"/>
        <v>1.9</v>
      </c>
      <c r="AO393" s="8"/>
      <c r="AP393" s="9">
        <f>I393-W393-X393-AN393</f>
        <v>5.773159728050814E-15</v>
      </c>
      <c r="AQ393" t="s">
        <v>1316</v>
      </c>
    </row>
    <row r="394" spans="1:43" x14ac:dyDescent="0.3">
      <c r="A394" s="11">
        <f t="shared" si="14"/>
        <v>392</v>
      </c>
      <c r="B394" s="5" t="s">
        <v>1675</v>
      </c>
      <c r="C394" t="s">
        <v>893</v>
      </c>
      <c r="D394" s="24" t="s">
        <v>838</v>
      </c>
      <c r="E394" s="24" t="str">
        <f>IFERROR(VLOOKUP(D394,Dropdown!A:B,2,0),D394)</f>
        <v>Treenity</v>
      </c>
      <c r="F394" s="6">
        <v>45814</v>
      </c>
      <c r="G394" s="6" t="str">
        <f>TEXT(F394, "MMM-YY")</f>
        <v>Jun-25</v>
      </c>
      <c r="H394" t="s">
        <v>120</v>
      </c>
      <c r="I394" s="25">
        <v>100.25</v>
      </c>
      <c r="J394" s="4">
        <v>1000</v>
      </c>
      <c r="K394" t="s">
        <v>901</v>
      </c>
      <c r="L394" s="4" t="str">
        <f>VLOOKUP(K394, 'Items Master'!A:E,5,0)</f>
        <v>MRPL</v>
      </c>
      <c r="M394" s="4" t="str">
        <f>VLOOKUP(K394, 'Items Master'!A:D,4,0)</f>
        <v>PP</v>
      </c>
      <c r="N394" s="4" t="s">
        <v>49</v>
      </c>
      <c r="Q394" s="6">
        <v>45808</v>
      </c>
      <c r="R394" s="6" t="str">
        <f>TEXT(Q394, "MMM-YY")</f>
        <v>May-25</v>
      </c>
      <c r="U394" t="s">
        <v>1320</v>
      </c>
      <c r="W394"/>
      <c r="X394" s="8">
        <v>98.35</v>
      </c>
      <c r="Y394" t="s">
        <v>1304</v>
      </c>
      <c r="Z394" t="s">
        <v>1305</v>
      </c>
      <c r="AB394"/>
      <c r="AC394"/>
      <c r="AD394"/>
      <c r="AE394"/>
      <c r="AF394"/>
      <c r="AG394"/>
      <c r="AH394"/>
      <c r="AI394" s="8">
        <v>1.9</v>
      </c>
      <c r="AN394" s="9">
        <f t="shared" si="13"/>
        <v>1.9</v>
      </c>
      <c r="AO394" s="8"/>
      <c r="AP394" s="9">
        <f>I394-W394-X394-AN394</f>
        <v>5.773159728050814E-15</v>
      </c>
      <c r="AQ394" t="s">
        <v>1316</v>
      </c>
    </row>
    <row r="395" spans="1:43" x14ac:dyDescent="0.3">
      <c r="A395" s="11">
        <f t="shared" si="14"/>
        <v>393</v>
      </c>
      <c r="B395" s="5" t="s">
        <v>1675</v>
      </c>
      <c r="C395" t="s">
        <v>893</v>
      </c>
      <c r="D395" s="24" t="s">
        <v>824</v>
      </c>
      <c r="E395" s="24" t="str">
        <f>IFERROR(VLOOKUP(D395,Dropdown!A:B,2,0),D395)</f>
        <v>Paragon</v>
      </c>
      <c r="F395" s="6">
        <v>45814</v>
      </c>
      <c r="G395" s="6" t="str">
        <f>TEXT(F395, "MMM-YY")</f>
        <v>Jun-25</v>
      </c>
      <c r="H395" t="s">
        <v>388</v>
      </c>
      <c r="I395" s="25">
        <v>92.03</v>
      </c>
      <c r="J395" s="4">
        <v>100</v>
      </c>
      <c r="K395" t="s">
        <v>971</v>
      </c>
      <c r="L395" s="4" t="str">
        <f>VLOOKUP(K395, 'Items Master'!A:E,5,0)</f>
        <v>RIL</v>
      </c>
      <c r="M395" s="4" t="str">
        <f>VLOOKUP(K395, 'Items Master'!A:D,4,0)</f>
        <v>HDPE</v>
      </c>
      <c r="N395" s="4" t="s">
        <v>49</v>
      </c>
      <c r="Q395" s="6">
        <v>45814</v>
      </c>
      <c r="R395" s="6" t="str">
        <f>TEXT(Q395, "MMM-YY")</f>
        <v>Jun-25</v>
      </c>
      <c r="AB395"/>
      <c r="AC395"/>
      <c r="AD395"/>
      <c r="AE395"/>
      <c r="AF395"/>
      <c r="AG395"/>
      <c r="AH395"/>
      <c r="AI395"/>
      <c r="AJ395"/>
      <c r="AK395"/>
      <c r="AL395"/>
      <c r="AM395"/>
      <c r="AN395" s="9">
        <f t="shared" si="13"/>
        <v>0</v>
      </c>
      <c r="AO395" s="8"/>
      <c r="AP395" s="9">
        <f>I395-W395-X395-AN395</f>
        <v>92.03</v>
      </c>
      <c r="AQ395" t="s">
        <v>1324</v>
      </c>
    </row>
    <row r="396" spans="1:43" x14ac:dyDescent="0.3">
      <c r="A396" s="11">
        <f t="shared" si="14"/>
        <v>394</v>
      </c>
      <c r="B396" s="5" t="s">
        <v>1675</v>
      </c>
      <c r="C396" t="s">
        <v>893</v>
      </c>
      <c r="D396" s="24" t="s">
        <v>48</v>
      </c>
      <c r="E396" s="24" t="str">
        <f>IFERROR(VLOOKUP(D396,Dropdown!A:B,2,0),D396)</f>
        <v>CVPL</v>
      </c>
      <c r="F396" s="6">
        <v>45815</v>
      </c>
      <c r="G396" s="6" t="str">
        <f>TEXT(F396, "MMM-YY")</f>
        <v>Jun-25</v>
      </c>
      <c r="H396" t="s">
        <v>387</v>
      </c>
      <c r="I396" s="25">
        <v>103</v>
      </c>
      <c r="J396" s="4">
        <v>2000</v>
      </c>
      <c r="K396" t="s">
        <v>966</v>
      </c>
      <c r="L396" s="4" t="str">
        <f>VLOOKUP(K396, 'Items Master'!A:E,5,0)</f>
        <v>MRPL</v>
      </c>
      <c r="M396" s="4" t="str">
        <f>VLOOKUP(K396, 'Items Master'!A:D,4,0)</f>
        <v>PP</v>
      </c>
      <c r="N396" s="4" t="s">
        <v>49</v>
      </c>
      <c r="O396" t="s">
        <v>1296</v>
      </c>
      <c r="Q396" s="6">
        <v>45815</v>
      </c>
      <c r="R396" s="6" t="str">
        <f>TEXT(Q396, "MMM-YY")</f>
        <v>Jun-25</v>
      </c>
      <c r="X396" s="25">
        <v>100.196</v>
      </c>
      <c r="AB396"/>
      <c r="AC396"/>
      <c r="AD396"/>
      <c r="AE396"/>
      <c r="AF396"/>
      <c r="AG396"/>
      <c r="AH396"/>
      <c r="AI396"/>
      <c r="AJ396"/>
      <c r="AK396"/>
      <c r="AL396"/>
      <c r="AM396"/>
      <c r="AN396" s="9">
        <f t="shared" si="13"/>
        <v>0</v>
      </c>
      <c r="AO396" s="8"/>
      <c r="AP396" s="9">
        <f>I396-W396-X396-AN396</f>
        <v>2.804000000000002</v>
      </c>
      <c r="AQ396" t="s">
        <v>1324</v>
      </c>
    </row>
    <row r="397" spans="1:43" x14ac:dyDescent="0.3">
      <c r="A397" s="11">
        <f t="shared" si="14"/>
        <v>395</v>
      </c>
      <c r="B397" s="5" t="s">
        <v>1675</v>
      </c>
      <c r="C397" t="s">
        <v>893</v>
      </c>
      <c r="D397" s="24" t="s">
        <v>866</v>
      </c>
      <c r="E397" s="24" t="str">
        <f>IFERROR(VLOOKUP(D397,Dropdown!A:B,2,0),D397)</f>
        <v>KLENE PAKS LIMITED</v>
      </c>
      <c r="F397" s="6">
        <v>45815</v>
      </c>
      <c r="G397" s="6" t="str">
        <f>TEXT(F397, "MMM-YY")</f>
        <v>Jun-25</v>
      </c>
      <c r="H397" t="s">
        <v>389</v>
      </c>
      <c r="I397" s="25">
        <v>93.75</v>
      </c>
      <c r="J397" s="4">
        <v>2500</v>
      </c>
      <c r="K397" t="s">
        <v>979</v>
      </c>
      <c r="L397" s="4" t="str">
        <f>VLOOKUP(K397, 'Items Master'!A:E,5,0)</f>
        <v>IOCL</v>
      </c>
      <c r="M397" s="4" t="str">
        <f>VLOOKUP(K397, 'Items Master'!A:D,4,0)</f>
        <v>PP</v>
      </c>
      <c r="N397" s="4" t="s">
        <v>1325</v>
      </c>
      <c r="O397" t="s">
        <v>1299</v>
      </c>
      <c r="Q397" s="6">
        <v>45815</v>
      </c>
      <c r="R397" s="6" t="str">
        <f>TEXT(Q397, "MMM-YY")</f>
        <v>Jun-25</v>
      </c>
      <c r="S397" t="s">
        <v>21</v>
      </c>
      <c r="W397" s="25">
        <v>93.75</v>
      </c>
      <c r="AB397"/>
      <c r="AC397"/>
      <c r="AD397"/>
      <c r="AE397"/>
      <c r="AF397"/>
      <c r="AG397"/>
      <c r="AH397"/>
      <c r="AI397"/>
      <c r="AJ397"/>
      <c r="AK397"/>
      <c r="AL397"/>
      <c r="AM397"/>
      <c r="AN397" s="9">
        <f t="shared" si="13"/>
        <v>0</v>
      </c>
      <c r="AO397" s="8"/>
      <c r="AP397" s="9">
        <f>I397-W397-X397-AN397</f>
        <v>0</v>
      </c>
      <c r="AQ397" t="s">
        <v>1316</v>
      </c>
    </row>
    <row r="398" spans="1:43" x14ac:dyDescent="0.3">
      <c r="A398" s="11">
        <f t="shared" si="14"/>
        <v>396</v>
      </c>
      <c r="B398" s="5" t="s">
        <v>1675</v>
      </c>
      <c r="C398" t="s">
        <v>893</v>
      </c>
      <c r="D398" s="24" t="s">
        <v>866</v>
      </c>
      <c r="E398" s="24" t="str">
        <f>IFERROR(VLOOKUP(D398,Dropdown!A:B,2,0),D398)</f>
        <v>KLENE PAKS LIMITED</v>
      </c>
      <c r="F398" s="6">
        <v>45815</v>
      </c>
      <c r="G398" s="6" t="str">
        <f>TEXT(F398, "MMM-YY")</f>
        <v>Jun-25</v>
      </c>
      <c r="H398" t="s">
        <v>390</v>
      </c>
      <c r="I398" s="25">
        <v>93.75</v>
      </c>
      <c r="J398" s="4">
        <v>2500</v>
      </c>
      <c r="K398" t="s">
        <v>979</v>
      </c>
      <c r="L398" s="4" t="str">
        <f>VLOOKUP(K398, 'Items Master'!A:E,5,0)</f>
        <v>IOCL</v>
      </c>
      <c r="M398" s="4" t="str">
        <f>VLOOKUP(K398, 'Items Master'!A:D,4,0)</f>
        <v>PP</v>
      </c>
      <c r="N398" s="4" t="s">
        <v>1325</v>
      </c>
      <c r="O398" t="s">
        <v>1299</v>
      </c>
      <c r="Q398" s="6">
        <v>45815</v>
      </c>
      <c r="R398" s="6" t="str">
        <f>TEXT(Q398, "MMM-YY")</f>
        <v>Jun-25</v>
      </c>
      <c r="S398" t="s">
        <v>21</v>
      </c>
      <c r="W398" s="25">
        <v>93.75</v>
      </c>
      <c r="AB398"/>
      <c r="AC398"/>
      <c r="AD398"/>
      <c r="AE398"/>
      <c r="AF398"/>
      <c r="AG398"/>
      <c r="AH398"/>
      <c r="AI398"/>
      <c r="AJ398"/>
      <c r="AK398"/>
      <c r="AL398"/>
      <c r="AM398"/>
      <c r="AN398" s="9">
        <f t="shared" si="13"/>
        <v>0</v>
      </c>
      <c r="AO398" s="8"/>
      <c r="AP398" s="9">
        <f>I398-W398-X398-AN398</f>
        <v>0</v>
      </c>
      <c r="AQ398" t="s">
        <v>1316</v>
      </c>
    </row>
    <row r="399" spans="1:43" x14ac:dyDescent="0.3">
      <c r="A399" s="11">
        <f t="shared" si="14"/>
        <v>397</v>
      </c>
      <c r="B399" s="5" t="s">
        <v>1675</v>
      </c>
      <c r="C399" t="s">
        <v>893</v>
      </c>
      <c r="D399" s="24" t="s">
        <v>866</v>
      </c>
      <c r="E399" s="24" t="str">
        <f>IFERROR(VLOOKUP(D399,Dropdown!A:B,2,0),D399)</f>
        <v>KLENE PAKS LIMITED</v>
      </c>
      <c r="F399" s="6">
        <v>45815</v>
      </c>
      <c r="G399" s="6" t="str">
        <f>TEXT(F399, "MMM-YY")</f>
        <v>Jun-25</v>
      </c>
      <c r="H399" t="s">
        <v>391</v>
      </c>
      <c r="I399" s="25">
        <v>93.75</v>
      </c>
      <c r="J399" s="4">
        <v>2500</v>
      </c>
      <c r="K399" t="s">
        <v>979</v>
      </c>
      <c r="L399" s="4" t="str">
        <f>VLOOKUP(K399, 'Items Master'!A:E,5,0)</f>
        <v>IOCL</v>
      </c>
      <c r="M399" s="4" t="str">
        <f>VLOOKUP(K399, 'Items Master'!A:D,4,0)</f>
        <v>PP</v>
      </c>
      <c r="N399" s="4" t="s">
        <v>1325</v>
      </c>
      <c r="O399" t="s">
        <v>1299</v>
      </c>
      <c r="Q399" s="6">
        <v>45815</v>
      </c>
      <c r="R399" s="6" t="str">
        <f>TEXT(Q399, "MMM-YY")</f>
        <v>Jun-25</v>
      </c>
      <c r="S399" t="s">
        <v>21</v>
      </c>
      <c r="W399" s="25">
        <v>93.75</v>
      </c>
      <c r="AB399"/>
      <c r="AC399"/>
      <c r="AD399"/>
      <c r="AE399"/>
      <c r="AF399"/>
      <c r="AG399"/>
      <c r="AH399"/>
      <c r="AI399"/>
      <c r="AJ399"/>
      <c r="AK399"/>
      <c r="AL399"/>
      <c r="AM399"/>
      <c r="AN399" s="9">
        <f t="shared" si="13"/>
        <v>0</v>
      </c>
      <c r="AO399" s="8"/>
      <c r="AP399" s="9">
        <f>I399-W399-X399-AN399</f>
        <v>0</v>
      </c>
      <c r="AQ399" t="s">
        <v>1316</v>
      </c>
    </row>
    <row r="400" spans="1:43" x14ac:dyDescent="0.3">
      <c r="A400" s="11">
        <f t="shared" si="14"/>
        <v>398</v>
      </c>
      <c r="B400" s="5" t="s">
        <v>1675</v>
      </c>
      <c r="C400" t="s">
        <v>893</v>
      </c>
      <c r="D400" s="24" t="s">
        <v>838</v>
      </c>
      <c r="E400" s="24" t="str">
        <f>IFERROR(VLOOKUP(D400,Dropdown!A:B,2,0),D400)</f>
        <v>Treenity</v>
      </c>
      <c r="F400" s="6">
        <v>45815</v>
      </c>
      <c r="G400" s="6" t="str">
        <f>TEXT(F400, "MMM-YY")</f>
        <v>Jun-25</v>
      </c>
      <c r="H400" t="s">
        <v>392</v>
      </c>
      <c r="I400" s="25">
        <v>100.25</v>
      </c>
      <c r="J400" s="4">
        <v>2000</v>
      </c>
      <c r="K400" t="s">
        <v>901</v>
      </c>
      <c r="L400" s="4" t="str">
        <f>VLOOKUP(K400, 'Items Master'!A:E,5,0)</f>
        <v>MRPL</v>
      </c>
      <c r="M400" s="4" t="str">
        <f>VLOOKUP(K400, 'Items Master'!A:D,4,0)</f>
        <v>PP</v>
      </c>
      <c r="N400" s="4" t="s">
        <v>49</v>
      </c>
      <c r="Q400" s="6">
        <v>45808</v>
      </c>
      <c r="R400" s="6" t="str">
        <f>TEXT(Q400, "MMM-YY")</f>
        <v>May-25</v>
      </c>
      <c r="U400" t="s">
        <v>1320</v>
      </c>
      <c r="W400"/>
      <c r="X400" s="8">
        <v>98.35</v>
      </c>
      <c r="Y400" t="s">
        <v>1304</v>
      </c>
      <c r="Z400" t="s">
        <v>1305</v>
      </c>
      <c r="AB400"/>
      <c r="AC400"/>
      <c r="AD400"/>
      <c r="AE400"/>
      <c r="AF400"/>
      <c r="AG400"/>
      <c r="AH400"/>
      <c r="AI400" s="8">
        <v>1.9</v>
      </c>
      <c r="AN400" s="9">
        <f t="shared" si="13"/>
        <v>1.9</v>
      </c>
      <c r="AO400" s="8"/>
      <c r="AP400" s="9">
        <f>I400-W400-X400-AN400</f>
        <v>5.773159728050814E-15</v>
      </c>
      <c r="AQ400" t="s">
        <v>1316</v>
      </c>
    </row>
    <row r="401" spans="1:43" x14ac:dyDescent="0.3">
      <c r="A401" s="11">
        <f t="shared" si="14"/>
        <v>399</v>
      </c>
      <c r="B401" s="5" t="s">
        <v>1675</v>
      </c>
      <c r="C401" t="s">
        <v>893</v>
      </c>
      <c r="D401" s="24" t="s">
        <v>838</v>
      </c>
      <c r="E401" s="24" t="str">
        <f>IFERROR(VLOOKUP(D401,Dropdown!A:B,2,0),D401)</f>
        <v>Treenity</v>
      </c>
      <c r="F401" s="6">
        <v>45815</v>
      </c>
      <c r="G401" s="6" t="str">
        <f>TEXT(F401, "MMM-YY")</f>
        <v>Jun-25</v>
      </c>
      <c r="H401" t="s">
        <v>124</v>
      </c>
      <c r="I401" s="25">
        <v>98.65</v>
      </c>
      <c r="J401" s="4">
        <v>1500</v>
      </c>
      <c r="K401" t="s">
        <v>937</v>
      </c>
      <c r="L401" s="4" t="str">
        <f>VLOOKUP(K401, 'Items Master'!A:E,5,0)</f>
        <v>MRPL</v>
      </c>
      <c r="M401" s="4" t="str">
        <f>VLOOKUP(K401, 'Items Master'!A:D,4,0)</f>
        <v>PP</v>
      </c>
      <c r="N401" s="4" t="s">
        <v>49</v>
      </c>
      <c r="Q401" s="6">
        <v>45815</v>
      </c>
      <c r="R401" s="6" t="str">
        <f>TEXT(Q401, "MMM-YY")</f>
        <v>Jun-25</v>
      </c>
      <c r="W401"/>
      <c r="X401" s="8">
        <v>96.75</v>
      </c>
      <c r="Y401" t="s">
        <v>1304</v>
      </c>
      <c r="Z401" t="s">
        <v>1305</v>
      </c>
      <c r="AI401" s="8">
        <v>1.9</v>
      </c>
      <c r="AN401" s="9">
        <f t="shared" si="13"/>
        <v>1.9</v>
      </c>
      <c r="AO401" s="8"/>
      <c r="AP401" s="9">
        <f>I401-W401-X401-AN401</f>
        <v>5.773159728050814E-15</v>
      </c>
      <c r="AQ401" t="s">
        <v>1316</v>
      </c>
    </row>
    <row r="402" spans="1:43" x14ac:dyDescent="0.3">
      <c r="A402" s="11">
        <f t="shared" si="14"/>
        <v>400</v>
      </c>
      <c r="B402" s="5" t="s">
        <v>1675</v>
      </c>
      <c r="C402" t="s">
        <v>893</v>
      </c>
      <c r="D402" s="24" t="s">
        <v>48</v>
      </c>
      <c r="E402" s="24" t="str">
        <f>IFERROR(VLOOKUP(D402,Dropdown!A:B,2,0),D402)</f>
        <v>CVPL</v>
      </c>
      <c r="F402" s="6">
        <v>45815</v>
      </c>
      <c r="G402" s="6" t="str">
        <f>TEXT(F402, "MMM-YY")</f>
        <v>Jun-25</v>
      </c>
      <c r="H402" t="s">
        <v>393</v>
      </c>
      <c r="I402" s="25">
        <v>98.65</v>
      </c>
      <c r="J402" s="4">
        <v>5000</v>
      </c>
      <c r="K402" t="s">
        <v>937</v>
      </c>
      <c r="L402" s="4" t="str">
        <f>VLOOKUP(K402, 'Items Master'!A:E,5,0)</f>
        <v>MRPL</v>
      </c>
      <c r="M402" s="4" t="str">
        <f>VLOOKUP(K402, 'Items Master'!A:D,4,0)</f>
        <v>PP</v>
      </c>
      <c r="N402" s="4" t="s">
        <v>49</v>
      </c>
      <c r="O402" t="s">
        <v>1296</v>
      </c>
      <c r="Q402" s="6">
        <v>45808</v>
      </c>
      <c r="R402" s="6" t="str">
        <f>TEXT(Q402, "MMM-YY")</f>
        <v>May-25</v>
      </c>
      <c r="X402" s="25">
        <v>96.745999999999995</v>
      </c>
      <c r="AB402"/>
      <c r="AC402"/>
      <c r="AD402"/>
      <c r="AE402"/>
      <c r="AF402"/>
      <c r="AG402"/>
      <c r="AH402"/>
      <c r="AI402"/>
      <c r="AJ402"/>
      <c r="AK402"/>
      <c r="AL402"/>
      <c r="AM402"/>
      <c r="AN402" s="9">
        <f t="shared" si="13"/>
        <v>0</v>
      </c>
      <c r="AO402" s="8"/>
      <c r="AP402" s="9">
        <f>I402-W402-X402-AN402</f>
        <v>1.9040000000000106</v>
      </c>
      <c r="AQ402" t="s">
        <v>1324</v>
      </c>
    </row>
    <row r="403" spans="1:43" x14ac:dyDescent="0.3">
      <c r="A403" s="11">
        <f t="shared" si="14"/>
        <v>401</v>
      </c>
      <c r="B403" s="5" t="s">
        <v>1675</v>
      </c>
      <c r="C403" t="s">
        <v>893</v>
      </c>
      <c r="D403" s="24" t="s">
        <v>48</v>
      </c>
      <c r="E403" s="24" t="str">
        <f>IFERROR(VLOOKUP(D403,Dropdown!A:B,2,0),D403)</f>
        <v>CVPL</v>
      </c>
      <c r="F403" s="6">
        <v>45815</v>
      </c>
      <c r="G403" s="6" t="str">
        <f>TEXT(F403, "MMM-YY")</f>
        <v>Jun-25</v>
      </c>
      <c r="H403" t="s">
        <v>394</v>
      </c>
      <c r="I403" s="25">
        <v>96.75</v>
      </c>
      <c r="J403" s="4">
        <v>500</v>
      </c>
      <c r="K403" t="s">
        <v>974</v>
      </c>
      <c r="L403" s="4" t="str">
        <f>VLOOKUP(K403, 'Items Master'!A:E,5,0)</f>
        <v>GAIL</v>
      </c>
      <c r="M403" s="4" t="str">
        <f>VLOOKUP(K403, 'Items Master'!A:D,4,0)</f>
        <v>LLDPE</v>
      </c>
      <c r="N403" s="4" t="s">
        <v>49</v>
      </c>
      <c r="O403" t="s">
        <v>1296</v>
      </c>
      <c r="Q403" s="6">
        <v>45808</v>
      </c>
      <c r="R403" s="6" t="str">
        <f>TEXT(Q403, "MMM-YY")</f>
        <v>May-25</v>
      </c>
      <c r="X403" s="25">
        <v>98.19</v>
      </c>
      <c r="AB403"/>
      <c r="AC403"/>
      <c r="AD403"/>
      <c r="AE403"/>
      <c r="AF403"/>
      <c r="AG403"/>
      <c r="AH403"/>
      <c r="AI403"/>
      <c r="AJ403"/>
      <c r="AK403"/>
      <c r="AL403"/>
      <c r="AM403"/>
      <c r="AN403" s="9">
        <f t="shared" si="13"/>
        <v>0</v>
      </c>
      <c r="AO403" s="8"/>
      <c r="AP403" s="9">
        <f>I403-W403-X403-AN403</f>
        <v>-1.4399999999999977</v>
      </c>
      <c r="AQ403" t="s">
        <v>1324</v>
      </c>
    </row>
    <row r="404" spans="1:43" x14ac:dyDescent="0.3">
      <c r="A404" s="11">
        <f t="shared" si="14"/>
        <v>402</v>
      </c>
      <c r="B404" s="5" t="s">
        <v>1675</v>
      </c>
      <c r="C404" t="s">
        <v>893</v>
      </c>
      <c r="D404" s="24" t="s">
        <v>828</v>
      </c>
      <c r="E404" s="24" t="str">
        <f>IFERROR(VLOOKUP(D404,Dropdown!A:B,2,0),D404)</f>
        <v>SHUBHAM INTERNATIONAL PRIVATE LIMITED</v>
      </c>
      <c r="F404" s="6">
        <v>45815</v>
      </c>
      <c r="G404" s="6" t="str">
        <f>TEXT(F404, "MMM-YY")</f>
        <v>Jun-25</v>
      </c>
      <c r="H404" t="s">
        <v>395</v>
      </c>
      <c r="I404" s="25">
        <v>98.19</v>
      </c>
      <c r="J404" s="4">
        <v>500</v>
      </c>
      <c r="K404" t="s">
        <v>967</v>
      </c>
      <c r="L404" s="4" t="str">
        <f>VLOOKUP(K404, 'Items Master'!A:E,5,0)</f>
        <v>RIL</v>
      </c>
      <c r="M404" s="4" t="str">
        <f>VLOOKUP(K404, 'Items Master'!A:D,4,0)</f>
        <v>LDPE</v>
      </c>
      <c r="N404" s="4" t="s">
        <v>24</v>
      </c>
      <c r="Q404" s="6">
        <v>45815</v>
      </c>
      <c r="R404" s="6" t="str">
        <f>TEXT(Q404, "MMM-YY")</f>
        <v>Jun-25</v>
      </c>
      <c r="W404" s="25">
        <v>98.19</v>
      </c>
      <c r="AB404"/>
      <c r="AC404"/>
      <c r="AD404"/>
      <c r="AE404"/>
      <c r="AF404"/>
      <c r="AG404"/>
      <c r="AH404"/>
      <c r="AI404"/>
      <c r="AJ404"/>
      <c r="AK404"/>
      <c r="AL404"/>
      <c r="AM404"/>
      <c r="AN404" s="9">
        <f t="shared" si="13"/>
        <v>0</v>
      </c>
      <c r="AO404" s="8"/>
      <c r="AP404" s="9">
        <f>I404-W404-X404-AN404</f>
        <v>0</v>
      </c>
      <c r="AQ404" t="s">
        <v>1316</v>
      </c>
    </row>
    <row r="405" spans="1:43" x14ac:dyDescent="0.3">
      <c r="A405" s="11">
        <f t="shared" si="14"/>
        <v>403</v>
      </c>
      <c r="B405" s="5" t="s">
        <v>1675</v>
      </c>
      <c r="C405" t="s">
        <v>893</v>
      </c>
      <c r="D405" s="24" t="s">
        <v>854</v>
      </c>
      <c r="E405" s="24" t="str">
        <f>IFERROR(VLOOKUP(D405,Dropdown!A:B,2,0),D405)</f>
        <v>GOTAWAT INDUSTRIES</v>
      </c>
      <c r="F405" s="6">
        <v>45816</v>
      </c>
      <c r="G405" s="6" t="str">
        <f>TEXT(F405, "MMM-YY")</f>
        <v>Jun-25</v>
      </c>
      <c r="H405" t="s">
        <v>396</v>
      </c>
      <c r="I405" s="25">
        <v>94</v>
      </c>
      <c r="J405" s="4">
        <v>10000</v>
      </c>
      <c r="K405" t="s">
        <v>910</v>
      </c>
      <c r="L405" s="4" t="str">
        <f>VLOOKUP(K405, 'Items Master'!A:E,5,0)</f>
        <v>RIL</v>
      </c>
      <c r="M405" s="4" t="str">
        <f>VLOOKUP(K405, 'Items Master'!A:D,4,0)</f>
        <v>PP</v>
      </c>
      <c r="N405" s="4" t="s">
        <v>24</v>
      </c>
      <c r="Q405" s="6">
        <v>45816</v>
      </c>
      <c r="R405" s="6" t="str">
        <f>TEXT(Q405, "MMM-YY")</f>
        <v>Jun-25</v>
      </c>
      <c r="W405" s="25">
        <v>94</v>
      </c>
      <c r="Y405"/>
      <c r="Z405"/>
      <c r="AB405"/>
      <c r="AC405"/>
      <c r="AD405"/>
      <c r="AE405"/>
      <c r="AF405"/>
      <c r="AG405"/>
      <c r="AH405"/>
      <c r="AI405"/>
      <c r="AJ405"/>
      <c r="AK405"/>
      <c r="AL405"/>
      <c r="AM405"/>
      <c r="AN405" s="9">
        <f t="shared" si="13"/>
        <v>0</v>
      </c>
      <c r="AO405" s="8"/>
      <c r="AP405" s="9">
        <f>I405-W405-X405-AN405</f>
        <v>0</v>
      </c>
      <c r="AQ405" t="s">
        <v>1316</v>
      </c>
    </row>
    <row r="406" spans="1:43" x14ac:dyDescent="0.3">
      <c r="A406" s="11">
        <f t="shared" si="14"/>
        <v>404</v>
      </c>
      <c r="B406" s="5" t="s">
        <v>1675</v>
      </c>
      <c r="C406" t="s">
        <v>893</v>
      </c>
      <c r="D406" s="24" t="s">
        <v>824</v>
      </c>
      <c r="E406" s="24" t="str">
        <f>IFERROR(VLOOKUP(D406,Dropdown!A:B,2,0),D406)</f>
        <v>Paragon</v>
      </c>
      <c r="F406" s="6">
        <v>45817</v>
      </c>
      <c r="G406" s="6" t="str">
        <f>TEXT(F406, "MMM-YY")</f>
        <v>Jun-25</v>
      </c>
      <c r="H406" t="s">
        <v>397</v>
      </c>
      <c r="I406" s="25">
        <v>103.78</v>
      </c>
      <c r="J406" s="4">
        <v>3000</v>
      </c>
      <c r="K406" t="s">
        <v>925</v>
      </c>
      <c r="L406" s="4" t="str">
        <f>VLOOKUP(K406, 'Items Master'!A:E,5,0)</f>
        <v>RIL</v>
      </c>
      <c r="M406" s="4" t="str">
        <f>VLOOKUP(K406, 'Items Master'!A:D,4,0)</f>
        <v>PP ICP</v>
      </c>
      <c r="N406" s="4" t="s">
        <v>49</v>
      </c>
      <c r="Q406" s="6">
        <v>45817</v>
      </c>
      <c r="R406" s="6" t="str">
        <f>TEXT(Q406, "MMM-YY")</f>
        <v>Jun-25</v>
      </c>
      <c r="AB406"/>
      <c r="AC406"/>
      <c r="AD406"/>
      <c r="AE406"/>
      <c r="AF406"/>
      <c r="AG406"/>
      <c r="AH406"/>
      <c r="AI406"/>
      <c r="AJ406"/>
      <c r="AK406"/>
      <c r="AL406"/>
      <c r="AM406"/>
      <c r="AN406" s="9">
        <f t="shared" si="13"/>
        <v>0</v>
      </c>
      <c r="AO406" s="8"/>
      <c r="AP406" s="9">
        <f>I406-W406-X406-AN406</f>
        <v>103.78</v>
      </c>
      <c r="AQ406" t="s">
        <v>1324</v>
      </c>
    </row>
    <row r="407" spans="1:43" x14ac:dyDescent="0.3">
      <c r="A407" s="11">
        <f t="shared" si="14"/>
        <v>405</v>
      </c>
      <c r="B407" s="5" t="s">
        <v>1675</v>
      </c>
      <c r="C407" t="s">
        <v>893</v>
      </c>
      <c r="D407" s="24" t="s">
        <v>838</v>
      </c>
      <c r="E407" s="24" t="str">
        <f>IFERROR(VLOOKUP(D407,Dropdown!A:B,2,0),D407)</f>
        <v>Treenity</v>
      </c>
      <c r="F407" s="6">
        <v>45817</v>
      </c>
      <c r="G407" s="6" t="str">
        <f>TEXT(F407, "MMM-YY")</f>
        <v>Jun-25</v>
      </c>
      <c r="H407" t="s">
        <v>398</v>
      </c>
      <c r="I407" s="25">
        <v>100.25</v>
      </c>
      <c r="J407" s="4">
        <v>1625</v>
      </c>
      <c r="K407" t="s">
        <v>901</v>
      </c>
      <c r="L407" s="4" t="str">
        <f>VLOOKUP(K407, 'Items Master'!A:E,5,0)</f>
        <v>MRPL</v>
      </c>
      <c r="M407" s="4" t="str">
        <f>VLOOKUP(K407, 'Items Master'!A:D,4,0)</f>
        <v>PP</v>
      </c>
      <c r="N407" s="4" t="s">
        <v>49</v>
      </c>
      <c r="Q407" s="6">
        <v>45808</v>
      </c>
      <c r="R407" s="6" t="str">
        <f>TEXT(Q407, "MMM-YY")</f>
        <v>May-25</v>
      </c>
      <c r="U407" t="s">
        <v>1320</v>
      </c>
      <c r="W407"/>
      <c r="X407">
        <v>98.35</v>
      </c>
      <c r="Y407" t="s">
        <v>1304</v>
      </c>
      <c r="Z407" t="s">
        <v>1305</v>
      </c>
      <c r="AB407"/>
      <c r="AC407"/>
      <c r="AD407"/>
      <c r="AE407"/>
      <c r="AF407"/>
      <c r="AG407"/>
      <c r="AH407"/>
      <c r="AI407" s="8">
        <v>1.9</v>
      </c>
      <c r="AN407" s="9">
        <f t="shared" si="13"/>
        <v>1.9</v>
      </c>
      <c r="AO407" s="8"/>
      <c r="AP407" s="9">
        <f>I407-W407-X407-AN407</f>
        <v>5.773159728050814E-15</v>
      </c>
      <c r="AQ407" t="s">
        <v>1316</v>
      </c>
    </row>
    <row r="408" spans="1:43" x14ac:dyDescent="0.3">
      <c r="A408" s="11">
        <f t="shared" si="14"/>
        <v>406</v>
      </c>
      <c r="B408" s="5" t="s">
        <v>1675</v>
      </c>
      <c r="C408" t="s">
        <v>893</v>
      </c>
      <c r="D408" s="24" t="s">
        <v>871</v>
      </c>
      <c r="E408" s="24" t="str">
        <f>IFERROR(VLOOKUP(D408,Dropdown!A:B,2,0),D408)</f>
        <v>JD POLYMERS PACKAGING SOLUTIONS PRIVATE LIMITED</v>
      </c>
      <c r="F408" s="6">
        <v>45817</v>
      </c>
      <c r="G408" s="6" t="str">
        <f>TEXT(F408, "MMM-YY")</f>
        <v>Jun-25</v>
      </c>
      <c r="H408" t="s">
        <v>399</v>
      </c>
      <c r="I408" s="25">
        <v>94</v>
      </c>
      <c r="J408" s="4">
        <v>1500</v>
      </c>
      <c r="K408" t="s">
        <v>929</v>
      </c>
      <c r="L408" s="4" t="str">
        <f>VLOOKUP(K408, 'Items Master'!A:E,5,0)</f>
        <v>HMEL</v>
      </c>
      <c r="M408" s="4" t="str">
        <f>VLOOKUP(K408, 'Items Master'!A:D,4,0)</f>
        <v>HDPE</v>
      </c>
      <c r="N408" s="4" t="s">
        <v>24</v>
      </c>
      <c r="Q408" s="6">
        <v>45817</v>
      </c>
      <c r="R408" s="6" t="str">
        <f>TEXT(Q408, "MMM-YY")</f>
        <v>Jun-25</v>
      </c>
      <c r="W408" s="25">
        <v>94</v>
      </c>
      <c r="Y408"/>
      <c r="Z408"/>
      <c r="AB408"/>
      <c r="AC408"/>
      <c r="AD408"/>
      <c r="AE408"/>
      <c r="AF408"/>
      <c r="AG408"/>
      <c r="AH408"/>
      <c r="AI408"/>
      <c r="AJ408"/>
      <c r="AK408"/>
      <c r="AL408"/>
      <c r="AM408"/>
      <c r="AN408" s="9">
        <f t="shared" si="13"/>
        <v>0</v>
      </c>
      <c r="AO408" s="8"/>
      <c r="AP408" s="9">
        <f>I408-W408-X408-AN408</f>
        <v>0</v>
      </c>
      <c r="AQ408" t="s">
        <v>1316</v>
      </c>
    </row>
    <row r="409" spans="1:43" x14ac:dyDescent="0.3">
      <c r="A409" s="11">
        <f t="shared" si="14"/>
        <v>407</v>
      </c>
      <c r="B409" s="5" t="s">
        <v>1675</v>
      </c>
      <c r="C409" t="s">
        <v>894</v>
      </c>
      <c r="D409" s="24" t="s">
        <v>857</v>
      </c>
      <c r="E409" s="24" t="str">
        <f>IFERROR(VLOOKUP(D409,Dropdown!A:B,2,0),D409)</f>
        <v>Purav</v>
      </c>
      <c r="F409" s="6">
        <v>45817</v>
      </c>
      <c r="G409" s="6" t="str">
        <f>TEXT(F409, "MMM-YY")</f>
        <v>Jun-25</v>
      </c>
      <c r="H409" t="s">
        <v>400</v>
      </c>
      <c r="I409" s="25">
        <v>93.45</v>
      </c>
      <c r="J409" s="4">
        <v>12000</v>
      </c>
      <c r="K409" t="s">
        <v>896</v>
      </c>
      <c r="L409" s="4" t="str">
        <f>VLOOKUP(K409, 'Items Master'!A:E,5,0)</f>
        <v>OPAL</v>
      </c>
      <c r="M409" s="4" t="str">
        <f>VLOOKUP(K409, 'Items Master'!A:D,4,0)</f>
        <v>HDPE</v>
      </c>
      <c r="N409" s="4" t="s">
        <v>49</v>
      </c>
      <c r="O409" t="s">
        <v>1296</v>
      </c>
      <c r="Q409" s="6">
        <v>45817</v>
      </c>
      <c r="R409" s="6" t="str">
        <f>TEXT(Q409, "MMM-YY")</f>
        <v>Jun-25</v>
      </c>
      <c r="S409" t="s">
        <v>21</v>
      </c>
      <c r="U409" t="s">
        <v>1605</v>
      </c>
      <c r="X409" s="25">
        <v>94.25</v>
      </c>
      <c r="AB409" s="8">
        <v>-0.9</v>
      </c>
      <c r="AH409" s="8">
        <v>0.1</v>
      </c>
      <c r="AN409" s="9">
        <f t="shared" si="13"/>
        <v>-0.8</v>
      </c>
      <c r="AO409" s="8"/>
      <c r="AP409" s="9">
        <f>I409-W409-X409-AN409</f>
        <v>2.886579864025407E-15</v>
      </c>
      <c r="AQ409" t="s">
        <v>1316</v>
      </c>
    </row>
    <row r="410" spans="1:43" x14ac:dyDescent="0.3">
      <c r="A410" s="11">
        <f t="shared" si="14"/>
        <v>408</v>
      </c>
      <c r="B410" s="5" t="s">
        <v>1675</v>
      </c>
      <c r="C410" t="s">
        <v>894</v>
      </c>
      <c r="D410" s="24" t="s">
        <v>857</v>
      </c>
      <c r="E410" s="24" t="str">
        <f>IFERROR(VLOOKUP(D410,Dropdown!A:B,2,0),D410)</f>
        <v>Purav</v>
      </c>
      <c r="F410" s="6">
        <v>45817</v>
      </c>
      <c r="G410" s="6" t="str">
        <f>TEXT(F410, "MMM-YY")</f>
        <v>Jun-25</v>
      </c>
      <c r="H410" t="s">
        <v>401</v>
      </c>
      <c r="I410" s="25">
        <v>93.45</v>
      </c>
      <c r="J410" s="4">
        <v>12000</v>
      </c>
      <c r="K410" t="s">
        <v>896</v>
      </c>
      <c r="L410" s="4" t="str">
        <f>VLOOKUP(K410, 'Items Master'!A:E,5,0)</f>
        <v>OPAL</v>
      </c>
      <c r="M410" s="4" t="str">
        <f>VLOOKUP(K410, 'Items Master'!A:D,4,0)</f>
        <v>HDPE</v>
      </c>
      <c r="N410" s="4" t="s">
        <v>49</v>
      </c>
      <c r="O410" t="s">
        <v>1296</v>
      </c>
      <c r="Q410" s="6">
        <v>45817</v>
      </c>
      <c r="R410" s="6" t="str">
        <f>TEXT(Q410, "MMM-YY")</f>
        <v>Jun-25</v>
      </c>
      <c r="S410" t="s">
        <v>21</v>
      </c>
      <c r="U410" t="s">
        <v>1605</v>
      </c>
      <c r="X410" s="25">
        <v>94.25</v>
      </c>
      <c r="AB410" s="8">
        <v>-0.9</v>
      </c>
      <c r="AH410" s="8">
        <v>0.1</v>
      </c>
      <c r="AN410" s="9">
        <f t="shared" si="13"/>
        <v>-0.8</v>
      </c>
      <c r="AO410" s="8"/>
      <c r="AP410" s="9">
        <f>I410-W410-X410-AN410</f>
        <v>2.886579864025407E-15</v>
      </c>
      <c r="AQ410" t="s">
        <v>1316</v>
      </c>
    </row>
    <row r="411" spans="1:43" x14ac:dyDescent="0.3">
      <c r="A411" s="11">
        <f t="shared" si="14"/>
        <v>409</v>
      </c>
      <c r="B411" s="5" t="s">
        <v>1675</v>
      </c>
      <c r="C411" t="s">
        <v>893</v>
      </c>
      <c r="D411" s="24" t="s">
        <v>857</v>
      </c>
      <c r="E411" s="24" t="str">
        <f>IFERROR(VLOOKUP(D411,Dropdown!A:B,2,0),D411)</f>
        <v>Purav</v>
      </c>
      <c r="F411" s="6">
        <v>45817</v>
      </c>
      <c r="G411" s="6" t="str">
        <f>TEXT(F411, "MMM-YY")</f>
        <v>Jun-25</v>
      </c>
      <c r="H411" t="s">
        <v>402</v>
      </c>
      <c r="I411" s="25">
        <v>95.5</v>
      </c>
      <c r="J411" s="4">
        <v>5000</v>
      </c>
      <c r="K411" t="s">
        <v>17</v>
      </c>
      <c r="L411" s="4" t="str">
        <f>VLOOKUP(K411, 'Items Master'!A:E,5,0)</f>
        <v>OPAL</v>
      </c>
      <c r="M411" s="4" t="str">
        <f>VLOOKUP(K411, 'Items Master'!A:D,4,0)</f>
        <v>LLDPE</v>
      </c>
      <c r="N411" s="4" t="s">
        <v>49</v>
      </c>
      <c r="O411" t="s">
        <v>1296</v>
      </c>
      <c r="Q411" s="6">
        <v>45817</v>
      </c>
      <c r="R411" s="6" t="str">
        <f>TEXT(Q411, "MMM-YY")</f>
        <v>Jun-25</v>
      </c>
      <c r="S411" t="s">
        <v>21</v>
      </c>
      <c r="U411" t="s">
        <v>1605</v>
      </c>
      <c r="X411" s="25">
        <v>96.3</v>
      </c>
      <c r="AB411" s="8">
        <v>-0.9</v>
      </c>
      <c r="AH411" s="8">
        <v>0.1</v>
      </c>
      <c r="AN411" s="9">
        <f t="shared" si="13"/>
        <v>-0.8</v>
      </c>
      <c r="AO411" s="8"/>
      <c r="AP411" s="9">
        <f>I411-W411-X411-AN411</f>
        <v>2.886579864025407E-15</v>
      </c>
      <c r="AQ411" t="s">
        <v>1316</v>
      </c>
    </row>
    <row r="412" spans="1:43" x14ac:dyDescent="0.3">
      <c r="A412" s="11">
        <f t="shared" si="14"/>
        <v>410</v>
      </c>
      <c r="B412" s="5" t="s">
        <v>1675</v>
      </c>
      <c r="C412" t="s">
        <v>893</v>
      </c>
      <c r="D412" s="24" t="s">
        <v>857</v>
      </c>
      <c r="E412" s="24" t="str">
        <f>IFERROR(VLOOKUP(D412,Dropdown!A:B,2,0),D412)</f>
        <v>Purav</v>
      </c>
      <c r="F412" s="6">
        <v>45817</v>
      </c>
      <c r="G412" s="6" t="str">
        <f>TEXT(F412, "MMM-YY")</f>
        <v>Jun-25</v>
      </c>
      <c r="H412" t="s">
        <v>403</v>
      </c>
      <c r="I412" s="25">
        <v>93.45</v>
      </c>
      <c r="J412" s="4">
        <v>5000</v>
      </c>
      <c r="K412" t="s">
        <v>896</v>
      </c>
      <c r="L412" s="4" t="str">
        <f>VLOOKUP(K412, 'Items Master'!A:E,5,0)</f>
        <v>OPAL</v>
      </c>
      <c r="M412" s="4" t="str">
        <f>VLOOKUP(K412, 'Items Master'!A:D,4,0)</f>
        <v>HDPE</v>
      </c>
      <c r="N412" s="4" t="s">
        <v>49</v>
      </c>
      <c r="O412" t="s">
        <v>1296</v>
      </c>
      <c r="Q412" s="6">
        <v>45817</v>
      </c>
      <c r="R412" s="6" t="str">
        <f>TEXT(Q412, "MMM-YY")</f>
        <v>Jun-25</v>
      </c>
      <c r="S412" t="s">
        <v>21</v>
      </c>
      <c r="U412" t="s">
        <v>1605</v>
      </c>
      <c r="X412" s="25">
        <v>94.25</v>
      </c>
      <c r="AB412" s="8">
        <v>-0.9</v>
      </c>
      <c r="AH412" s="8">
        <v>0.1</v>
      </c>
      <c r="AN412" s="9">
        <f t="shared" si="13"/>
        <v>-0.8</v>
      </c>
      <c r="AO412" s="8"/>
      <c r="AP412" s="9">
        <f>I412-W412-X412-AN412</f>
        <v>2.886579864025407E-15</v>
      </c>
      <c r="AQ412" t="s">
        <v>1316</v>
      </c>
    </row>
    <row r="413" spans="1:43" x14ac:dyDescent="0.3">
      <c r="A413" s="11">
        <f t="shared" si="14"/>
        <v>411</v>
      </c>
      <c r="B413" s="5" t="s">
        <v>1675</v>
      </c>
      <c r="C413" t="s">
        <v>893</v>
      </c>
      <c r="D413" s="24" t="s">
        <v>48</v>
      </c>
      <c r="E413" s="24" t="str">
        <f>IFERROR(VLOOKUP(D413,Dropdown!A:B,2,0),D413)</f>
        <v>CVPL</v>
      </c>
      <c r="F413" s="6">
        <v>45818</v>
      </c>
      <c r="G413" s="6" t="str">
        <f>TEXT(F413, "MMM-YY")</f>
        <v>Jun-25</v>
      </c>
      <c r="H413" t="s">
        <v>404</v>
      </c>
      <c r="I413" s="25">
        <v>98.55</v>
      </c>
      <c r="J413" s="4">
        <v>1500</v>
      </c>
      <c r="K413" t="s">
        <v>937</v>
      </c>
      <c r="L413" s="4" t="str">
        <f>VLOOKUP(K413, 'Items Master'!A:E,5,0)</f>
        <v>MRPL</v>
      </c>
      <c r="M413" s="4" t="str">
        <f>VLOOKUP(K413, 'Items Master'!A:D,4,0)</f>
        <v>PP</v>
      </c>
      <c r="N413" s="4" t="s">
        <v>49</v>
      </c>
      <c r="O413" t="s">
        <v>1296</v>
      </c>
      <c r="Q413" s="6">
        <v>45818</v>
      </c>
      <c r="R413" s="6" t="str">
        <f>TEXT(Q413, "MMM-YY")</f>
        <v>Jun-25</v>
      </c>
      <c r="X413" s="25">
        <v>96.745999999999995</v>
      </c>
      <c r="AB413"/>
      <c r="AC413"/>
      <c r="AD413"/>
      <c r="AE413"/>
      <c r="AF413"/>
      <c r="AG413"/>
      <c r="AH413"/>
      <c r="AI413"/>
      <c r="AJ413"/>
      <c r="AK413"/>
      <c r="AL413"/>
      <c r="AM413"/>
      <c r="AN413" s="9">
        <f t="shared" si="13"/>
        <v>0</v>
      </c>
      <c r="AO413" s="8"/>
      <c r="AP413" s="9">
        <f>I413-W413-X413-AN413</f>
        <v>1.804000000000002</v>
      </c>
      <c r="AQ413" t="s">
        <v>1324</v>
      </c>
    </row>
    <row r="414" spans="1:43" x14ac:dyDescent="0.3">
      <c r="A414" s="11">
        <f t="shared" si="14"/>
        <v>412</v>
      </c>
      <c r="B414" s="5" t="s">
        <v>1675</v>
      </c>
      <c r="C414" t="s">
        <v>893</v>
      </c>
      <c r="D414" s="24" t="s">
        <v>48</v>
      </c>
      <c r="E414" s="24" t="str">
        <f>IFERROR(VLOOKUP(D414,Dropdown!A:B,2,0),D414)</f>
        <v>CVPL</v>
      </c>
      <c r="F414" s="6">
        <v>45818</v>
      </c>
      <c r="G414" s="6" t="str">
        <f>TEXT(F414, "MMM-YY")</f>
        <v>Jun-25</v>
      </c>
      <c r="H414" t="s">
        <v>404</v>
      </c>
      <c r="I414" s="25">
        <v>100.15</v>
      </c>
      <c r="J414" s="4">
        <v>1500</v>
      </c>
      <c r="K414" t="s">
        <v>901</v>
      </c>
      <c r="L414" s="4" t="str">
        <f>VLOOKUP(K414, 'Items Master'!A:E,5,0)</f>
        <v>MRPL</v>
      </c>
      <c r="M414" s="4" t="str">
        <f>VLOOKUP(K414, 'Items Master'!A:D,4,0)</f>
        <v>PP</v>
      </c>
      <c r="N414" s="4" t="s">
        <v>49</v>
      </c>
      <c r="O414" t="s">
        <v>1296</v>
      </c>
      <c r="Q414" s="6">
        <v>45818</v>
      </c>
      <c r="R414" s="6" t="str">
        <f>TEXT(Q414, "MMM-YY")</f>
        <v>Jun-25</v>
      </c>
      <c r="X414" s="25">
        <v>98.346000000000004</v>
      </c>
      <c r="AB414"/>
      <c r="AC414"/>
      <c r="AD414"/>
      <c r="AE414"/>
      <c r="AF414"/>
      <c r="AG414"/>
      <c r="AH414"/>
      <c r="AI414"/>
      <c r="AJ414"/>
      <c r="AK414"/>
      <c r="AL414"/>
      <c r="AM414"/>
      <c r="AN414" s="9">
        <f t="shared" si="13"/>
        <v>0</v>
      </c>
      <c r="AO414" s="8"/>
      <c r="AP414" s="9">
        <f>I414-W414-X414-AN414</f>
        <v>1.804000000000002</v>
      </c>
      <c r="AQ414" t="s">
        <v>1324</v>
      </c>
    </row>
    <row r="415" spans="1:43" x14ac:dyDescent="0.3">
      <c r="A415" s="11">
        <f t="shared" si="14"/>
        <v>413</v>
      </c>
      <c r="B415" s="5" t="s">
        <v>1675</v>
      </c>
      <c r="C415" t="s">
        <v>894</v>
      </c>
      <c r="D415" s="24" t="s">
        <v>857</v>
      </c>
      <c r="E415" s="24" t="str">
        <f>IFERROR(VLOOKUP(D415,Dropdown!A:B,2,0),D415)</f>
        <v>Purav</v>
      </c>
      <c r="F415" s="6">
        <v>45818</v>
      </c>
      <c r="G415" s="6" t="str">
        <f>TEXT(F415, "MMM-YY")</f>
        <v>Jun-25</v>
      </c>
      <c r="H415" t="s">
        <v>405</v>
      </c>
      <c r="I415" s="25">
        <v>93.95</v>
      </c>
      <c r="J415" s="4">
        <v>3000</v>
      </c>
      <c r="K415" t="s">
        <v>896</v>
      </c>
      <c r="L415" s="4" t="str">
        <f>VLOOKUP(K415, 'Items Master'!A:E,5,0)</f>
        <v>OPAL</v>
      </c>
      <c r="M415" s="4" t="str">
        <f>VLOOKUP(K415, 'Items Master'!A:D,4,0)</f>
        <v>HDPE</v>
      </c>
      <c r="N415" s="4" t="s">
        <v>49</v>
      </c>
      <c r="O415" t="s">
        <v>1296</v>
      </c>
      <c r="Q415" s="6">
        <v>45808</v>
      </c>
      <c r="R415" s="6" t="str">
        <f>TEXT(Q415, "MMM-YY")</f>
        <v>May-25</v>
      </c>
      <c r="U415" t="s">
        <v>1605</v>
      </c>
      <c r="X415" s="25">
        <v>94.72</v>
      </c>
      <c r="AB415" s="8">
        <v>-0.9</v>
      </c>
      <c r="AH415" s="8">
        <v>0.1</v>
      </c>
      <c r="AJ415" s="8">
        <v>0.03</v>
      </c>
      <c r="AN415" s="9">
        <f t="shared" si="13"/>
        <v>-0.77</v>
      </c>
      <c r="AO415" s="8"/>
      <c r="AP415" s="9">
        <f>I415-W415-X415-AN415</f>
        <v>3.9968028886505635E-15</v>
      </c>
      <c r="AQ415" t="s">
        <v>1316</v>
      </c>
    </row>
    <row r="416" spans="1:43" x14ac:dyDescent="0.3">
      <c r="A416" s="11">
        <f t="shared" si="14"/>
        <v>414</v>
      </c>
      <c r="B416" s="5" t="s">
        <v>1675</v>
      </c>
      <c r="C416" t="s">
        <v>893</v>
      </c>
      <c r="D416" s="24" t="s">
        <v>857</v>
      </c>
      <c r="E416" s="24" t="str">
        <f>IFERROR(VLOOKUP(D416,Dropdown!A:B,2,0),D416)</f>
        <v>Purav</v>
      </c>
      <c r="F416" s="6">
        <v>45818</v>
      </c>
      <c r="G416" s="6" t="str">
        <f>TEXT(F416, "MMM-YY")</f>
        <v>Jun-25</v>
      </c>
      <c r="H416" t="s">
        <v>406</v>
      </c>
      <c r="I416" s="25">
        <v>93.45</v>
      </c>
      <c r="J416" s="4">
        <v>10000</v>
      </c>
      <c r="K416" t="s">
        <v>896</v>
      </c>
      <c r="L416" s="4" t="str">
        <f>VLOOKUP(K416, 'Items Master'!A:E,5,0)</f>
        <v>OPAL</v>
      </c>
      <c r="M416" s="4" t="str">
        <f>VLOOKUP(K416, 'Items Master'!A:D,4,0)</f>
        <v>HDPE</v>
      </c>
      <c r="N416" s="4" t="s">
        <v>49</v>
      </c>
      <c r="O416" t="s">
        <v>1296</v>
      </c>
      <c r="Q416" s="6">
        <v>45818</v>
      </c>
      <c r="R416" s="6" t="str">
        <f>TEXT(Q416, "MMM-YY")</f>
        <v>Jun-25</v>
      </c>
      <c r="S416" t="s">
        <v>21</v>
      </c>
      <c r="U416" t="s">
        <v>1605</v>
      </c>
      <c r="X416" s="25">
        <v>94.25</v>
      </c>
      <c r="AB416" s="8">
        <v>-0.9</v>
      </c>
      <c r="AH416" s="8">
        <v>0.1</v>
      </c>
      <c r="AN416" s="9">
        <f t="shared" si="13"/>
        <v>-0.8</v>
      </c>
      <c r="AO416" s="8"/>
      <c r="AP416" s="9">
        <f>I416-W416-X416-AN416</f>
        <v>2.886579864025407E-15</v>
      </c>
      <c r="AQ416" t="s">
        <v>1316</v>
      </c>
    </row>
    <row r="417" spans="1:43" x14ac:dyDescent="0.3">
      <c r="A417" s="11">
        <f t="shared" si="14"/>
        <v>415</v>
      </c>
      <c r="B417" s="5" t="s">
        <v>1675</v>
      </c>
      <c r="C417" t="s">
        <v>893</v>
      </c>
      <c r="D417" s="24" t="s">
        <v>857</v>
      </c>
      <c r="E417" s="24" t="str">
        <f>IFERROR(VLOOKUP(D417,Dropdown!A:B,2,0),D417)</f>
        <v>Purav</v>
      </c>
      <c r="F417" s="6">
        <v>45818</v>
      </c>
      <c r="G417" s="6" t="str">
        <f>TEXT(F417, "MMM-YY")</f>
        <v>Jun-25</v>
      </c>
      <c r="H417" t="s">
        <v>407</v>
      </c>
      <c r="I417" s="25">
        <v>95.5</v>
      </c>
      <c r="J417" s="4">
        <v>3000</v>
      </c>
      <c r="K417" t="s">
        <v>17</v>
      </c>
      <c r="L417" s="4" t="str">
        <f>VLOOKUP(K417, 'Items Master'!A:E,5,0)</f>
        <v>OPAL</v>
      </c>
      <c r="M417" s="4" t="str">
        <f>VLOOKUP(K417, 'Items Master'!A:D,4,0)</f>
        <v>LLDPE</v>
      </c>
      <c r="N417" s="4" t="s">
        <v>49</v>
      </c>
      <c r="O417" t="s">
        <v>1296</v>
      </c>
      <c r="Q417" s="6">
        <v>45818</v>
      </c>
      <c r="R417" s="6" t="str">
        <f>TEXT(Q417, "MMM-YY")</f>
        <v>Jun-25</v>
      </c>
      <c r="S417" t="s">
        <v>21</v>
      </c>
      <c r="U417" t="s">
        <v>1605</v>
      </c>
      <c r="X417" s="25">
        <v>96.3</v>
      </c>
      <c r="AB417" s="8">
        <v>-0.9</v>
      </c>
      <c r="AH417" s="8">
        <v>0.1</v>
      </c>
      <c r="AN417" s="9">
        <f t="shared" si="13"/>
        <v>-0.8</v>
      </c>
      <c r="AO417" s="8"/>
      <c r="AP417" s="9">
        <f>I417-W417-X417-AN417</f>
        <v>2.886579864025407E-15</v>
      </c>
      <c r="AQ417" t="s">
        <v>1316</v>
      </c>
    </row>
    <row r="418" spans="1:43" x14ac:dyDescent="0.3">
      <c r="A418" s="11">
        <f t="shared" si="14"/>
        <v>416</v>
      </c>
      <c r="B418" s="5" t="s">
        <v>1675</v>
      </c>
      <c r="C418" t="s">
        <v>893</v>
      </c>
      <c r="D418" s="24" t="s">
        <v>48</v>
      </c>
      <c r="E418" s="24" t="str">
        <f>IFERROR(VLOOKUP(D418,Dropdown!A:B,2,0),D418)</f>
        <v>CVPL</v>
      </c>
      <c r="F418" s="6">
        <v>45818</v>
      </c>
      <c r="G418" s="6" t="str">
        <f>TEXT(F418, "MMM-YY")</f>
        <v>Jun-25</v>
      </c>
      <c r="H418" t="s">
        <v>408</v>
      </c>
      <c r="I418" s="25">
        <v>98.55</v>
      </c>
      <c r="J418" s="4">
        <v>2000</v>
      </c>
      <c r="K418" t="s">
        <v>937</v>
      </c>
      <c r="L418" s="4" t="str">
        <f>VLOOKUP(K418, 'Items Master'!A:E,5,0)</f>
        <v>MRPL</v>
      </c>
      <c r="M418" s="4" t="str">
        <f>VLOOKUP(K418, 'Items Master'!A:D,4,0)</f>
        <v>PP</v>
      </c>
      <c r="N418" s="4" t="s">
        <v>49</v>
      </c>
      <c r="O418" t="s">
        <v>1296</v>
      </c>
      <c r="Q418" s="6">
        <v>45818</v>
      </c>
      <c r="R418" s="6" t="str">
        <f>TEXT(Q418, "MMM-YY")</f>
        <v>Jun-25</v>
      </c>
      <c r="X418" s="25">
        <v>96.745999999999995</v>
      </c>
      <c r="AB418"/>
      <c r="AC418"/>
      <c r="AD418"/>
      <c r="AE418"/>
      <c r="AF418"/>
      <c r="AG418"/>
      <c r="AH418"/>
      <c r="AI418"/>
      <c r="AJ418"/>
      <c r="AK418"/>
      <c r="AL418"/>
      <c r="AM418"/>
      <c r="AN418" s="9">
        <f t="shared" si="13"/>
        <v>0</v>
      </c>
      <c r="AO418" s="8"/>
      <c r="AP418" s="9">
        <f>I418-W418-X418-AN418</f>
        <v>1.804000000000002</v>
      </c>
      <c r="AQ418" t="s">
        <v>1324</v>
      </c>
    </row>
    <row r="419" spans="1:43" x14ac:dyDescent="0.3">
      <c r="A419" s="11">
        <f t="shared" si="14"/>
        <v>417</v>
      </c>
      <c r="B419" s="5" t="s">
        <v>1675</v>
      </c>
      <c r="C419" t="s">
        <v>893</v>
      </c>
      <c r="D419" s="24" t="s">
        <v>48</v>
      </c>
      <c r="E419" s="24" t="str">
        <f>IFERROR(VLOOKUP(D419,Dropdown!A:B,2,0),D419)</f>
        <v>CVPL</v>
      </c>
      <c r="F419" s="6">
        <v>45818</v>
      </c>
      <c r="G419" s="6" t="str">
        <f>TEXT(F419, "MMM-YY")</f>
        <v>Jun-25</v>
      </c>
      <c r="H419" t="s">
        <v>408</v>
      </c>
      <c r="I419" s="25">
        <v>100.15</v>
      </c>
      <c r="J419" s="4">
        <v>1000</v>
      </c>
      <c r="K419" t="s">
        <v>901</v>
      </c>
      <c r="L419" s="4" t="str">
        <f>VLOOKUP(K419, 'Items Master'!A:E,5,0)</f>
        <v>MRPL</v>
      </c>
      <c r="M419" s="4" t="str">
        <f>VLOOKUP(K419, 'Items Master'!A:D,4,0)</f>
        <v>PP</v>
      </c>
      <c r="N419" s="4" t="s">
        <v>49</v>
      </c>
      <c r="O419" t="s">
        <v>1296</v>
      </c>
      <c r="Q419" s="6">
        <v>45818</v>
      </c>
      <c r="R419" s="6" t="str">
        <f>TEXT(Q419, "MMM-YY")</f>
        <v>Jun-25</v>
      </c>
      <c r="X419" s="25">
        <v>98.346000000000004</v>
      </c>
      <c r="AB419"/>
      <c r="AC419"/>
      <c r="AD419"/>
      <c r="AE419"/>
      <c r="AF419"/>
      <c r="AG419"/>
      <c r="AH419"/>
      <c r="AI419"/>
      <c r="AJ419"/>
      <c r="AK419"/>
      <c r="AL419"/>
      <c r="AM419"/>
      <c r="AN419" s="9">
        <f t="shared" si="13"/>
        <v>0</v>
      </c>
      <c r="AO419" s="8"/>
      <c r="AP419" s="9">
        <f>I419-W419-X419-AN419</f>
        <v>1.804000000000002</v>
      </c>
      <c r="AQ419" t="s">
        <v>1324</v>
      </c>
    </row>
    <row r="420" spans="1:43" x14ac:dyDescent="0.3">
      <c r="A420" s="11">
        <f t="shared" si="14"/>
        <v>418</v>
      </c>
      <c r="B420" s="5" t="s">
        <v>1675</v>
      </c>
      <c r="C420" t="s">
        <v>893</v>
      </c>
      <c r="D420" s="24" t="s">
        <v>866</v>
      </c>
      <c r="E420" s="24" t="str">
        <f>IFERROR(VLOOKUP(D420,Dropdown!A:B,2,0),D420)</f>
        <v>KLENE PAKS LIMITED</v>
      </c>
      <c r="F420" s="6">
        <v>45818</v>
      </c>
      <c r="G420" s="6" t="str">
        <f>TEXT(F420, "MMM-YY")</f>
        <v>Jun-25</v>
      </c>
      <c r="H420" t="s">
        <v>409</v>
      </c>
      <c r="I420" s="25">
        <v>93.75</v>
      </c>
      <c r="J420" s="4">
        <v>10000</v>
      </c>
      <c r="K420" t="s">
        <v>899</v>
      </c>
      <c r="L420" s="4" t="str">
        <f>VLOOKUP(K420, 'Items Master'!A:E,5,0)</f>
        <v>MRPL</v>
      </c>
      <c r="M420" s="4" t="str">
        <f>VLOOKUP(K420, 'Items Master'!A:D,4,0)</f>
        <v>PP</v>
      </c>
      <c r="N420" s="4" t="s">
        <v>24</v>
      </c>
      <c r="Q420" s="6">
        <v>45818</v>
      </c>
      <c r="R420" s="6" t="str">
        <f>TEXT(Q420, "MMM-YY")</f>
        <v>Jun-25</v>
      </c>
      <c r="W420" s="25">
        <v>93.75</v>
      </c>
      <c r="Y420"/>
      <c r="Z420"/>
      <c r="AB420"/>
      <c r="AC420"/>
      <c r="AD420"/>
      <c r="AE420"/>
      <c r="AF420"/>
      <c r="AG420"/>
      <c r="AH420"/>
      <c r="AI420"/>
      <c r="AJ420"/>
      <c r="AK420"/>
      <c r="AL420"/>
      <c r="AM420"/>
      <c r="AN420" s="9">
        <f t="shared" si="13"/>
        <v>0</v>
      </c>
      <c r="AO420" s="8"/>
      <c r="AP420" s="9">
        <f>I420-W420-X420-AN420</f>
        <v>0</v>
      </c>
      <c r="AQ420" t="s">
        <v>1316</v>
      </c>
    </row>
    <row r="421" spans="1:43" x14ac:dyDescent="0.3">
      <c r="A421" s="11">
        <f t="shared" si="14"/>
        <v>419</v>
      </c>
      <c r="B421" s="5" t="s">
        <v>1675</v>
      </c>
      <c r="C421" t="s">
        <v>893</v>
      </c>
      <c r="D421" s="24" t="s">
        <v>48</v>
      </c>
      <c r="E421" s="24" t="str">
        <f>IFERROR(VLOOKUP(D421,Dropdown!A:B,2,0),D421)</f>
        <v>CVPL</v>
      </c>
      <c r="F421" s="6">
        <v>45819</v>
      </c>
      <c r="G421" s="6" t="str">
        <f>TEXT(F421, "MMM-YY")</f>
        <v>Jun-25</v>
      </c>
      <c r="H421" t="s">
        <v>410</v>
      </c>
      <c r="I421" s="25">
        <v>102</v>
      </c>
      <c r="J421" s="4">
        <v>3000</v>
      </c>
      <c r="K421" t="s">
        <v>901</v>
      </c>
      <c r="L421" s="4" t="str">
        <f>VLOOKUP(K421, 'Items Master'!A:E,5,0)</f>
        <v>MRPL</v>
      </c>
      <c r="M421" s="4" t="str">
        <f>VLOOKUP(K421, 'Items Master'!A:D,4,0)</f>
        <v>PP</v>
      </c>
      <c r="N421" s="4" t="s">
        <v>49</v>
      </c>
      <c r="O421" t="s">
        <v>1298</v>
      </c>
      <c r="Q421" s="6">
        <v>45819</v>
      </c>
      <c r="R421" s="6" t="str">
        <f>TEXT(Q421, "MMM-YY")</f>
        <v>Jun-25</v>
      </c>
      <c r="X421" s="25">
        <v>98.346000000000004</v>
      </c>
      <c r="AB421"/>
      <c r="AC421"/>
      <c r="AD421"/>
      <c r="AE421"/>
      <c r="AF421"/>
      <c r="AG421"/>
      <c r="AH421"/>
      <c r="AI421"/>
      <c r="AJ421"/>
      <c r="AK421"/>
      <c r="AL421"/>
      <c r="AM421"/>
      <c r="AN421" s="9">
        <f t="shared" si="13"/>
        <v>0</v>
      </c>
      <c r="AO421" s="8"/>
      <c r="AP421" s="9">
        <f>I421-W421-X421-AN421</f>
        <v>3.6539999999999964</v>
      </c>
      <c r="AQ421" t="s">
        <v>1324</v>
      </c>
    </row>
    <row r="422" spans="1:43" x14ac:dyDescent="0.3">
      <c r="A422" s="11">
        <f t="shared" si="14"/>
        <v>420</v>
      </c>
      <c r="B422" s="5" t="s">
        <v>1675</v>
      </c>
      <c r="C422" t="s">
        <v>893</v>
      </c>
      <c r="D422" s="24" t="s">
        <v>824</v>
      </c>
      <c r="E422" s="24" t="str">
        <f>IFERROR(VLOOKUP(D422,Dropdown!A:B,2,0),D422)</f>
        <v>Paragon</v>
      </c>
      <c r="F422" s="6">
        <v>45819</v>
      </c>
      <c r="G422" s="6" t="str">
        <f>TEXT(F422, "MMM-YY")</f>
        <v>Jun-25</v>
      </c>
      <c r="H422" t="s">
        <v>411</v>
      </c>
      <c r="I422" s="25">
        <v>122.5</v>
      </c>
      <c r="J422" s="4">
        <v>3000</v>
      </c>
      <c r="K422" t="s">
        <v>908</v>
      </c>
      <c r="L422" s="4" t="str">
        <f>VLOOKUP(K422, 'Items Master'!A:E,5,0)</f>
        <v>RIL</v>
      </c>
      <c r="M422" s="4" t="str">
        <f>VLOOKUP(K422, 'Items Master'!A:D,4,0)</f>
        <v>LDPE</v>
      </c>
      <c r="N422" s="4" t="s">
        <v>24</v>
      </c>
      <c r="Q422" s="6">
        <v>45819</v>
      </c>
      <c r="R422" s="6" t="str">
        <f>TEXT(Q422, "MMM-YY")</f>
        <v>Jun-25</v>
      </c>
      <c r="W422" s="25">
        <v>122.5</v>
      </c>
      <c r="Y422"/>
      <c r="Z422"/>
      <c r="AB422"/>
      <c r="AC422"/>
      <c r="AD422"/>
      <c r="AE422"/>
      <c r="AF422"/>
      <c r="AG422"/>
      <c r="AH422"/>
      <c r="AI422"/>
      <c r="AJ422"/>
      <c r="AK422"/>
      <c r="AL422"/>
      <c r="AM422"/>
      <c r="AN422" s="9">
        <f t="shared" si="13"/>
        <v>0</v>
      </c>
      <c r="AO422" s="8"/>
      <c r="AP422" s="9">
        <f>I422-W422-X422-AN422</f>
        <v>0</v>
      </c>
      <c r="AQ422" t="s">
        <v>1324</v>
      </c>
    </row>
    <row r="423" spans="1:43" x14ac:dyDescent="0.3">
      <c r="A423" s="11">
        <f t="shared" si="14"/>
        <v>421</v>
      </c>
      <c r="B423" s="5" t="s">
        <v>1675</v>
      </c>
      <c r="C423" t="s">
        <v>893</v>
      </c>
      <c r="D423" s="24" t="s">
        <v>855</v>
      </c>
      <c r="E423" s="24" t="str">
        <f>IFERROR(VLOOKUP(D423,Dropdown!A:B,2,0),D423)</f>
        <v>TEGRAL INDIA PRIVATE LIMITED</v>
      </c>
      <c r="F423" s="6">
        <v>45819</v>
      </c>
      <c r="G423" s="6" t="str">
        <f>TEXT(F423, "MMM-YY")</f>
        <v>Jun-25</v>
      </c>
      <c r="H423" t="s">
        <v>412</v>
      </c>
      <c r="I423" s="25">
        <v>291</v>
      </c>
      <c r="J423" s="4">
        <v>2000</v>
      </c>
      <c r="K423" t="s">
        <v>980</v>
      </c>
      <c r="L423" s="4" t="str">
        <f>VLOOKUP(K423, 'Items Master'!A:E,5,0)</f>
        <v>CYCOLOY</v>
      </c>
      <c r="M423" s="4" t="str">
        <f>VLOOKUP(K423, 'Items Master'!A:D,4,0)</f>
        <v>PC</v>
      </c>
      <c r="N423" s="4" t="s">
        <v>24</v>
      </c>
      <c r="Q423" s="6">
        <v>45819</v>
      </c>
      <c r="R423" s="6" t="str">
        <f>TEXT(Q423, "MMM-YY")</f>
        <v>Jun-25</v>
      </c>
      <c r="W423" s="25">
        <v>291</v>
      </c>
      <c r="Y423"/>
      <c r="Z423"/>
      <c r="AB423"/>
      <c r="AC423"/>
      <c r="AD423"/>
      <c r="AE423"/>
      <c r="AF423"/>
      <c r="AG423"/>
      <c r="AH423"/>
      <c r="AI423"/>
      <c r="AJ423"/>
      <c r="AK423"/>
      <c r="AL423"/>
      <c r="AM423"/>
      <c r="AN423" s="9">
        <f t="shared" si="13"/>
        <v>0</v>
      </c>
      <c r="AO423" s="8"/>
      <c r="AP423" s="9">
        <f>I423-W423-X423-AN423</f>
        <v>0</v>
      </c>
      <c r="AQ423" t="s">
        <v>1316</v>
      </c>
    </row>
    <row r="424" spans="1:43" x14ac:dyDescent="0.3">
      <c r="A424" s="11">
        <f t="shared" si="14"/>
        <v>422</v>
      </c>
      <c r="B424" s="5" t="s">
        <v>1675</v>
      </c>
      <c r="C424" t="s">
        <v>893</v>
      </c>
      <c r="D424" s="24" t="s">
        <v>824</v>
      </c>
      <c r="E424" s="24" t="str">
        <f>IFERROR(VLOOKUP(D424,Dropdown!A:B,2,0),D424)</f>
        <v>Paragon</v>
      </c>
      <c r="F424" s="6">
        <v>45819</v>
      </c>
      <c r="G424" s="6" t="str">
        <f>TEXT(F424, "MMM-YY")</f>
        <v>Jun-25</v>
      </c>
      <c r="H424" t="s">
        <v>413</v>
      </c>
      <c r="I424" s="25">
        <v>108.78</v>
      </c>
      <c r="J424" s="4">
        <v>1000</v>
      </c>
      <c r="K424" t="s">
        <v>948</v>
      </c>
      <c r="L424" s="4" t="str">
        <f>VLOOKUP(K424, 'Items Master'!A:E,5,0)</f>
        <v>RIL</v>
      </c>
      <c r="M424" s="4" t="str">
        <f>VLOOKUP(K424, 'Items Master'!A:D,4,0)</f>
        <v>PP RCP</v>
      </c>
      <c r="N424" s="4" t="s">
        <v>49</v>
      </c>
      <c r="Q424" s="6">
        <v>45819</v>
      </c>
      <c r="R424" s="6" t="str">
        <f>TEXT(Q424, "MMM-YY")</f>
        <v>Jun-25</v>
      </c>
      <c r="X424" s="25">
        <v>108.78</v>
      </c>
      <c r="AB424"/>
      <c r="AC424"/>
      <c r="AD424"/>
      <c r="AE424"/>
      <c r="AF424"/>
      <c r="AG424"/>
      <c r="AH424"/>
      <c r="AI424"/>
      <c r="AJ424"/>
      <c r="AK424"/>
      <c r="AL424"/>
      <c r="AM424"/>
      <c r="AN424" s="9">
        <f t="shared" si="13"/>
        <v>0</v>
      </c>
      <c r="AO424" s="8"/>
      <c r="AP424" s="9">
        <f>I424-W424-X424-AN424</f>
        <v>0</v>
      </c>
      <c r="AQ424" t="s">
        <v>1324</v>
      </c>
    </row>
    <row r="425" spans="1:43" x14ac:dyDescent="0.3">
      <c r="A425" s="11">
        <f t="shared" si="14"/>
        <v>423</v>
      </c>
      <c r="B425" s="5" t="s">
        <v>1675</v>
      </c>
      <c r="C425" t="s">
        <v>893</v>
      </c>
      <c r="D425" s="24" t="s">
        <v>824</v>
      </c>
      <c r="E425" s="24" t="str">
        <f>IFERROR(VLOOKUP(D425,Dropdown!A:B,2,0),D425)</f>
        <v>Paragon</v>
      </c>
      <c r="F425" s="6">
        <v>45819</v>
      </c>
      <c r="G425" s="6" t="str">
        <f>TEXT(F425, "MMM-YY")</f>
        <v>Jun-25</v>
      </c>
      <c r="H425" t="s">
        <v>413</v>
      </c>
      <c r="I425" s="25">
        <v>103.78</v>
      </c>
      <c r="J425" s="4">
        <v>1500</v>
      </c>
      <c r="K425" t="s">
        <v>925</v>
      </c>
      <c r="L425" s="4" t="str">
        <f>VLOOKUP(K425, 'Items Master'!A:E,5,0)</f>
        <v>RIL</v>
      </c>
      <c r="M425" s="4" t="str">
        <f>VLOOKUP(K425, 'Items Master'!A:D,4,0)</f>
        <v>PP ICP</v>
      </c>
      <c r="N425" s="4" t="s">
        <v>49</v>
      </c>
      <c r="Q425" s="6">
        <v>45819</v>
      </c>
      <c r="R425" s="6" t="str">
        <f>TEXT(Q425, "MMM-YY")</f>
        <v>Jun-25</v>
      </c>
      <c r="X425" s="25">
        <v>103.78</v>
      </c>
      <c r="AB425"/>
      <c r="AC425"/>
      <c r="AD425"/>
      <c r="AE425"/>
      <c r="AF425"/>
      <c r="AG425"/>
      <c r="AH425"/>
      <c r="AI425"/>
      <c r="AJ425"/>
      <c r="AK425"/>
      <c r="AL425"/>
      <c r="AM425"/>
      <c r="AN425" s="9">
        <f t="shared" si="13"/>
        <v>0</v>
      </c>
      <c r="AO425" s="8"/>
      <c r="AP425" s="9">
        <f>I425-W425-X425-AN425</f>
        <v>0</v>
      </c>
      <c r="AQ425" t="s">
        <v>1324</v>
      </c>
    </row>
    <row r="426" spans="1:43" x14ac:dyDescent="0.3">
      <c r="A426" s="11">
        <f t="shared" si="14"/>
        <v>424</v>
      </c>
      <c r="B426" s="5" t="s">
        <v>1675</v>
      </c>
      <c r="C426" t="s">
        <v>894</v>
      </c>
      <c r="D426" s="24" t="s">
        <v>873</v>
      </c>
      <c r="E426" s="24" t="str">
        <f>IFERROR(VLOOKUP(D426,Dropdown!A:B,2,0),D426)</f>
        <v>POLY PIPES INDIA PRIVATE LIMITED</v>
      </c>
      <c r="F426" s="6">
        <v>45819</v>
      </c>
      <c r="G426" s="6" t="str">
        <f>TEXT(F426, "MMM-YY")</f>
        <v>Jun-25</v>
      </c>
      <c r="H426" t="s">
        <v>414</v>
      </c>
      <c r="I426" s="25">
        <v>69.349999999999994</v>
      </c>
      <c r="J426" s="4">
        <v>10000</v>
      </c>
      <c r="K426" t="s">
        <v>936</v>
      </c>
      <c r="L426" s="4" t="str">
        <f>VLOOKUP(K426, 'Items Master'!A:E,5,0)</f>
        <v>FORMOSA</v>
      </c>
      <c r="M426" s="4" t="str">
        <f>VLOOKUP(K426, 'Items Master'!A:D,4,0)</f>
        <v>PVC</v>
      </c>
      <c r="N426" s="4" t="s">
        <v>24</v>
      </c>
      <c r="Q426" s="6">
        <v>45819</v>
      </c>
      <c r="R426" s="6" t="str">
        <f>TEXT(Q426, "MMM-YY")</f>
        <v>Jun-25</v>
      </c>
      <c r="W426" s="25">
        <v>69.349999999999994</v>
      </c>
      <c r="Y426"/>
      <c r="Z426"/>
      <c r="AB426"/>
      <c r="AC426"/>
      <c r="AD426"/>
      <c r="AE426"/>
      <c r="AF426"/>
      <c r="AG426"/>
      <c r="AH426"/>
      <c r="AI426"/>
      <c r="AJ426"/>
      <c r="AK426"/>
      <c r="AL426"/>
      <c r="AM426"/>
      <c r="AN426" s="9">
        <f t="shared" si="13"/>
        <v>0</v>
      </c>
      <c r="AO426" s="8"/>
      <c r="AP426" s="9">
        <f>I426-W426-X426-AN426</f>
        <v>0</v>
      </c>
      <c r="AQ426" t="s">
        <v>1316</v>
      </c>
    </row>
    <row r="427" spans="1:43" x14ac:dyDescent="0.3">
      <c r="A427" s="11">
        <f t="shared" si="14"/>
        <v>425</v>
      </c>
      <c r="B427" s="5" t="s">
        <v>1675</v>
      </c>
      <c r="C427" t="s">
        <v>893</v>
      </c>
      <c r="D427" s="24" t="s">
        <v>857</v>
      </c>
      <c r="E427" s="24" t="str">
        <f>IFERROR(VLOOKUP(D427,Dropdown!A:B,2,0),D427)</f>
        <v>Purav</v>
      </c>
      <c r="F427" s="6">
        <v>45819</v>
      </c>
      <c r="G427" s="6" t="str">
        <f>TEXT(F427, "MMM-YY")</f>
        <v>Jun-25</v>
      </c>
      <c r="H427" t="s">
        <v>415</v>
      </c>
      <c r="I427" s="25">
        <v>95.5</v>
      </c>
      <c r="J427" s="4">
        <v>6000</v>
      </c>
      <c r="K427" t="s">
        <v>898</v>
      </c>
      <c r="L427" s="4" t="str">
        <f>VLOOKUP(K427, 'Items Master'!A:E,5,0)</f>
        <v>OPAL</v>
      </c>
      <c r="M427" s="4" t="str">
        <f>VLOOKUP(K427, 'Items Master'!A:D,4,0)</f>
        <v>LLDPE</v>
      </c>
      <c r="N427" s="4" t="s">
        <v>49</v>
      </c>
      <c r="O427" t="s">
        <v>1298</v>
      </c>
      <c r="Q427" s="6">
        <v>45819</v>
      </c>
      <c r="R427" s="6" t="str">
        <f>TEXT(Q427, "MMM-YY")</f>
        <v>Jun-25</v>
      </c>
      <c r="S427" t="s">
        <v>21</v>
      </c>
      <c r="U427" t="s">
        <v>1605</v>
      </c>
      <c r="X427" s="25">
        <v>96.3</v>
      </c>
      <c r="AB427" s="8">
        <v>-0.9</v>
      </c>
      <c r="AH427" s="8">
        <v>0.1</v>
      </c>
      <c r="AN427" s="9">
        <f t="shared" si="13"/>
        <v>-0.8</v>
      </c>
      <c r="AO427" s="8"/>
      <c r="AP427" s="9">
        <f>I427-W427-X427-AN427</f>
        <v>2.886579864025407E-15</v>
      </c>
      <c r="AQ427" t="s">
        <v>1316</v>
      </c>
    </row>
    <row r="428" spans="1:43" x14ac:dyDescent="0.3">
      <c r="A428" s="11">
        <f t="shared" si="14"/>
        <v>426</v>
      </c>
      <c r="B428" s="5" t="s">
        <v>1675</v>
      </c>
      <c r="C428" t="s">
        <v>893</v>
      </c>
      <c r="D428" s="24" t="s">
        <v>857</v>
      </c>
      <c r="E428" s="24" t="str">
        <f>IFERROR(VLOOKUP(D428,Dropdown!A:B,2,0),D428)</f>
        <v>Purav</v>
      </c>
      <c r="F428" s="6">
        <v>45819</v>
      </c>
      <c r="G428" s="6" t="str">
        <f>TEXT(F428, "MMM-YY")</f>
        <v>Jun-25</v>
      </c>
      <c r="H428" t="s">
        <v>416</v>
      </c>
      <c r="I428" s="25">
        <v>95.5</v>
      </c>
      <c r="J428" s="4">
        <v>4000</v>
      </c>
      <c r="K428" t="s">
        <v>17</v>
      </c>
      <c r="L428" s="4" t="str">
        <f>VLOOKUP(K428, 'Items Master'!A:E,5,0)</f>
        <v>OPAL</v>
      </c>
      <c r="M428" s="4" t="str">
        <f>VLOOKUP(K428, 'Items Master'!A:D,4,0)</f>
        <v>LLDPE</v>
      </c>
      <c r="N428" s="4" t="s">
        <v>49</v>
      </c>
      <c r="O428" t="s">
        <v>1298</v>
      </c>
      <c r="Q428" s="6">
        <v>45819</v>
      </c>
      <c r="R428" s="6" t="str">
        <f>TEXT(Q428, "MMM-YY")</f>
        <v>Jun-25</v>
      </c>
      <c r="S428" t="s">
        <v>21</v>
      </c>
      <c r="U428" t="s">
        <v>1605</v>
      </c>
      <c r="X428" s="25">
        <v>96.3</v>
      </c>
      <c r="AB428" s="8">
        <v>-0.9</v>
      </c>
      <c r="AH428" s="8">
        <v>0.1</v>
      </c>
      <c r="AN428" s="9">
        <f t="shared" si="13"/>
        <v>-0.8</v>
      </c>
      <c r="AO428" s="8"/>
      <c r="AP428" s="9">
        <f>I428-W428-X428-AN428</f>
        <v>2.886579864025407E-15</v>
      </c>
      <c r="AQ428" t="s">
        <v>1316</v>
      </c>
    </row>
    <row r="429" spans="1:43" x14ac:dyDescent="0.3">
      <c r="A429" s="11">
        <f t="shared" si="14"/>
        <v>427</v>
      </c>
      <c r="B429" s="5" t="s">
        <v>1675</v>
      </c>
      <c r="C429" t="s">
        <v>893</v>
      </c>
      <c r="D429" s="24" t="s">
        <v>48</v>
      </c>
      <c r="E429" s="24" t="str">
        <f>IFERROR(VLOOKUP(D429,Dropdown!A:B,2,0),D429)</f>
        <v>CVPL</v>
      </c>
      <c r="F429" s="6">
        <v>45819</v>
      </c>
      <c r="G429" s="6" t="str">
        <f>TEXT(F429, "MMM-YY")</f>
        <v>Jun-25</v>
      </c>
      <c r="H429" t="s">
        <v>417</v>
      </c>
      <c r="I429" s="25">
        <v>115.75</v>
      </c>
      <c r="J429" s="4">
        <v>250</v>
      </c>
      <c r="K429" t="s">
        <v>953</v>
      </c>
      <c r="L429" s="4" t="str">
        <f>VLOOKUP(K429, 'Items Master'!A:E,5,0)</f>
        <v>LOTRENE</v>
      </c>
      <c r="M429" s="4" t="str">
        <f>VLOOKUP(K429, 'Items Master'!A:D,4,0)</f>
        <v>LDPE</v>
      </c>
      <c r="N429" s="4" t="s">
        <v>24</v>
      </c>
      <c r="Q429" s="6">
        <v>45819</v>
      </c>
      <c r="R429" s="6" t="str">
        <f>TEXT(Q429, "MMM-YY")</f>
        <v>Jun-25</v>
      </c>
      <c r="W429" s="25">
        <v>115.75</v>
      </c>
      <c r="Y429"/>
      <c r="Z429"/>
      <c r="AB429"/>
      <c r="AC429"/>
      <c r="AD429"/>
      <c r="AE429"/>
      <c r="AF429"/>
      <c r="AG429"/>
      <c r="AH429"/>
      <c r="AI429"/>
      <c r="AJ429"/>
      <c r="AK429"/>
      <c r="AL429"/>
      <c r="AM429"/>
      <c r="AN429" s="9">
        <f t="shared" si="13"/>
        <v>0</v>
      </c>
      <c r="AO429" s="8"/>
      <c r="AP429" s="9">
        <f>I429-W429-X429-AN429</f>
        <v>0</v>
      </c>
      <c r="AQ429" t="s">
        <v>1316</v>
      </c>
    </row>
    <row r="430" spans="1:43" x14ac:dyDescent="0.3">
      <c r="A430" s="11">
        <f t="shared" si="14"/>
        <v>428</v>
      </c>
      <c r="B430" s="5" t="s">
        <v>1675</v>
      </c>
      <c r="C430" t="s">
        <v>893</v>
      </c>
      <c r="D430" s="24" t="s">
        <v>48</v>
      </c>
      <c r="E430" s="24" t="str">
        <f>IFERROR(VLOOKUP(D430,Dropdown!A:B,2,0),D430)</f>
        <v>CVPL</v>
      </c>
      <c r="F430" s="6">
        <v>45820</v>
      </c>
      <c r="G430" s="6" t="str">
        <f>TEXT(F430, "MMM-YY")</f>
        <v>Jun-25</v>
      </c>
      <c r="H430" t="s">
        <v>418</v>
      </c>
      <c r="I430" s="25">
        <v>100.15</v>
      </c>
      <c r="J430" s="4">
        <v>3000</v>
      </c>
      <c r="K430" t="s">
        <v>901</v>
      </c>
      <c r="L430" s="4" t="str">
        <f>VLOOKUP(K430, 'Items Master'!A:E,5,0)</f>
        <v>MRPL</v>
      </c>
      <c r="M430" s="4" t="str">
        <f>VLOOKUP(K430, 'Items Master'!A:D,4,0)</f>
        <v>PP</v>
      </c>
      <c r="N430" s="4" t="s">
        <v>49</v>
      </c>
      <c r="O430" t="s">
        <v>1298</v>
      </c>
      <c r="Q430" s="6">
        <v>45820</v>
      </c>
      <c r="R430" s="6" t="str">
        <f>TEXT(Q430, "MMM-YY")</f>
        <v>Jun-25</v>
      </c>
      <c r="X430" s="25">
        <v>98.346000000000004</v>
      </c>
      <c r="AB430"/>
      <c r="AC430"/>
      <c r="AD430"/>
      <c r="AE430"/>
      <c r="AF430"/>
      <c r="AG430"/>
      <c r="AH430"/>
      <c r="AI430"/>
      <c r="AJ430"/>
      <c r="AK430"/>
      <c r="AL430"/>
      <c r="AM430"/>
      <c r="AN430" s="9">
        <f t="shared" si="13"/>
        <v>0</v>
      </c>
      <c r="AO430" s="8"/>
      <c r="AP430" s="9">
        <f>I430-W430-X430-AN430</f>
        <v>1.804000000000002</v>
      </c>
      <c r="AQ430" t="s">
        <v>1324</v>
      </c>
    </row>
    <row r="431" spans="1:43" x14ac:dyDescent="0.3">
      <c r="A431" s="11">
        <f t="shared" si="14"/>
        <v>429</v>
      </c>
      <c r="B431" s="5" t="s">
        <v>1675</v>
      </c>
      <c r="C431" t="s">
        <v>893</v>
      </c>
      <c r="D431" s="24" t="s">
        <v>866</v>
      </c>
      <c r="E431" s="24" t="str">
        <f>IFERROR(VLOOKUP(D431,Dropdown!A:B,2,0),D431)</f>
        <v>KLENE PAKS LIMITED</v>
      </c>
      <c r="F431" s="6">
        <v>45820</v>
      </c>
      <c r="G431" s="6" t="str">
        <f>TEXT(F431, "MMM-YY")</f>
        <v>Jun-25</v>
      </c>
      <c r="H431" t="s">
        <v>419</v>
      </c>
      <c r="I431" s="25">
        <v>93.75</v>
      </c>
      <c r="J431" s="4">
        <v>11000</v>
      </c>
      <c r="K431" t="s">
        <v>899</v>
      </c>
      <c r="L431" s="4" t="str">
        <f>VLOOKUP(K431, 'Items Master'!A:E,5,0)</f>
        <v>MRPL</v>
      </c>
      <c r="M431" s="4" t="str">
        <f>VLOOKUP(K431, 'Items Master'!A:D,4,0)</f>
        <v>PP</v>
      </c>
      <c r="N431" s="4" t="s">
        <v>1325</v>
      </c>
      <c r="O431" t="s">
        <v>1299</v>
      </c>
      <c r="Q431" s="6">
        <v>45820</v>
      </c>
      <c r="R431" s="6" t="str">
        <f>TEXT(Q431, "MMM-YY")</f>
        <v>Jun-25</v>
      </c>
      <c r="S431" t="s">
        <v>21</v>
      </c>
      <c r="W431" s="25">
        <v>93.75</v>
      </c>
      <c r="AB431"/>
      <c r="AC431"/>
      <c r="AD431"/>
      <c r="AE431"/>
      <c r="AF431"/>
      <c r="AG431"/>
      <c r="AH431"/>
      <c r="AI431"/>
      <c r="AJ431"/>
      <c r="AK431"/>
      <c r="AL431"/>
      <c r="AM431"/>
      <c r="AN431" s="9">
        <f t="shared" si="13"/>
        <v>0</v>
      </c>
      <c r="AO431" s="8"/>
      <c r="AP431" s="9">
        <f>I431-W431-X431-AN431</f>
        <v>0</v>
      </c>
      <c r="AQ431" t="s">
        <v>1316</v>
      </c>
    </row>
    <row r="432" spans="1:43" x14ac:dyDescent="0.3">
      <c r="A432" s="11">
        <f t="shared" si="14"/>
        <v>430</v>
      </c>
      <c r="B432" s="5" t="s">
        <v>1675</v>
      </c>
      <c r="C432" t="s">
        <v>893</v>
      </c>
      <c r="D432" s="24" t="s">
        <v>48</v>
      </c>
      <c r="E432" s="24" t="str">
        <f>IFERROR(VLOOKUP(D432,Dropdown!A:B,2,0),D432)</f>
        <v>CVPL</v>
      </c>
      <c r="F432" s="6">
        <v>45820</v>
      </c>
      <c r="G432" s="6" t="str">
        <f>TEXT(F432, "MMM-YY")</f>
        <v>Jun-25</v>
      </c>
      <c r="H432" t="s">
        <v>420</v>
      </c>
      <c r="I432" s="25">
        <v>100.15</v>
      </c>
      <c r="J432" s="4">
        <v>2500</v>
      </c>
      <c r="K432" t="s">
        <v>901</v>
      </c>
      <c r="L432" s="4" t="str">
        <f>VLOOKUP(K432, 'Items Master'!A:E,5,0)</f>
        <v>MRPL</v>
      </c>
      <c r="M432" s="4" t="str">
        <f>VLOOKUP(K432, 'Items Master'!A:D,4,0)</f>
        <v>PP</v>
      </c>
      <c r="N432" s="4" t="s">
        <v>49</v>
      </c>
      <c r="O432" t="s">
        <v>1298</v>
      </c>
      <c r="Q432" s="6">
        <v>45820</v>
      </c>
      <c r="R432" s="6" t="str">
        <f>TEXT(Q432, "MMM-YY")</f>
        <v>Jun-25</v>
      </c>
      <c r="X432" s="25">
        <v>98.346000000000004</v>
      </c>
      <c r="AB432"/>
      <c r="AC432"/>
      <c r="AD432"/>
      <c r="AE432"/>
      <c r="AF432"/>
      <c r="AG432"/>
      <c r="AH432"/>
      <c r="AI432"/>
      <c r="AJ432"/>
      <c r="AK432"/>
      <c r="AL432"/>
      <c r="AM432"/>
      <c r="AN432" s="9">
        <f t="shared" si="13"/>
        <v>0</v>
      </c>
      <c r="AO432" s="8"/>
      <c r="AP432" s="9">
        <f>I432-W432-X432-AN432</f>
        <v>1.804000000000002</v>
      </c>
      <c r="AQ432" t="s">
        <v>1324</v>
      </c>
    </row>
    <row r="433" spans="1:44" x14ac:dyDescent="0.3">
      <c r="A433" s="11">
        <f t="shared" si="14"/>
        <v>431</v>
      </c>
      <c r="B433" s="5" t="s">
        <v>1675</v>
      </c>
      <c r="C433" t="s">
        <v>893</v>
      </c>
      <c r="D433" s="24" t="s">
        <v>824</v>
      </c>
      <c r="E433" s="24" t="str">
        <f>IFERROR(VLOOKUP(D433,Dropdown!A:B,2,0),D433)</f>
        <v>Paragon</v>
      </c>
      <c r="F433" s="6">
        <v>45820</v>
      </c>
      <c r="G433" s="6" t="str">
        <f>TEXT(F433, "MMM-YY")</f>
        <v>Jun-25</v>
      </c>
      <c r="H433" t="s">
        <v>421</v>
      </c>
      <c r="I433" s="25">
        <v>100.68</v>
      </c>
      <c r="J433" s="4">
        <v>5000</v>
      </c>
      <c r="K433" t="s">
        <v>912</v>
      </c>
      <c r="L433" s="4" t="str">
        <f>VLOOKUP(K433, 'Items Master'!A:E,5,0)</f>
        <v>RIL</v>
      </c>
      <c r="M433" s="4" t="str">
        <f>VLOOKUP(K433, 'Items Master'!A:D,4,0)</f>
        <v>PP</v>
      </c>
      <c r="N433" s="4" t="s">
        <v>49</v>
      </c>
      <c r="Q433" s="6">
        <v>45820</v>
      </c>
      <c r="R433" s="6" t="str">
        <f>TEXT(Q433, "MMM-YY")</f>
        <v>Jun-25</v>
      </c>
      <c r="X433" s="25">
        <v>100.68</v>
      </c>
      <c r="AB433"/>
      <c r="AC433"/>
      <c r="AD433"/>
      <c r="AE433"/>
      <c r="AF433"/>
      <c r="AG433"/>
      <c r="AH433"/>
      <c r="AI433"/>
      <c r="AJ433"/>
      <c r="AK433"/>
      <c r="AL433"/>
      <c r="AM433"/>
      <c r="AN433" s="9">
        <f t="shared" si="13"/>
        <v>0</v>
      </c>
      <c r="AO433" s="8"/>
      <c r="AP433" s="9">
        <f>I433-W433-X433-AN433</f>
        <v>0</v>
      </c>
      <c r="AQ433" t="s">
        <v>1324</v>
      </c>
    </row>
    <row r="434" spans="1:44" x14ac:dyDescent="0.3">
      <c r="A434" s="11">
        <f t="shared" si="14"/>
        <v>432</v>
      </c>
      <c r="B434" s="5" t="s">
        <v>1675</v>
      </c>
      <c r="C434" t="s">
        <v>893</v>
      </c>
      <c r="D434" s="24" t="s">
        <v>836</v>
      </c>
      <c r="E434" s="24" t="str">
        <f>IFERROR(VLOOKUP(D434,Dropdown!A:B,2,0),D434)</f>
        <v>Intime</v>
      </c>
      <c r="F434" s="6">
        <v>45820</v>
      </c>
      <c r="G434" s="6" t="str">
        <f>TEXT(F434, "MMM-YY")</f>
        <v>Jun-25</v>
      </c>
      <c r="H434" t="s">
        <v>422</v>
      </c>
      <c r="I434" s="25">
        <v>95.933000000000007</v>
      </c>
      <c r="J434" s="4">
        <v>13000</v>
      </c>
      <c r="K434" t="s">
        <v>911</v>
      </c>
      <c r="L434" s="4" t="str">
        <f>VLOOKUP(K434, 'Items Master'!A:E,5,0)</f>
        <v>BCPL</v>
      </c>
      <c r="M434" s="4" t="str">
        <f>VLOOKUP(K434, 'Items Master'!A:D,4,0)</f>
        <v>LLDPE</v>
      </c>
      <c r="N434" s="4" t="s">
        <v>49</v>
      </c>
      <c r="Q434" s="6">
        <v>45820</v>
      </c>
      <c r="R434" s="6" t="str">
        <f>TEXT(Q434, "MMM-YY")</f>
        <v>Jun-25</v>
      </c>
      <c r="X434" s="25">
        <v>95.933000000000007</v>
      </c>
      <c r="AB434"/>
      <c r="AC434"/>
      <c r="AD434"/>
      <c r="AE434"/>
      <c r="AF434"/>
      <c r="AG434"/>
      <c r="AH434"/>
      <c r="AI434"/>
      <c r="AJ434"/>
      <c r="AK434"/>
      <c r="AL434"/>
      <c r="AM434"/>
      <c r="AN434" s="9">
        <f t="shared" si="13"/>
        <v>0</v>
      </c>
      <c r="AO434" s="8"/>
      <c r="AP434" s="9">
        <f>I434-W434-X434-AN434</f>
        <v>0</v>
      </c>
      <c r="AQ434" t="s">
        <v>1324</v>
      </c>
    </row>
    <row r="435" spans="1:44" x14ac:dyDescent="0.3">
      <c r="A435" s="11">
        <f t="shared" si="14"/>
        <v>433</v>
      </c>
      <c r="B435" s="5" t="s">
        <v>1675</v>
      </c>
      <c r="C435" t="s">
        <v>893</v>
      </c>
      <c r="D435" s="24" t="s">
        <v>864</v>
      </c>
      <c r="E435" s="24" t="str">
        <f>IFERROR(VLOOKUP(D435,Dropdown!A:B,2,0),D435)</f>
        <v>SVP</v>
      </c>
      <c r="F435" s="6">
        <v>45820</v>
      </c>
      <c r="G435" s="6" t="str">
        <f>TEXT(F435, "MMM-YY")</f>
        <v>Jun-25</v>
      </c>
      <c r="H435" t="s">
        <v>423</v>
      </c>
      <c r="I435" s="25">
        <v>97.48</v>
      </c>
      <c r="J435" s="4">
        <v>5000</v>
      </c>
      <c r="K435" t="s">
        <v>958</v>
      </c>
      <c r="L435" s="4" t="str">
        <f>VLOOKUP(K435, 'Items Master'!A:E,5,0)</f>
        <v>HMEL</v>
      </c>
      <c r="M435" s="4" t="str">
        <f>VLOOKUP(K435, 'Items Master'!A:D,4,0)</f>
        <v>PP</v>
      </c>
      <c r="N435" s="4" t="s">
        <v>49</v>
      </c>
      <c r="Q435" s="6">
        <v>45820</v>
      </c>
      <c r="R435" s="6" t="str">
        <f>TEXT(Q435, "MMM-YY")</f>
        <v>Jun-25</v>
      </c>
      <c r="X435" s="25">
        <v>100.48</v>
      </c>
      <c r="Y435" t="s">
        <v>1303</v>
      </c>
      <c r="Z435" t="s">
        <v>1305</v>
      </c>
      <c r="AB435" s="8">
        <v>-1.1000000000000001</v>
      </c>
      <c r="AC435" s="8">
        <v>-0.5</v>
      </c>
      <c r="AD435" s="8">
        <v>-1.75</v>
      </c>
      <c r="AN435" s="9">
        <f t="shared" si="13"/>
        <v>-3.35</v>
      </c>
      <c r="AO435" s="8"/>
      <c r="AP435" s="9">
        <f>I435-W435-X435-AN435</f>
        <v>0.35000000000000009</v>
      </c>
      <c r="AQ435" t="s">
        <v>1316</v>
      </c>
      <c r="AR435" t="s">
        <v>1322</v>
      </c>
    </row>
    <row r="436" spans="1:44" x14ac:dyDescent="0.3">
      <c r="A436" s="11">
        <f t="shared" si="14"/>
        <v>434</v>
      </c>
      <c r="B436" s="5" t="s">
        <v>1675</v>
      </c>
      <c r="C436" t="s">
        <v>893</v>
      </c>
      <c r="D436" s="24" t="s">
        <v>48</v>
      </c>
      <c r="E436" s="24" t="str">
        <f>IFERROR(VLOOKUP(D436,Dropdown!A:B,2,0),D436)</f>
        <v>CVPL</v>
      </c>
      <c r="F436" s="6">
        <v>45820</v>
      </c>
      <c r="G436" s="6" t="str">
        <f>TEXT(F436, "MMM-YY")</f>
        <v>Jun-25</v>
      </c>
      <c r="H436" t="s">
        <v>424</v>
      </c>
      <c r="I436" s="25">
        <v>98.55</v>
      </c>
      <c r="J436" s="4">
        <v>2500</v>
      </c>
      <c r="K436" t="s">
        <v>937</v>
      </c>
      <c r="L436" s="4" t="str">
        <f>VLOOKUP(K436, 'Items Master'!A:E,5,0)</f>
        <v>MRPL</v>
      </c>
      <c r="M436" s="4" t="str">
        <f>VLOOKUP(K436, 'Items Master'!A:D,4,0)</f>
        <v>PP</v>
      </c>
      <c r="N436" s="4" t="s">
        <v>49</v>
      </c>
      <c r="O436" t="s">
        <v>1298</v>
      </c>
      <c r="Q436" s="6">
        <v>45820</v>
      </c>
      <c r="R436" s="6" t="str">
        <f>TEXT(Q436, "MMM-YY")</f>
        <v>Jun-25</v>
      </c>
      <c r="X436" s="25">
        <v>96.745999999999995</v>
      </c>
      <c r="AB436"/>
      <c r="AC436"/>
      <c r="AD436"/>
      <c r="AE436"/>
      <c r="AF436"/>
      <c r="AG436"/>
      <c r="AH436"/>
      <c r="AI436"/>
      <c r="AJ436"/>
      <c r="AK436"/>
      <c r="AL436"/>
      <c r="AM436"/>
      <c r="AN436" s="9">
        <f t="shared" si="13"/>
        <v>0</v>
      </c>
      <c r="AO436" s="8"/>
      <c r="AP436" s="9">
        <f>I436-W436-X436-AN436</f>
        <v>1.804000000000002</v>
      </c>
      <c r="AQ436" t="s">
        <v>1324</v>
      </c>
    </row>
    <row r="437" spans="1:44" x14ac:dyDescent="0.3">
      <c r="A437" s="11">
        <f t="shared" si="14"/>
        <v>435</v>
      </c>
      <c r="B437" s="5" t="s">
        <v>1675</v>
      </c>
      <c r="C437" t="s">
        <v>893</v>
      </c>
      <c r="D437" s="24" t="s">
        <v>874</v>
      </c>
      <c r="E437" s="24" t="str">
        <f>IFERROR(VLOOKUP(D437,Dropdown!A:B,2,0),D437)</f>
        <v>RAJATH CONSUMABLES</v>
      </c>
      <c r="F437" s="6">
        <v>45820</v>
      </c>
      <c r="G437" s="6" t="str">
        <f>TEXT(F437, "MMM-YY")</f>
        <v>Jun-25</v>
      </c>
      <c r="H437" t="s">
        <v>425</v>
      </c>
      <c r="I437" s="25">
        <v>66</v>
      </c>
      <c r="J437" s="4">
        <v>12000</v>
      </c>
      <c r="K437" t="s">
        <v>900</v>
      </c>
      <c r="L437" s="4" t="str">
        <f>VLOOKUP(K437, 'Items Master'!A:E,5,0)</f>
        <v>HANWHA</v>
      </c>
      <c r="M437" s="4" t="str">
        <f>VLOOKUP(K437, 'Items Master'!A:D,4,0)</f>
        <v>PVC</v>
      </c>
      <c r="N437" s="4" t="s">
        <v>24</v>
      </c>
      <c r="Q437" s="6">
        <v>45820</v>
      </c>
      <c r="R437" s="6" t="str">
        <f>TEXT(Q437, "MMM-YY")</f>
        <v>Jun-25</v>
      </c>
      <c r="W437" s="25">
        <v>66</v>
      </c>
      <c r="Y437"/>
      <c r="Z437"/>
      <c r="AB437"/>
      <c r="AC437"/>
      <c r="AD437"/>
      <c r="AE437"/>
      <c r="AF437"/>
      <c r="AG437"/>
      <c r="AH437"/>
      <c r="AI437"/>
      <c r="AJ437"/>
      <c r="AK437"/>
      <c r="AL437"/>
      <c r="AM437"/>
      <c r="AN437" s="9">
        <f t="shared" si="13"/>
        <v>0</v>
      </c>
      <c r="AO437" s="8"/>
      <c r="AP437" s="9">
        <f>I437-W437-X437-AN437</f>
        <v>0</v>
      </c>
      <c r="AQ437" t="s">
        <v>1316</v>
      </c>
    </row>
    <row r="438" spans="1:44" x14ac:dyDescent="0.3">
      <c r="A438" s="11">
        <f t="shared" si="14"/>
        <v>436</v>
      </c>
      <c r="B438" s="5" t="s">
        <v>1675</v>
      </c>
      <c r="C438" t="s">
        <v>893</v>
      </c>
      <c r="D438" s="24" t="s">
        <v>838</v>
      </c>
      <c r="E438" s="24" t="str">
        <f>IFERROR(VLOOKUP(D438,Dropdown!A:B,2,0),D438)</f>
        <v>Treenity</v>
      </c>
      <c r="F438" s="6">
        <v>45820</v>
      </c>
      <c r="G438" s="6" t="str">
        <f>TEXT(F438, "MMM-YY")</f>
        <v>Jun-25</v>
      </c>
      <c r="H438" t="s">
        <v>426</v>
      </c>
      <c r="I438" s="25">
        <v>98.6</v>
      </c>
      <c r="J438" s="4">
        <v>15000</v>
      </c>
      <c r="K438" t="s">
        <v>899</v>
      </c>
      <c r="L438" s="4" t="str">
        <f>VLOOKUP(K438, 'Items Master'!A:E,5,0)</f>
        <v>MRPL</v>
      </c>
      <c r="M438" s="4" t="str">
        <f>VLOOKUP(K438, 'Items Master'!A:D,4,0)</f>
        <v>PP</v>
      </c>
      <c r="N438" s="4" t="s">
        <v>49</v>
      </c>
      <c r="Q438" s="6">
        <v>45820</v>
      </c>
      <c r="R438" s="6" t="str">
        <f>TEXT(Q438, "MMM-YY")</f>
        <v>Jun-25</v>
      </c>
      <c r="X438" s="25">
        <v>96.9</v>
      </c>
      <c r="Y438" t="s">
        <v>1304</v>
      </c>
      <c r="Z438" t="s">
        <v>1305</v>
      </c>
      <c r="AI438" s="8">
        <v>1.7</v>
      </c>
      <c r="AN438" s="9">
        <f t="shared" si="13"/>
        <v>1.7</v>
      </c>
      <c r="AO438" s="8"/>
      <c r="AP438" s="9">
        <f>I438-W438-X438-AN438</f>
        <v>-1.1324274851176597E-14</v>
      </c>
      <c r="AQ438" t="s">
        <v>1316</v>
      </c>
    </row>
    <row r="439" spans="1:44" x14ac:dyDescent="0.3">
      <c r="A439" s="11">
        <f t="shared" si="14"/>
        <v>437</v>
      </c>
      <c r="B439" s="5" t="s">
        <v>1675</v>
      </c>
      <c r="C439" t="s">
        <v>893</v>
      </c>
      <c r="D439" s="24" t="s">
        <v>838</v>
      </c>
      <c r="E439" s="24" t="str">
        <f>IFERROR(VLOOKUP(D439,Dropdown!A:B,2,0),D439)</f>
        <v>Treenity</v>
      </c>
      <c r="F439" s="6">
        <v>45820</v>
      </c>
      <c r="G439" s="6" t="str">
        <f>TEXT(F439, "MMM-YY")</f>
        <v>Jun-25</v>
      </c>
      <c r="H439" t="s">
        <v>426</v>
      </c>
      <c r="I439" s="25">
        <v>100.05</v>
      </c>
      <c r="J439" s="4">
        <v>10000</v>
      </c>
      <c r="K439" t="s">
        <v>901</v>
      </c>
      <c r="L439" s="4" t="str">
        <f>VLOOKUP(K439, 'Items Master'!A:E,5,0)</f>
        <v>MRPL</v>
      </c>
      <c r="M439" s="4" t="str">
        <f>VLOOKUP(K439, 'Items Master'!A:D,4,0)</f>
        <v>PP</v>
      </c>
      <c r="N439" s="4" t="s">
        <v>49</v>
      </c>
      <c r="Q439" s="6">
        <v>45820</v>
      </c>
      <c r="R439" s="6" t="str">
        <f>TEXT(Q439, "MMM-YY")</f>
        <v>Jun-25</v>
      </c>
      <c r="X439" s="25">
        <v>98.35</v>
      </c>
      <c r="Y439" t="s">
        <v>1304</v>
      </c>
      <c r="Z439" t="s">
        <v>1305</v>
      </c>
      <c r="AI439" s="8">
        <v>1.7</v>
      </c>
      <c r="AN439" s="9">
        <f t="shared" si="13"/>
        <v>1.7</v>
      </c>
      <c r="AO439" s="8"/>
      <c r="AP439" s="9">
        <f>I439-W439-X439-AN439</f>
        <v>2.886579864025407E-15</v>
      </c>
      <c r="AQ439" t="s">
        <v>1316</v>
      </c>
    </row>
    <row r="440" spans="1:44" x14ac:dyDescent="0.3">
      <c r="A440" s="11">
        <f t="shared" si="14"/>
        <v>438</v>
      </c>
      <c r="B440" s="5" t="s">
        <v>1675</v>
      </c>
      <c r="C440" t="s">
        <v>893</v>
      </c>
      <c r="D440" s="24" t="s">
        <v>860</v>
      </c>
      <c r="E440" s="24" t="str">
        <f>IFERROR(VLOOKUP(D440,Dropdown!A:B,2,0),D440)</f>
        <v>VINAY PLASTICS</v>
      </c>
      <c r="F440" s="6">
        <v>45821</v>
      </c>
      <c r="G440" s="6" t="str">
        <f>TEXT(F440, "MMM-YY")</f>
        <v>Jun-25</v>
      </c>
      <c r="H440" t="s">
        <v>427</v>
      </c>
      <c r="I440" s="25">
        <v>91</v>
      </c>
      <c r="J440" s="4">
        <v>12000</v>
      </c>
      <c r="K440" t="s">
        <v>915</v>
      </c>
      <c r="L440" s="4" t="str">
        <f>VLOOKUP(K440, 'Items Master'!A:E,5,0)</f>
        <v>RIL</v>
      </c>
      <c r="M440" s="4" t="str">
        <f>VLOOKUP(K440, 'Items Master'!A:D,4,0)</f>
        <v>LLDPE</v>
      </c>
      <c r="N440" s="4" t="s">
        <v>24</v>
      </c>
      <c r="Q440" s="6">
        <v>45821</v>
      </c>
      <c r="R440" s="6" t="str">
        <f>TEXT(Q440, "MMM-YY")</f>
        <v>Jun-25</v>
      </c>
      <c r="W440" s="25">
        <v>91</v>
      </c>
      <c r="Y440"/>
      <c r="Z440"/>
      <c r="AB440"/>
      <c r="AC440"/>
      <c r="AD440"/>
      <c r="AE440"/>
      <c r="AF440"/>
      <c r="AG440"/>
      <c r="AH440"/>
      <c r="AI440"/>
      <c r="AJ440"/>
      <c r="AK440"/>
      <c r="AL440"/>
      <c r="AM440"/>
      <c r="AN440" s="9">
        <f t="shared" si="13"/>
        <v>0</v>
      </c>
      <c r="AO440" s="8"/>
      <c r="AP440" s="9">
        <f>I440-W440-X440-AN440</f>
        <v>0</v>
      </c>
      <c r="AQ440" t="s">
        <v>1316</v>
      </c>
    </row>
    <row r="441" spans="1:44" x14ac:dyDescent="0.3">
      <c r="A441" s="11">
        <f t="shared" si="14"/>
        <v>439</v>
      </c>
      <c r="B441" s="5" t="s">
        <v>1675</v>
      </c>
      <c r="C441" t="s">
        <v>893</v>
      </c>
      <c r="D441" s="24" t="s">
        <v>874</v>
      </c>
      <c r="E441" s="24" t="str">
        <f>IFERROR(VLOOKUP(D441,Dropdown!A:B,2,0),D441)</f>
        <v>RAJATH CONSUMABLES</v>
      </c>
      <c r="F441" s="6">
        <v>45821</v>
      </c>
      <c r="G441" s="6" t="str">
        <f>TEXT(F441, "MMM-YY")</f>
        <v>Jun-25</v>
      </c>
      <c r="H441" t="s">
        <v>428</v>
      </c>
      <c r="I441" s="25">
        <v>66</v>
      </c>
      <c r="J441" s="4">
        <v>13000</v>
      </c>
      <c r="K441" t="s">
        <v>900</v>
      </c>
      <c r="L441" s="4" t="str">
        <f>VLOOKUP(K441, 'Items Master'!A:E,5,0)</f>
        <v>HANWHA</v>
      </c>
      <c r="M441" s="4" t="str">
        <f>VLOOKUP(K441, 'Items Master'!A:D,4,0)</f>
        <v>PVC</v>
      </c>
      <c r="N441" s="4" t="s">
        <v>24</v>
      </c>
      <c r="Q441" s="6">
        <v>45821</v>
      </c>
      <c r="R441" s="6" t="str">
        <f>TEXT(Q441, "MMM-YY")</f>
        <v>Jun-25</v>
      </c>
      <c r="W441" s="25">
        <v>66</v>
      </c>
      <c r="Y441"/>
      <c r="Z441"/>
      <c r="AB441"/>
      <c r="AC441"/>
      <c r="AD441"/>
      <c r="AE441"/>
      <c r="AF441"/>
      <c r="AG441"/>
      <c r="AH441"/>
      <c r="AI441"/>
      <c r="AJ441"/>
      <c r="AK441"/>
      <c r="AL441"/>
      <c r="AM441"/>
      <c r="AN441" s="9">
        <f t="shared" si="13"/>
        <v>0</v>
      </c>
      <c r="AO441" s="8"/>
      <c r="AP441" s="9">
        <f>I441-W441-X441-AN441</f>
        <v>0</v>
      </c>
      <c r="AQ441" t="s">
        <v>1316</v>
      </c>
    </row>
    <row r="442" spans="1:44" x14ac:dyDescent="0.3">
      <c r="A442" s="11">
        <f t="shared" si="14"/>
        <v>440</v>
      </c>
      <c r="B442" s="5" t="s">
        <v>1675</v>
      </c>
      <c r="C442" t="s">
        <v>893</v>
      </c>
      <c r="D442" s="24" t="s">
        <v>857</v>
      </c>
      <c r="E442" s="24" t="str">
        <f>IFERROR(VLOOKUP(D442,Dropdown!A:B,2,0),D442)</f>
        <v>Purav</v>
      </c>
      <c r="F442" s="6">
        <v>45821</v>
      </c>
      <c r="G442" s="6" t="str">
        <f>TEXT(F442, "MMM-YY")</f>
        <v>Jun-25</v>
      </c>
      <c r="H442" t="s">
        <v>429</v>
      </c>
      <c r="I442" s="25">
        <v>95.5</v>
      </c>
      <c r="J442" s="4">
        <v>10000</v>
      </c>
      <c r="K442" t="s">
        <v>17</v>
      </c>
      <c r="L442" s="4" t="str">
        <f>VLOOKUP(K442, 'Items Master'!A:E,5,0)</f>
        <v>OPAL</v>
      </c>
      <c r="M442" s="4" t="str">
        <f>VLOOKUP(K442, 'Items Master'!A:D,4,0)</f>
        <v>LLDPE</v>
      </c>
      <c r="N442" s="4" t="s">
        <v>49</v>
      </c>
      <c r="O442" t="s">
        <v>1298</v>
      </c>
      <c r="Q442" s="6">
        <v>45821</v>
      </c>
      <c r="R442" s="6" t="str">
        <f>TEXT(Q442, "MMM-YY")</f>
        <v>Jun-25</v>
      </c>
      <c r="S442" t="s">
        <v>21</v>
      </c>
      <c r="U442" t="s">
        <v>1605</v>
      </c>
      <c r="X442" s="25">
        <v>96.3</v>
      </c>
      <c r="AB442" s="8">
        <v>-0.9</v>
      </c>
      <c r="AH442" s="8">
        <v>0.1</v>
      </c>
      <c r="AN442" s="9">
        <f t="shared" si="13"/>
        <v>-0.8</v>
      </c>
      <c r="AO442" s="8"/>
      <c r="AP442" s="9">
        <f>I442-W442-X442-AN442</f>
        <v>2.886579864025407E-15</v>
      </c>
      <c r="AQ442" t="s">
        <v>1316</v>
      </c>
    </row>
    <row r="443" spans="1:44" x14ac:dyDescent="0.3">
      <c r="A443" s="11">
        <f t="shared" si="14"/>
        <v>441</v>
      </c>
      <c r="B443" s="5" t="s">
        <v>1675</v>
      </c>
      <c r="C443" t="s">
        <v>893</v>
      </c>
      <c r="D443" s="24" t="s">
        <v>857</v>
      </c>
      <c r="E443" s="24" t="str">
        <f>IFERROR(VLOOKUP(D443,Dropdown!A:B,2,0),D443)</f>
        <v>Purav</v>
      </c>
      <c r="F443" s="6">
        <v>45821</v>
      </c>
      <c r="G443" s="6" t="str">
        <f>TEXT(F443, "MMM-YY")</f>
        <v>Jun-25</v>
      </c>
      <c r="H443" t="s">
        <v>430</v>
      </c>
      <c r="I443" s="25">
        <v>95.5</v>
      </c>
      <c r="J443" s="4">
        <v>10000</v>
      </c>
      <c r="K443" t="s">
        <v>17</v>
      </c>
      <c r="L443" s="4" t="str">
        <f>VLOOKUP(K443, 'Items Master'!A:E,5,0)</f>
        <v>OPAL</v>
      </c>
      <c r="M443" s="4" t="str">
        <f>VLOOKUP(K443, 'Items Master'!A:D,4,0)</f>
        <v>LLDPE</v>
      </c>
      <c r="N443" s="4" t="s">
        <v>49</v>
      </c>
      <c r="O443" t="s">
        <v>1298</v>
      </c>
      <c r="Q443" s="6">
        <v>45821</v>
      </c>
      <c r="R443" s="6" t="str">
        <f>TEXT(Q443, "MMM-YY")</f>
        <v>Jun-25</v>
      </c>
      <c r="S443" t="s">
        <v>21</v>
      </c>
      <c r="U443" t="s">
        <v>1605</v>
      </c>
      <c r="X443" s="25">
        <v>96.3</v>
      </c>
      <c r="AB443" s="8">
        <v>-0.9</v>
      </c>
      <c r="AH443" s="8">
        <v>0.1</v>
      </c>
      <c r="AN443" s="9">
        <f t="shared" si="13"/>
        <v>-0.8</v>
      </c>
      <c r="AO443" s="8"/>
      <c r="AP443" s="9">
        <f>I443-W443-X443-AN443</f>
        <v>2.886579864025407E-15</v>
      </c>
      <c r="AQ443" t="s">
        <v>1316</v>
      </c>
    </row>
    <row r="444" spans="1:44" x14ac:dyDescent="0.3">
      <c r="A444" s="11">
        <f t="shared" si="14"/>
        <v>442</v>
      </c>
      <c r="B444" s="5" t="s">
        <v>1675</v>
      </c>
      <c r="C444" t="s">
        <v>893</v>
      </c>
      <c r="D444" s="24" t="s">
        <v>857</v>
      </c>
      <c r="E444" s="24" t="str">
        <f>IFERROR(VLOOKUP(D444,Dropdown!A:B,2,0),D444)</f>
        <v>Purav</v>
      </c>
      <c r="F444" s="6">
        <v>45822</v>
      </c>
      <c r="G444" s="6" t="str">
        <f>TEXT(F444, "MMM-YY")</f>
        <v>Jun-25</v>
      </c>
      <c r="H444" t="s">
        <v>431</v>
      </c>
      <c r="I444" s="25">
        <v>90.85</v>
      </c>
      <c r="J444" s="4">
        <v>12000</v>
      </c>
      <c r="K444" t="s">
        <v>952</v>
      </c>
      <c r="L444" s="4" t="str">
        <f>VLOOKUP(K444, 'Items Master'!A:E,5,0)</f>
        <v>GAIL</v>
      </c>
      <c r="M444" s="4" t="str">
        <f>VLOOKUP(K444, 'Items Master'!A:D,4,0)</f>
        <v>HDPE</v>
      </c>
      <c r="N444" s="4" t="s">
        <v>24</v>
      </c>
      <c r="Q444" s="6">
        <v>45822</v>
      </c>
      <c r="R444" s="6" t="str">
        <f>TEXT(Q444, "MMM-YY")</f>
        <v>Jun-25</v>
      </c>
      <c r="U444" t="s">
        <v>1606</v>
      </c>
      <c r="W444" s="25">
        <v>90.75</v>
      </c>
      <c r="Y444"/>
      <c r="Z444"/>
      <c r="AH444" s="8">
        <v>0.1</v>
      </c>
      <c r="AN444" s="9">
        <f t="shared" si="13"/>
        <v>0.1</v>
      </c>
      <c r="AO444" s="8"/>
      <c r="AP444" s="9">
        <f>I444-W444-X444-AN444</f>
        <v>-5.6898930012039273E-15</v>
      </c>
      <c r="AQ444" t="s">
        <v>1316</v>
      </c>
    </row>
    <row r="445" spans="1:44" x14ac:dyDescent="0.3">
      <c r="A445" s="11">
        <f t="shared" si="14"/>
        <v>443</v>
      </c>
      <c r="B445" s="5" t="s">
        <v>1675</v>
      </c>
      <c r="C445" t="s">
        <v>893</v>
      </c>
      <c r="D445" s="24" t="s">
        <v>824</v>
      </c>
      <c r="E445" s="24" t="str">
        <f>IFERROR(VLOOKUP(D445,Dropdown!A:B,2,0),D445)</f>
        <v>Paragon</v>
      </c>
      <c r="F445" s="6">
        <v>45822</v>
      </c>
      <c r="G445" s="6" t="str">
        <f>TEXT(F445, "MMM-YY")</f>
        <v>Jun-25</v>
      </c>
      <c r="H445" t="s">
        <v>432</v>
      </c>
      <c r="I445" s="25">
        <v>122.5</v>
      </c>
      <c r="J445" s="4">
        <v>5000</v>
      </c>
      <c r="K445" t="s">
        <v>908</v>
      </c>
      <c r="L445" s="4" t="str">
        <f>VLOOKUP(K445, 'Items Master'!A:E,5,0)</f>
        <v>RIL</v>
      </c>
      <c r="M445" s="4" t="str">
        <f>VLOOKUP(K445, 'Items Master'!A:D,4,0)</f>
        <v>LDPE</v>
      </c>
      <c r="N445" s="4" t="s">
        <v>24</v>
      </c>
      <c r="Q445" s="6">
        <v>45822</v>
      </c>
      <c r="R445" s="6" t="str">
        <f>TEXT(Q445, "MMM-YY")</f>
        <v>Jun-25</v>
      </c>
      <c r="W445" s="25">
        <v>122.5</v>
      </c>
      <c r="Y445"/>
      <c r="Z445"/>
      <c r="AB445"/>
      <c r="AC445"/>
      <c r="AD445"/>
      <c r="AE445"/>
      <c r="AF445"/>
      <c r="AG445"/>
      <c r="AH445"/>
      <c r="AI445"/>
      <c r="AJ445"/>
      <c r="AK445"/>
      <c r="AL445"/>
      <c r="AM445"/>
      <c r="AN445" s="9">
        <f t="shared" si="13"/>
        <v>0</v>
      </c>
      <c r="AO445" s="8"/>
      <c r="AP445" s="9">
        <f>I445-W445-X445-AN445</f>
        <v>0</v>
      </c>
      <c r="AQ445" t="s">
        <v>1316</v>
      </c>
    </row>
    <row r="446" spans="1:44" x14ac:dyDescent="0.3">
      <c r="A446" s="11">
        <f t="shared" si="14"/>
        <v>444</v>
      </c>
      <c r="B446" s="5" t="s">
        <v>1675</v>
      </c>
      <c r="C446" t="s">
        <v>893</v>
      </c>
      <c r="D446" s="24" t="s">
        <v>839</v>
      </c>
      <c r="E446" s="24" t="str">
        <f>IFERROR(VLOOKUP(D446,Dropdown!A:B,2,0),D446)</f>
        <v>Prestine</v>
      </c>
      <c r="F446" s="6">
        <v>45822</v>
      </c>
      <c r="G446" s="6" t="str">
        <f>TEXT(F446, "MMM-YY")</f>
        <v>Jun-25</v>
      </c>
      <c r="H446" t="s">
        <v>433</v>
      </c>
      <c r="I446" s="25">
        <v>100.25</v>
      </c>
      <c r="J446" s="4">
        <v>3000</v>
      </c>
      <c r="K446" t="s">
        <v>910</v>
      </c>
      <c r="L446" s="4" t="str">
        <f>VLOOKUP(K446, 'Items Master'!A:E,5,0)</f>
        <v>RIL</v>
      </c>
      <c r="M446" s="4" t="str">
        <f>VLOOKUP(K446, 'Items Master'!A:D,4,0)</f>
        <v>PP</v>
      </c>
      <c r="N446" s="4" t="s">
        <v>49</v>
      </c>
      <c r="Q446" s="6">
        <v>45822</v>
      </c>
      <c r="R446" s="6" t="str">
        <f>TEXT(Q446, "MMM-YY")</f>
        <v>Jun-25</v>
      </c>
      <c r="X446" s="25">
        <v>99.74</v>
      </c>
      <c r="Y446" s="25" t="s">
        <v>1303</v>
      </c>
      <c r="Z446" s="25" t="s">
        <v>1644</v>
      </c>
      <c r="AB446"/>
      <c r="AC446"/>
      <c r="AD446"/>
      <c r="AE446"/>
      <c r="AF446"/>
      <c r="AG446"/>
      <c r="AH446"/>
      <c r="AI446"/>
      <c r="AJ446"/>
      <c r="AK446"/>
      <c r="AL446"/>
      <c r="AM446"/>
      <c r="AN446" s="9">
        <f t="shared" si="13"/>
        <v>0</v>
      </c>
      <c r="AO446" s="8"/>
      <c r="AP446" s="9">
        <f>I446-W446-X446-AN446</f>
        <v>0.51000000000000512</v>
      </c>
      <c r="AQ446" t="s">
        <v>1324</v>
      </c>
    </row>
    <row r="447" spans="1:44" x14ac:dyDescent="0.3">
      <c r="A447" s="11">
        <f t="shared" si="14"/>
        <v>445</v>
      </c>
      <c r="B447" s="5" t="s">
        <v>1675</v>
      </c>
      <c r="C447" t="s">
        <v>893</v>
      </c>
      <c r="D447" s="24" t="s">
        <v>839</v>
      </c>
      <c r="E447" s="24" t="str">
        <f>IFERROR(VLOOKUP(D447,Dropdown!A:B,2,0),D447)</f>
        <v>Prestine</v>
      </c>
      <c r="F447" s="6">
        <v>45822</v>
      </c>
      <c r="G447" s="6" t="str">
        <f>TEXT(F447, "MMM-YY")</f>
        <v>Jun-25</v>
      </c>
      <c r="H447" t="s">
        <v>434</v>
      </c>
      <c r="I447" s="25">
        <v>100.25</v>
      </c>
      <c r="J447" s="4">
        <v>3000</v>
      </c>
      <c r="K447" t="s">
        <v>910</v>
      </c>
      <c r="L447" s="4" t="str">
        <f>VLOOKUP(K447, 'Items Master'!A:E,5,0)</f>
        <v>RIL</v>
      </c>
      <c r="M447" s="4" t="str">
        <f>VLOOKUP(K447, 'Items Master'!A:D,4,0)</f>
        <v>PP</v>
      </c>
      <c r="N447" s="4" t="s">
        <v>49</v>
      </c>
      <c r="Q447" s="6">
        <v>45822</v>
      </c>
      <c r="R447" s="6" t="str">
        <f>TEXT(Q447, "MMM-YY")</f>
        <v>Jun-25</v>
      </c>
      <c r="X447" s="25">
        <v>99.74</v>
      </c>
      <c r="Y447" s="25" t="s">
        <v>1303</v>
      </c>
      <c r="Z447" s="25" t="s">
        <v>1644</v>
      </c>
      <c r="AB447"/>
      <c r="AC447"/>
      <c r="AD447"/>
      <c r="AE447"/>
      <c r="AF447"/>
      <c r="AG447"/>
      <c r="AH447"/>
      <c r="AI447"/>
      <c r="AJ447"/>
      <c r="AK447"/>
      <c r="AL447"/>
      <c r="AM447"/>
      <c r="AN447" s="9">
        <f t="shared" si="13"/>
        <v>0</v>
      </c>
      <c r="AO447" s="8"/>
      <c r="AP447" s="9">
        <f>I447-W447-X447-AN447</f>
        <v>0.51000000000000512</v>
      </c>
      <c r="AQ447" t="s">
        <v>1324</v>
      </c>
    </row>
    <row r="448" spans="1:44" x14ac:dyDescent="0.3">
      <c r="A448" s="11">
        <f t="shared" si="14"/>
        <v>446</v>
      </c>
      <c r="B448" s="5" t="s">
        <v>1675</v>
      </c>
      <c r="C448" t="s">
        <v>893</v>
      </c>
      <c r="D448" s="24" t="s">
        <v>824</v>
      </c>
      <c r="E448" s="24" t="str">
        <f>IFERROR(VLOOKUP(D448,Dropdown!A:B,2,0),D448)</f>
        <v>Paragon</v>
      </c>
      <c r="F448" s="6">
        <v>45822</v>
      </c>
      <c r="G448" s="6" t="str">
        <f>TEXT(F448, "MMM-YY")</f>
        <v>Jun-25</v>
      </c>
      <c r="H448" t="s">
        <v>435</v>
      </c>
      <c r="I448" s="25">
        <v>108.78</v>
      </c>
      <c r="J448" s="4">
        <v>1000</v>
      </c>
      <c r="K448" t="s">
        <v>948</v>
      </c>
      <c r="L448" s="4" t="str">
        <f>VLOOKUP(K448, 'Items Master'!A:E,5,0)</f>
        <v>RIL</v>
      </c>
      <c r="M448" s="4" t="str">
        <f>VLOOKUP(K448, 'Items Master'!A:D,4,0)</f>
        <v>PP RCP</v>
      </c>
      <c r="N448" s="4" t="s">
        <v>49</v>
      </c>
      <c r="Q448" s="6">
        <v>45822</v>
      </c>
      <c r="R448" s="6" t="str">
        <f>TEXT(Q448, "MMM-YY")</f>
        <v>Jun-25</v>
      </c>
      <c r="X448" s="25">
        <v>108.78</v>
      </c>
      <c r="AB448"/>
      <c r="AC448"/>
      <c r="AD448"/>
      <c r="AE448"/>
      <c r="AF448"/>
      <c r="AG448"/>
      <c r="AH448"/>
      <c r="AI448"/>
      <c r="AJ448"/>
      <c r="AK448"/>
      <c r="AL448"/>
      <c r="AM448"/>
      <c r="AN448" s="9">
        <f t="shared" si="13"/>
        <v>0</v>
      </c>
      <c r="AO448" s="8"/>
      <c r="AP448" s="9">
        <f>I448-W448-X448-AN448</f>
        <v>0</v>
      </c>
      <c r="AQ448" t="s">
        <v>1324</v>
      </c>
    </row>
    <row r="449" spans="1:43" x14ac:dyDescent="0.3">
      <c r="A449" s="11">
        <f t="shared" si="14"/>
        <v>447</v>
      </c>
      <c r="B449" s="5" t="s">
        <v>1675</v>
      </c>
      <c r="C449" t="s">
        <v>893</v>
      </c>
      <c r="D449" s="24" t="s">
        <v>824</v>
      </c>
      <c r="E449" s="24" t="str">
        <f>IFERROR(VLOOKUP(D449,Dropdown!A:B,2,0),D449)</f>
        <v>Paragon</v>
      </c>
      <c r="F449" s="6">
        <v>45822</v>
      </c>
      <c r="G449" s="6" t="str">
        <f>TEXT(F449, "MMM-YY")</f>
        <v>Jun-25</v>
      </c>
      <c r="H449" t="s">
        <v>436</v>
      </c>
      <c r="I449" s="25">
        <v>108.78</v>
      </c>
      <c r="J449" s="4">
        <v>1500</v>
      </c>
      <c r="K449" t="s">
        <v>948</v>
      </c>
      <c r="L449" s="4" t="str">
        <f>VLOOKUP(K449, 'Items Master'!A:E,5,0)</f>
        <v>RIL</v>
      </c>
      <c r="M449" s="4" t="str">
        <f>VLOOKUP(K449, 'Items Master'!A:D,4,0)</f>
        <v>PP RCP</v>
      </c>
      <c r="N449" s="4" t="s">
        <v>49</v>
      </c>
      <c r="Q449" s="6">
        <v>45822</v>
      </c>
      <c r="R449" s="6" t="str">
        <f>TEXT(Q449, "MMM-YY")</f>
        <v>Jun-25</v>
      </c>
      <c r="X449" s="25">
        <v>108.78</v>
      </c>
      <c r="AB449"/>
      <c r="AC449"/>
      <c r="AD449"/>
      <c r="AE449"/>
      <c r="AF449"/>
      <c r="AG449"/>
      <c r="AH449"/>
      <c r="AI449"/>
      <c r="AJ449"/>
      <c r="AK449"/>
      <c r="AL449"/>
      <c r="AM449"/>
      <c r="AN449" s="9">
        <f t="shared" si="13"/>
        <v>0</v>
      </c>
      <c r="AO449" s="8"/>
      <c r="AP449" s="9">
        <f>I449-W449-X449-AN449</f>
        <v>0</v>
      </c>
      <c r="AQ449" t="s">
        <v>1324</v>
      </c>
    </row>
    <row r="450" spans="1:43" x14ac:dyDescent="0.3">
      <c r="A450" s="11">
        <f t="shared" si="14"/>
        <v>448</v>
      </c>
      <c r="B450" s="5" t="s">
        <v>1675</v>
      </c>
      <c r="C450" t="s">
        <v>893</v>
      </c>
      <c r="D450" s="24" t="s">
        <v>871</v>
      </c>
      <c r="E450" s="24" t="str">
        <f>IFERROR(VLOOKUP(D450,Dropdown!A:B,2,0),D450)</f>
        <v>JD POLYMERS PACKAGING SOLUTIONS PRIVATE LIMITED</v>
      </c>
      <c r="F450" s="6">
        <v>45822</v>
      </c>
      <c r="G450" s="6" t="str">
        <f>TEXT(F450, "MMM-YY")</f>
        <v>Jun-25</v>
      </c>
      <c r="H450" t="s">
        <v>437</v>
      </c>
      <c r="I450" s="25">
        <v>94</v>
      </c>
      <c r="J450" s="4">
        <v>1000</v>
      </c>
      <c r="K450" t="s">
        <v>929</v>
      </c>
      <c r="L450" s="4" t="str">
        <f>VLOOKUP(K450, 'Items Master'!A:E,5,0)</f>
        <v>HMEL</v>
      </c>
      <c r="M450" s="4" t="str">
        <f>VLOOKUP(K450, 'Items Master'!A:D,4,0)</f>
        <v>HDPE</v>
      </c>
      <c r="N450" s="4" t="s">
        <v>24</v>
      </c>
      <c r="Q450" s="6">
        <v>45822</v>
      </c>
      <c r="R450" s="6" t="str">
        <f>TEXT(Q450, "MMM-YY")</f>
        <v>Jun-25</v>
      </c>
      <c r="W450" s="25">
        <v>94</v>
      </c>
      <c r="Y450"/>
      <c r="Z450"/>
      <c r="AB450"/>
      <c r="AC450"/>
      <c r="AD450"/>
      <c r="AE450"/>
      <c r="AF450"/>
      <c r="AG450"/>
      <c r="AH450"/>
      <c r="AI450"/>
      <c r="AJ450"/>
      <c r="AK450"/>
      <c r="AL450"/>
      <c r="AM450"/>
      <c r="AN450" s="9">
        <f t="shared" si="13"/>
        <v>0</v>
      </c>
      <c r="AO450" s="8"/>
      <c r="AP450" s="9">
        <f>I450-W450-X450-AN450</f>
        <v>0</v>
      </c>
      <c r="AQ450" t="s">
        <v>1316</v>
      </c>
    </row>
    <row r="451" spans="1:43" x14ac:dyDescent="0.3">
      <c r="A451" s="11">
        <f t="shared" si="14"/>
        <v>449</v>
      </c>
      <c r="B451" s="5" t="s">
        <v>1675</v>
      </c>
      <c r="C451" t="s">
        <v>893</v>
      </c>
      <c r="D451" s="24" t="s">
        <v>857</v>
      </c>
      <c r="E451" s="24" t="str">
        <f>IFERROR(VLOOKUP(D451,Dropdown!A:B,2,0),D451)</f>
        <v>Purav</v>
      </c>
      <c r="F451" s="6">
        <v>45822</v>
      </c>
      <c r="G451" s="6" t="str">
        <f>TEXT(F451, "MMM-YY")</f>
        <v>Jun-25</v>
      </c>
      <c r="H451" t="s">
        <v>438</v>
      </c>
      <c r="I451" s="25">
        <v>93.48</v>
      </c>
      <c r="J451" s="4">
        <v>10000</v>
      </c>
      <c r="K451" t="s">
        <v>935</v>
      </c>
      <c r="L451" s="4" t="str">
        <f>VLOOKUP(K451, 'Items Master'!A:E,5,0)</f>
        <v>OPAL</v>
      </c>
      <c r="M451" s="4" t="str">
        <f>VLOOKUP(K451, 'Items Master'!A:D,4,0)</f>
        <v>HDPE</v>
      </c>
      <c r="N451" s="4" t="s">
        <v>49</v>
      </c>
      <c r="O451" t="s">
        <v>1298</v>
      </c>
      <c r="Q451" s="6">
        <v>45822</v>
      </c>
      <c r="R451" s="6" t="str">
        <f>TEXT(Q451, "MMM-YY")</f>
        <v>Jun-25</v>
      </c>
      <c r="S451" t="s">
        <v>21</v>
      </c>
      <c r="U451" t="s">
        <v>1605</v>
      </c>
      <c r="X451" s="25">
        <v>94.28</v>
      </c>
      <c r="AB451" s="8">
        <v>-0.9</v>
      </c>
      <c r="AH451" s="8">
        <v>0.1</v>
      </c>
      <c r="AN451" s="9">
        <f t="shared" si="13"/>
        <v>-0.8</v>
      </c>
      <c r="AO451" s="8"/>
      <c r="AP451" s="9">
        <f>I451-W451-X451-AN451</f>
        <v>2.886579864025407E-15</v>
      </c>
      <c r="AQ451" t="s">
        <v>1316</v>
      </c>
    </row>
    <row r="452" spans="1:43" x14ac:dyDescent="0.3">
      <c r="A452" s="11">
        <f t="shared" si="14"/>
        <v>450</v>
      </c>
      <c r="B452" s="5" t="s">
        <v>1675</v>
      </c>
      <c r="C452" t="s">
        <v>893</v>
      </c>
      <c r="D452" s="24" t="s">
        <v>857</v>
      </c>
      <c r="E452" s="24" t="str">
        <f>IFERROR(VLOOKUP(D452,Dropdown!A:B,2,0),D452)</f>
        <v>Purav</v>
      </c>
      <c r="F452" s="6">
        <v>45822</v>
      </c>
      <c r="G452" s="6" t="str">
        <f>TEXT(F452, "MMM-YY")</f>
        <v>Jun-25</v>
      </c>
      <c r="H452" t="s">
        <v>439</v>
      </c>
      <c r="I452" s="25">
        <v>95.5</v>
      </c>
      <c r="J452" s="4">
        <v>5000</v>
      </c>
      <c r="K452" t="s">
        <v>17</v>
      </c>
      <c r="L452" s="4" t="str">
        <f>VLOOKUP(K452, 'Items Master'!A:E,5,0)</f>
        <v>OPAL</v>
      </c>
      <c r="M452" s="4" t="str">
        <f>VLOOKUP(K452, 'Items Master'!A:D,4,0)</f>
        <v>LLDPE</v>
      </c>
      <c r="N452" s="4" t="s">
        <v>49</v>
      </c>
      <c r="O452" t="s">
        <v>1298</v>
      </c>
      <c r="Q452" s="6">
        <v>45822</v>
      </c>
      <c r="R452" s="6" t="str">
        <f>TEXT(Q452, "MMM-YY")</f>
        <v>Jun-25</v>
      </c>
      <c r="S452" t="s">
        <v>21</v>
      </c>
      <c r="U452" t="s">
        <v>1605</v>
      </c>
      <c r="X452" s="25">
        <v>96.3</v>
      </c>
      <c r="AB452" s="8">
        <v>-0.9</v>
      </c>
      <c r="AH452" s="8">
        <v>0.1</v>
      </c>
      <c r="AN452" s="9">
        <f t="shared" ref="AN452:AN515" si="15">SUM(AB452:AM452)</f>
        <v>-0.8</v>
      </c>
      <c r="AO452" s="8"/>
      <c r="AP452" s="9">
        <f>I452-W452-X452-AN452</f>
        <v>2.886579864025407E-15</v>
      </c>
      <c r="AQ452" t="s">
        <v>1316</v>
      </c>
    </row>
    <row r="453" spans="1:43" x14ac:dyDescent="0.3">
      <c r="A453" s="11">
        <f t="shared" si="14"/>
        <v>451</v>
      </c>
      <c r="B453" s="5" t="s">
        <v>1675</v>
      </c>
      <c r="C453" t="s">
        <v>893</v>
      </c>
      <c r="D453" s="24" t="s">
        <v>857</v>
      </c>
      <c r="E453" s="24" t="str">
        <f>IFERROR(VLOOKUP(D453,Dropdown!A:B,2,0),D453)</f>
        <v>Purav</v>
      </c>
      <c r="F453" s="6">
        <v>45822</v>
      </c>
      <c r="G453" s="6" t="str">
        <f>TEXT(F453, "MMM-YY")</f>
        <v>Jun-25</v>
      </c>
      <c r="H453" t="s">
        <v>440</v>
      </c>
      <c r="I453" s="25">
        <v>95.5</v>
      </c>
      <c r="J453" s="4">
        <v>5000</v>
      </c>
      <c r="K453" t="s">
        <v>898</v>
      </c>
      <c r="L453" s="4" t="str">
        <f>VLOOKUP(K453, 'Items Master'!A:E,5,0)</f>
        <v>OPAL</v>
      </c>
      <c r="M453" s="4" t="str">
        <f>VLOOKUP(K453, 'Items Master'!A:D,4,0)</f>
        <v>LLDPE</v>
      </c>
      <c r="N453" s="4" t="s">
        <v>49</v>
      </c>
      <c r="O453" t="s">
        <v>1298</v>
      </c>
      <c r="Q453" s="6">
        <v>45822</v>
      </c>
      <c r="R453" s="6" t="str">
        <f>TEXT(Q453, "MMM-YY")</f>
        <v>Jun-25</v>
      </c>
      <c r="S453" t="s">
        <v>21</v>
      </c>
      <c r="U453" t="s">
        <v>1605</v>
      </c>
      <c r="X453" s="25">
        <v>96.3</v>
      </c>
      <c r="AB453" s="8">
        <v>-0.9</v>
      </c>
      <c r="AH453" s="8">
        <v>0.1</v>
      </c>
      <c r="AN453" s="9">
        <f t="shared" si="15"/>
        <v>-0.8</v>
      </c>
      <c r="AO453" s="8"/>
      <c r="AP453" s="9">
        <f>I453-W453-X453-AN453</f>
        <v>2.886579864025407E-15</v>
      </c>
      <c r="AQ453" t="s">
        <v>1316</v>
      </c>
    </row>
    <row r="454" spans="1:43" x14ac:dyDescent="0.3">
      <c r="A454" s="11">
        <f t="shared" si="14"/>
        <v>452</v>
      </c>
      <c r="B454" s="5" t="s">
        <v>1675</v>
      </c>
      <c r="C454" t="s">
        <v>893</v>
      </c>
      <c r="D454" s="24" t="s">
        <v>836</v>
      </c>
      <c r="E454" s="24" t="str">
        <f>IFERROR(VLOOKUP(D454,Dropdown!A:B,2,0),D454)</f>
        <v>Intime</v>
      </c>
      <c r="F454" s="6">
        <v>45822</v>
      </c>
      <c r="G454" s="6" t="str">
        <f>TEXT(F454, "MMM-YY")</f>
        <v>Jun-25</v>
      </c>
      <c r="H454" t="s">
        <v>441</v>
      </c>
      <c r="I454" s="25">
        <v>95.933000000000007</v>
      </c>
      <c r="J454" s="4">
        <v>13000</v>
      </c>
      <c r="K454" t="s">
        <v>911</v>
      </c>
      <c r="L454" s="4" t="str">
        <f>VLOOKUP(K454, 'Items Master'!A:E,5,0)</f>
        <v>BCPL</v>
      </c>
      <c r="M454" s="4" t="str">
        <f>VLOOKUP(K454, 'Items Master'!A:D,4,0)</f>
        <v>LLDPE</v>
      </c>
      <c r="N454" s="4" t="s">
        <v>49</v>
      </c>
      <c r="Q454" s="6">
        <v>45822</v>
      </c>
      <c r="R454" s="6" t="str">
        <f>TEXT(Q454, "MMM-YY")</f>
        <v>Jun-25</v>
      </c>
      <c r="X454" s="25">
        <v>95.933000000000007</v>
      </c>
      <c r="AB454"/>
      <c r="AC454"/>
      <c r="AD454"/>
      <c r="AE454"/>
      <c r="AF454"/>
      <c r="AG454"/>
      <c r="AH454"/>
      <c r="AI454"/>
      <c r="AJ454"/>
      <c r="AK454"/>
      <c r="AL454"/>
      <c r="AM454"/>
      <c r="AN454" s="9">
        <f t="shared" si="15"/>
        <v>0</v>
      </c>
      <c r="AO454" s="8"/>
      <c r="AP454" s="9">
        <f>I454-W454-X454-AN454</f>
        <v>0</v>
      </c>
      <c r="AQ454" t="s">
        <v>1324</v>
      </c>
    </row>
    <row r="455" spans="1:43" x14ac:dyDescent="0.3">
      <c r="A455" s="11">
        <f t="shared" ref="A455:A518" si="16">A454+1</f>
        <v>453</v>
      </c>
      <c r="B455" s="5" t="s">
        <v>1675</v>
      </c>
      <c r="C455" t="s">
        <v>893</v>
      </c>
      <c r="D455" s="24" t="s">
        <v>857</v>
      </c>
      <c r="E455" s="24" t="str">
        <f>IFERROR(VLOOKUP(D455,Dropdown!A:B,2,0),D455)</f>
        <v>Purav</v>
      </c>
      <c r="F455" s="6">
        <v>45824</v>
      </c>
      <c r="G455" s="6" t="str">
        <f>TEXT(F455, "MMM-YY")</f>
        <v>Jun-25</v>
      </c>
      <c r="H455" t="s">
        <v>442</v>
      </c>
      <c r="I455" s="25">
        <v>95.5</v>
      </c>
      <c r="J455" s="4">
        <v>10000</v>
      </c>
      <c r="K455" t="s">
        <v>898</v>
      </c>
      <c r="L455" s="4" t="str">
        <f>VLOOKUP(K455, 'Items Master'!A:E,5,0)</f>
        <v>OPAL</v>
      </c>
      <c r="M455" s="4" t="str">
        <f>VLOOKUP(K455, 'Items Master'!A:D,4,0)</f>
        <v>LLDPE</v>
      </c>
      <c r="N455" s="4" t="s">
        <v>49</v>
      </c>
      <c r="O455" t="s">
        <v>1298</v>
      </c>
      <c r="Q455" s="6">
        <v>45824</v>
      </c>
      <c r="R455" s="6" t="str">
        <f>TEXT(Q455, "MMM-YY")</f>
        <v>Jun-25</v>
      </c>
      <c r="S455" t="s">
        <v>21</v>
      </c>
      <c r="U455" t="s">
        <v>1605</v>
      </c>
      <c r="X455" s="25">
        <v>96.3</v>
      </c>
      <c r="AB455" s="8">
        <v>-0.9</v>
      </c>
      <c r="AH455" s="8">
        <v>0.1</v>
      </c>
      <c r="AN455" s="9">
        <f t="shared" si="15"/>
        <v>-0.8</v>
      </c>
      <c r="AO455" s="8"/>
      <c r="AP455" s="9">
        <f>I455-W455-X455-AN455</f>
        <v>2.886579864025407E-15</v>
      </c>
      <c r="AQ455" t="s">
        <v>1316</v>
      </c>
    </row>
    <row r="456" spans="1:43" x14ac:dyDescent="0.3">
      <c r="A456" s="11">
        <f t="shared" si="16"/>
        <v>454</v>
      </c>
      <c r="B456" s="5" t="s">
        <v>1675</v>
      </c>
      <c r="C456" t="s">
        <v>893</v>
      </c>
      <c r="D456" s="24" t="s">
        <v>824</v>
      </c>
      <c r="E456" s="24" t="str">
        <f>IFERROR(VLOOKUP(D456,Dropdown!A:B,2,0),D456)</f>
        <v>Paragon</v>
      </c>
      <c r="F456" s="6">
        <v>45824</v>
      </c>
      <c r="G456" s="6" t="str">
        <f>TEXT(F456, "MMM-YY")</f>
        <v>Jun-25</v>
      </c>
      <c r="H456" t="s">
        <v>443</v>
      </c>
      <c r="I456" s="25">
        <v>122.5</v>
      </c>
      <c r="J456" s="4">
        <v>3000</v>
      </c>
      <c r="K456" t="s">
        <v>908</v>
      </c>
      <c r="L456" s="4" t="str">
        <f>VLOOKUP(K456, 'Items Master'!A:E,5,0)</f>
        <v>RIL</v>
      </c>
      <c r="M456" s="4" t="str">
        <f>VLOOKUP(K456, 'Items Master'!A:D,4,0)</f>
        <v>LDPE</v>
      </c>
      <c r="N456" s="4" t="s">
        <v>24</v>
      </c>
      <c r="Q456" s="6">
        <v>45824</v>
      </c>
      <c r="R456" s="6" t="str">
        <f>TEXT(Q456, "MMM-YY")</f>
        <v>Jun-25</v>
      </c>
      <c r="W456" s="25">
        <v>122.5</v>
      </c>
      <c r="Y456"/>
      <c r="Z456"/>
      <c r="AB456"/>
      <c r="AC456"/>
      <c r="AD456"/>
      <c r="AE456"/>
      <c r="AF456"/>
      <c r="AG456"/>
      <c r="AH456"/>
      <c r="AI456"/>
      <c r="AJ456"/>
      <c r="AK456"/>
      <c r="AL456"/>
      <c r="AM456"/>
      <c r="AN456" s="9">
        <f t="shared" si="15"/>
        <v>0</v>
      </c>
      <c r="AO456" s="8"/>
      <c r="AP456" s="9">
        <f>I456-W456-X456-AN456</f>
        <v>0</v>
      </c>
      <c r="AQ456" t="s">
        <v>1316</v>
      </c>
    </row>
    <row r="457" spans="1:43" x14ac:dyDescent="0.3">
      <c r="A457" s="11">
        <f t="shared" si="16"/>
        <v>455</v>
      </c>
      <c r="B457" s="5" t="s">
        <v>1675</v>
      </c>
      <c r="C457" t="s">
        <v>893</v>
      </c>
      <c r="D457" s="24" t="s">
        <v>48</v>
      </c>
      <c r="E457" s="24" t="str">
        <f>IFERROR(VLOOKUP(D457,Dropdown!A:B,2,0),D457)</f>
        <v>CVPL</v>
      </c>
      <c r="F457" s="6">
        <v>45824</v>
      </c>
      <c r="G457" s="6" t="str">
        <f>TEXT(F457, "MMM-YY")</f>
        <v>Jun-25</v>
      </c>
      <c r="H457" t="s">
        <v>444</v>
      </c>
      <c r="I457" s="25">
        <v>89.5</v>
      </c>
      <c r="J457" s="4">
        <v>3000</v>
      </c>
      <c r="K457" t="s">
        <v>981</v>
      </c>
      <c r="L457" s="4" t="str">
        <f>VLOOKUP(K457, 'Items Master'!A:E,5,0)</f>
        <v>IOCL</v>
      </c>
      <c r="M457" s="4" t="str">
        <f>VLOOKUP(K457, 'Items Master'!A:D,4,0)</f>
        <v>HDPE</v>
      </c>
      <c r="N457" s="4" t="s">
        <v>24</v>
      </c>
      <c r="Q457" s="6">
        <v>45824</v>
      </c>
      <c r="R457" s="6" t="str">
        <f>TEXT(Q457, "MMM-YY")</f>
        <v>Jun-25</v>
      </c>
      <c r="W457" s="25">
        <v>89.5</v>
      </c>
      <c r="Y457"/>
      <c r="Z457"/>
      <c r="AB457"/>
      <c r="AC457"/>
      <c r="AD457"/>
      <c r="AE457"/>
      <c r="AF457"/>
      <c r="AG457"/>
      <c r="AH457"/>
      <c r="AI457"/>
      <c r="AJ457"/>
      <c r="AK457"/>
      <c r="AL457"/>
      <c r="AM457"/>
      <c r="AN457" s="9">
        <f t="shared" si="15"/>
        <v>0</v>
      </c>
      <c r="AO457" s="8"/>
      <c r="AP457" s="9">
        <f>I457-W457-X457-AN457</f>
        <v>0</v>
      </c>
      <c r="AQ457" t="s">
        <v>1316</v>
      </c>
    </row>
    <row r="458" spans="1:43" x14ac:dyDescent="0.3">
      <c r="A458" s="11">
        <f t="shared" si="16"/>
        <v>456</v>
      </c>
      <c r="B458" s="5" t="s">
        <v>1675</v>
      </c>
      <c r="C458" t="s">
        <v>893</v>
      </c>
      <c r="D458" s="24" t="s">
        <v>836</v>
      </c>
      <c r="E458" s="24" t="str">
        <f>IFERROR(VLOOKUP(D458,Dropdown!A:B,2,0),D458)</f>
        <v>Intime</v>
      </c>
      <c r="F458" s="6">
        <v>45824</v>
      </c>
      <c r="G458" s="6" t="str">
        <f>TEXT(F458, "MMM-YY")</f>
        <v>Jun-25</v>
      </c>
      <c r="H458" t="s">
        <v>445</v>
      </c>
      <c r="I458" s="25">
        <v>95.933000000000007</v>
      </c>
      <c r="J458" s="4">
        <v>25000</v>
      </c>
      <c r="K458" t="s">
        <v>911</v>
      </c>
      <c r="L458" s="4" t="str">
        <f>VLOOKUP(K458, 'Items Master'!A:E,5,0)</f>
        <v>BCPL</v>
      </c>
      <c r="M458" s="4" t="str">
        <f>VLOOKUP(K458, 'Items Master'!A:D,4,0)</f>
        <v>LLDPE</v>
      </c>
      <c r="N458" s="4" t="s">
        <v>49</v>
      </c>
      <c r="Q458" s="6">
        <v>45824</v>
      </c>
      <c r="R458" s="6" t="str">
        <f>TEXT(Q458, "MMM-YY")</f>
        <v>Jun-25</v>
      </c>
      <c r="X458" s="25">
        <v>95.933000000000007</v>
      </c>
      <c r="AB458"/>
      <c r="AC458"/>
      <c r="AD458"/>
      <c r="AE458"/>
      <c r="AF458"/>
      <c r="AG458"/>
      <c r="AH458"/>
      <c r="AI458"/>
      <c r="AJ458"/>
      <c r="AK458"/>
      <c r="AL458"/>
      <c r="AM458"/>
      <c r="AN458" s="9">
        <f t="shared" si="15"/>
        <v>0</v>
      </c>
      <c r="AO458" s="8"/>
      <c r="AP458" s="9">
        <f>I458-W458-X458-AN458</f>
        <v>0</v>
      </c>
      <c r="AQ458" t="s">
        <v>1324</v>
      </c>
    </row>
    <row r="459" spans="1:43" x14ac:dyDescent="0.3">
      <c r="A459" s="11">
        <f t="shared" si="16"/>
        <v>457</v>
      </c>
      <c r="B459" s="5" t="s">
        <v>1675</v>
      </c>
      <c r="C459" t="s">
        <v>893</v>
      </c>
      <c r="D459" s="24" t="s">
        <v>847</v>
      </c>
      <c r="E459" s="24" t="str">
        <f>IFERROR(VLOOKUP(D459,Dropdown!A:B,2,0),D459)</f>
        <v>K V N IMPEX PVT LTD</v>
      </c>
      <c r="F459" s="6">
        <v>45825</v>
      </c>
      <c r="G459" s="6" t="str">
        <f>TEXT(F459, "MMM-YY")</f>
        <v>Jun-25</v>
      </c>
      <c r="H459" t="s">
        <v>446</v>
      </c>
      <c r="I459" s="25">
        <v>91</v>
      </c>
      <c r="J459" s="4">
        <v>16000</v>
      </c>
      <c r="K459" t="s">
        <v>982</v>
      </c>
      <c r="L459" s="4" t="str">
        <f>VLOOKUP(K459, 'Items Master'!A:E,5,0)</f>
        <v>SABIC</v>
      </c>
      <c r="M459" s="4" t="str">
        <f>VLOOKUP(K459, 'Items Master'!A:D,4,0)</f>
        <v>HDPE</v>
      </c>
      <c r="N459" s="4" t="s">
        <v>24</v>
      </c>
      <c r="Q459" s="6">
        <v>45825</v>
      </c>
      <c r="R459" s="6" t="str">
        <f>TEXT(Q459, "MMM-YY")</f>
        <v>Jun-25</v>
      </c>
      <c r="W459" s="25">
        <v>91</v>
      </c>
      <c r="Y459"/>
      <c r="Z459"/>
      <c r="AB459"/>
      <c r="AC459"/>
      <c r="AD459"/>
      <c r="AE459"/>
      <c r="AF459"/>
      <c r="AG459"/>
      <c r="AH459"/>
      <c r="AI459"/>
      <c r="AJ459"/>
      <c r="AK459"/>
      <c r="AL459"/>
      <c r="AM459"/>
      <c r="AN459" s="9">
        <f t="shared" si="15"/>
        <v>0</v>
      </c>
      <c r="AO459" s="8"/>
      <c r="AP459" s="9">
        <f>I459-W459-X459-AN459</f>
        <v>0</v>
      </c>
      <c r="AQ459" t="s">
        <v>1316</v>
      </c>
    </row>
    <row r="460" spans="1:43" x14ac:dyDescent="0.3">
      <c r="A460" s="11">
        <f t="shared" si="16"/>
        <v>458</v>
      </c>
      <c r="B460" s="5" t="s">
        <v>1675</v>
      </c>
      <c r="C460" t="s">
        <v>893</v>
      </c>
      <c r="D460" s="24" t="s">
        <v>824</v>
      </c>
      <c r="E460" s="24" t="str">
        <f>IFERROR(VLOOKUP(D460,Dropdown!A:B,2,0),D460)</f>
        <v>Paragon</v>
      </c>
      <c r="F460" s="6">
        <v>45825</v>
      </c>
      <c r="G460" s="6" t="str">
        <f>TEXT(F460, "MMM-YY")</f>
        <v>Jun-25</v>
      </c>
      <c r="H460" t="s">
        <v>447</v>
      </c>
      <c r="I460" s="25">
        <v>93.48</v>
      </c>
      <c r="J460" s="4">
        <v>375</v>
      </c>
      <c r="K460" t="s">
        <v>927</v>
      </c>
      <c r="L460" s="4" t="str">
        <f>VLOOKUP(K460, 'Items Master'!A:E,5,0)</f>
        <v>RIL</v>
      </c>
      <c r="M460" s="4" t="str">
        <f>VLOOKUP(K460, 'Items Master'!A:D,4,0)</f>
        <v>HDPE</v>
      </c>
      <c r="N460" s="4" t="s">
        <v>49</v>
      </c>
      <c r="Q460" s="6">
        <v>45825</v>
      </c>
      <c r="R460" s="6" t="str">
        <f>TEXT(Q460, "MMM-YY")</f>
        <v>Jun-25</v>
      </c>
      <c r="X460" s="25">
        <v>93.48</v>
      </c>
      <c r="AB460"/>
      <c r="AC460"/>
      <c r="AD460"/>
      <c r="AE460"/>
      <c r="AF460"/>
      <c r="AG460"/>
      <c r="AH460"/>
      <c r="AI460"/>
      <c r="AJ460"/>
      <c r="AK460"/>
      <c r="AL460"/>
      <c r="AM460"/>
      <c r="AN460" s="9">
        <f t="shared" si="15"/>
        <v>0</v>
      </c>
      <c r="AO460" s="8"/>
      <c r="AP460" s="9">
        <f>I460-W460-X460-AN460</f>
        <v>0</v>
      </c>
      <c r="AQ460" t="s">
        <v>1324</v>
      </c>
    </row>
    <row r="461" spans="1:43" x14ac:dyDescent="0.3">
      <c r="A461" s="11">
        <f t="shared" si="16"/>
        <v>459</v>
      </c>
      <c r="B461" s="5" t="s">
        <v>1675</v>
      </c>
      <c r="C461" t="s">
        <v>893</v>
      </c>
      <c r="D461" s="24" t="s">
        <v>824</v>
      </c>
      <c r="E461" s="24" t="str">
        <f>IFERROR(VLOOKUP(D461,Dropdown!A:B,2,0),D461)</f>
        <v>Paragon</v>
      </c>
      <c r="F461" s="6">
        <v>45825</v>
      </c>
      <c r="G461" s="6" t="str">
        <f>TEXT(F461, "MMM-YY")</f>
        <v>Jun-25</v>
      </c>
      <c r="H461" t="s">
        <v>447</v>
      </c>
      <c r="I461" s="25">
        <v>92.03</v>
      </c>
      <c r="J461" s="4">
        <v>200</v>
      </c>
      <c r="K461" t="s">
        <v>971</v>
      </c>
      <c r="L461" s="4" t="str">
        <f>VLOOKUP(K461, 'Items Master'!A:E,5,0)</f>
        <v>RIL</v>
      </c>
      <c r="M461" s="4" t="str">
        <f>VLOOKUP(K461, 'Items Master'!A:D,4,0)</f>
        <v>HDPE</v>
      </c>
      <c r="N461" s="4" t="s">
        <v>49</v>
      </c>
      <c r="Q461" s="6">
        <v>45825</v>
      </c>
      <c r="R461" s="6" t="str">
        <f>TEXT(Q461, "MMM-YY")</f>
        <v>Jun-25</v>
      </c>
      <c r="X461" s="25">
        <v>92.03</v>
      </c>
      <c r="AB461"/>
      <c r="AC461"/>
      <c r="AD461"/>
      <c r="AE461"/>
      <c r="AF461"/>
      <c r="AG461"/>
      <c r="AH461"/>
      <c r="AI461"/>
      <c r="AJ461"/>
      <c r="AK461"/>
      <c r="AL461"/>
      <c r="AM461"/>
      <c r="AN461" s="9">
        <f t="shared" si="15"/>
        <v>0</v>
      </c>
      <c r="AO461" s="8"/>
      <c r="AP461" s="9">
        <f>I461-W461-X461-AN461</f>
        <v>0</v>
      </c>
      <c r="AQ461" t="s">
        <v>1324</v>
      </c>
    </row>
    <row r="462" spans="1:43" x14ac:dyDescent="0.3">
      <c r="A462" s="11">
        <f t="shared" si="16"/>
        <v>460</v>
      </c>
      <c r="B462" s="5" t="s">
        <v>1675</v>
      </c>
      <c r="C462" t="s">
        <v>893</v>
      </c>
      <c r="D462" s="24" t="s">
        <v>824</v>
      </c>
      <c r="E462" s="24" t="str">
        <f>IFERROR(VLOOKUP(D462,Dropdown!A:B,2,0),D462)</f>
        <v>Paragon</v>
      </c>
      <c r="F462" s="6">
        <v>45825</v>
      </c>
      <c r="G462" s="6" t="str">
        <f>TEXT(F462, "MMM-YY")</f>
        <v>Jun-25</v>
      </c>
      <c r="H462" t="s">
        <v>447</v>
      </c>
      <c r="I462" s="25">
        <v>99.25</v>
      </c>
      <c r="J462" s="4">
        <v>50</v>
      </c>
      <c r="K462" t="s">
        <v>950</v>
      </c>
      <c r="L462" s="4" t="str">
        <f>VLOOKUP(K462, 'Items Master'!A:E,5,0)</f>
        <v>RIL</v>
      </c>
      <c r="M462" s="4" t="str">
        <f>VLOOKUP(K462, 'Items Master'!A:D,4,0)</f>
        <v>PP</v>
      </c>
      <c r="N462" s="4" t="s">
        <v>49</v>
      </c>
      <c r="Q462" s="6">
        <v>45825</v>
      </c>
      <c r="R462" s="6" t="str">
        <f>TEXT(Q462, "MMM-YY")</f>
        <v>Jun-25</v>
      </c>
      <c r="X462" s="25">
        <v>99.25</v>
      </c>
      <c r="AB462"/>
      <c r="AC462"/>
      <c r="AD462"/>
      <c r="AE462"/>
      <c r="AF462"/>
      <c r="AG462"/>
      <c r="AH462"/>
      <c r="AI462"/>
      <c r="AJ462"/>
      <c r="AK462"/>
      <c r="AL462"/>
      <c r="AM462"/>
      <c r="AN462" s="9">
        <f t="shared" si="15"/>
        <v>0</v>
      </c>
      <c r="AO462" s="8"/>
      <c r="AP462" s="9">
        <f>I462-W462-X462-AN462</f>
        <v>0</v>
      </c>
      <c r="AQ462" t="s">
        <v>1324</v>
      </c>
    </row>
    <row r="463" spans="1:43" x14ac:dyDescent="0.3">
      <c r="A463" s="11">
        <f t="shared" si="16"/>
        <v>461</v>
      </c>
      <c r="B463" s="5" t="s">
        <v>1675</v>
      </c>
      <c r="C463" t="s">
        <v>893</v>
      </c>
      <c r="D463" s="24" t="s">
        <v>836</v>
      </c>
      <c r="E463" s="24" t="str">
        <f>IFERROR(VLOOKUP(D463,Dropdown!A:B,2,0),D463)</f>
        <v>Intime</v>
      </c>
      <c r="F463" s="6">
        <v>45825</v>
      </c>
      <c r="G463" s="6" t="str">
        <f>TEXT(F463, "MMM-YY")</f>
        <v>Jun-25</v>
      </c>
      <c r="H463" t="s">
        <v>448</v>
      </c>
      <c r="I463" s="25">
        <v>95.933000000000007</v>
      </c>
      <c r="J463" s="4">
        <v>11000</v>
      </c>
      <c r="K463" t="s">
        <v>911</v>
      </c>
      <c r="L463" s="4" t="str">
        <f>VLOOKUP(K463, 'Items Master'!A:E,5,0)</f>
        <v>BCPL</v>
      </c>
      <c r="M463" s="4" t="str">
        <f>VLOOKUP(K463, 'Items Master'!A:D,4,0)</f>
        <v>LLDPE</v>
      </c>
      <c r="N463" s="4" t="s">
        <v>49</v>
      </c>
      <c r="Q463" s="6">
        <v>45825</v>
      </c>
      <c r="R463" s="6" t="str">
        <f>TEXT(Q463, "MMM-YY")</f>
        <v>Jun-25</v>
      </c>
      <c r="X463" s="25">
        <v>95.933000000000007</v>
      </c>
      <c r="AB463"/>
      <c r="AC463"/>
      <c r="AD463"/>
      <c r="AE463"/>
      <c r="AF463"/>
      <c r="AG463"/>
      <c r="AH463"/>
      <c r="AI463"/>
      <c r="AJ463"/>
      <c r="AK463"/>
      <c r="AL463"/>
      <c r="AM463"/>
      <c r="AN463" s="9">
        <f t="shared" si="15"/>
        <v>0</v>
      </c>
      <c r="AO463" s="8"/>
      <c r="AP463" s="9">
        <f>I463-W463-X463-AN463</f>
        <v>0</v>
      </c>
      <c r="AQ463" t="s">
        <v>1324</v>
      </c>
    </row>
    <row r="464" spans="1:43" x14ac:dyDescent="0.3">
      <c r="A464" s="11">
        <f t="shared" si="16"/>
        <v>462</v>
      </c>
      <c r="B464" s="5" t="s">
        <v>1675</v>
      </c>
      <c r="C464" t="s">
        <v>893</v>
      </c>
      <c r="D464" s="24" t="s">
        <v>824</v>
      </c>
      <c r="E464" s="24" t="str">
        <f>IFERROR(VLOOKUP(D464,Dropdown!A:B,2,0),D464)</f>
        <v>Paragon</v>
      </c>
      <c r="F464" s="6">
        <v>45825</v>
      </c>
      <c r="G464" s="6" t="str">
        <f>TEXT(F464, "MMM-YY")</f>
        <v>Jun-25</v>
      </c>
      <c r="H464" t="s">
        <v>449</v>
      </c>
      <c r="I464" s="25">
        <v>100.68</v>
      </c>
      <c r="J464" s="4">
        <v>1250</v>
      </c>
      <c r="K464" t="s">
        <v>912</v>
      </c>
      <c r="L464" s="4" t="str">
        <f>VLOOKUP(K464, 'Items Master'!A:E,5,0)</f>
        <v>RIL</v>
      </c>
      <c r="M464" s="4" t="str">
        <f>VLOOKUP(K464, 'Items Master'!A:D,4,0)</f>
        <v>PP</v>
      </c>
      <c r="N464" s="4" t="s">
        <v>49</v>
      </c>
      <c r="Q464" s="6">
        <v>45825</v>
      </c>
      <c r="R464" s="6" t="str">
        <f>TEXT(Q464, "MMM-YY")</f>
        <v>Jun-25</v>
      </c>
      <c r="X464" s="25">
        <v>100.68</v>
      </c>
      <c r="AB464"/>
      <c r="AC464"/>
      <c r="AD464"/>
      <c r="AE464"/>
      <c r="AF464"/>
      <c r="AG464"/>
      <c r="AH464"/>
      <c r="AI464"/>
      <c r="AJ464"/>
      <c r="AK464"/>
      <c r="AL464"/>
      <c r="AM464"/>
      <c r="AN464" s="9">
        <f t="shared" si="15"/>
        <v>0</v>
      </c>
      <c r="AO464" s="8"/>
      <c r="AP464" s="9">
        <f>I464-W464-X464-AN464</f>
        <v>0</v>
      </c>
      <c r="AQ464" t="s">
        <v>1324</v>
      </c>
    </row>
    <row r="465" spans="1:43" x14ac:dyDescent="0.3">
      <c r="A465" s="11">
        <f t="shared" si="16"/>
        <v>463</v>
      </c>
      <c r="B465" s="5" t="s">
        <v>1675</v>
      </c>
      <c r="C465" t="s">
        <v>893</v>
      </c>
      <c r="D465" s="24" t="s">
        <v>874</v>
      </c>
      <c r="E465" s="24" t="str">
        <f>IFERROR(VLOOKUP(D465,Dropdown!A:B,2,0),D465)</f>
        <v>RAJATH CONSUMABLES</v>
      </c>
      <c r="F465" s="6">
        <v>45825</v>
      </c>
      <c r="G465" s="6" t="str">
        <f>TEXT(F465, "MMM-YY")</f>
        <v>Jun-25</v>
      </c>
      <c r="H465" t="s">
        <v>450</v>
      </c>
      <c r="I465" s="25">
        <v>65.75</v>
      </c>
      <c r="J465" s="4">
        <v>12000</v>
      </c>
      <c r="K465" t="s">
        <v>900</v>
      </c>
      <c r="L465" s="4" t="str">
        <f>VLOOKUP(K465, 'Items Master'!A:E,5,0)</f>
        <v>HANWHA</v>
      </c>
      <c r="M465" s="4" t="str">
        <f>VLOOKUP(K465, 'Items Master'!A:D,4,0)</f>
        <v>PVC</v>
      </c>
      <c r="N465" s="4" t="s">
        <v>24</v>
      </c>
      <c r="Q465" s="6">
        <v>45825</v>
      </c>
      <c r="R465" s="6" t="str">
        <f>TEXT(Q465, "MMM-YY")</f>
        <v>Jun-25</v>
      </c>
      <c r="W465" s="25">
        <v>65.75</v>
      </c>
      <c r="Y465"/>
      <c r="Z465"/>
      <c r="AB465"/>
      <c r="AC465"/>
      <c r="AD465"/>
      <c r="AE465"/>
      <c r="AF465"/>
      <c r="AG465"/>
      <c r="AH465"/>
      <c r="AI465"/>
      <c r="AJ465"/>
      <c r="AK465"/>
      <c r="AL465"/>
      <c r="AM465"/>
      <c r="AN465" s="9">
        <f t="shared" si="15"/>
        <v>0</v>
      </c>
      <c r="AO465" s="8"/>
      <c r="AP465" s="9">
        <f>I465-W465-X465-AN465</f>
        <v>0</v>
      </c>
      <c r="AQ465" t="s">
        <v>1316</v>
      </c>
    </row>
    <row r="466" spans="1:43" x14ac:dyDescent="0.3">
      <c r="A466" s="11">
        <f t="shared" si="16"/>
        <v>464</v>
      </c>
      <c r="B466" s="5" t="s">
        <v>1675</v>
      </c>
      <c r="C466" t="s">
        <v>893</v>
      </c>
      <c r="D466" s="24" t="s">
        <v>48</v>
      </c>
      <c r="E466" s="24" t="str">
        <f>IFERROR(VLOOKUP(D466,Dropdown!A:B,2,0),D466)</f>
        <v>CVPL</v>
      </c>
      <c r="F466" s="6">
        <v>45826</v>
      </c>
      <c r="G466" s="6" t="str">
        <f>TEXT(F466, "MMM-YY")</f>
        <v>Jun-25</v>
      </c>
      <c r="H466" t="s">
        <v>451</v>
      </c>
      <c r="I466" s="25">
        <v>100</v>
      </c>
      <c r="J466" s="4">
        <v>3000</v>
      </c>
      <c r="K466" t="s">
        <v>944</v>
      </c>
      <c r="L466" s="4" t="str">
        <f>VLOOKUP(K466, 'Items Master'!A:E,5,0)</f>
        <v>RIL</v>
      </c>
      <c r="M466" s="4" t="str">
        <f>VLOOKUP(K466, 'Items Master'!A:D,4,0)</f>
        <v>PP ICP</v>
      </c>
      <c r="N466" s="4" t="s">
        <v>24</v>
      </c>
      <c r="Q466" s="6">
        <v>45826</v>
      </c>
      <c r="R466" s="6" t="str">
        <f>TEXT(Q466, "MMM-YY")</f>
        <v>Jun-25</v>
      </c>
      <c r="W466" s="25">
        <v>100</v>
      </c>
      <c r="Y466"/>
      <c r="Z466"/>
      <c r="AB466"/>
      <c r="AC466"/>
      <c r="AD466"/>
      <c r="AE466"/>
      <c r="AF466"/>
      <c r="AG466"/>
      <c r="AH466"/>
      <c r="AI466"/>
      <c r="AJ466"/>
      <c r="AK466"/>
      <c r="AL466"/>
      <c r="AM466"/>
      <c r="AN466" s="9">
        <f t="shared" si="15"/>
        <v>0</v>
      </c>
      <c r="AO466" s="8"/>
      <c r="AP466" s="9">
        <f>I466-W466-X466-AN466</f>
        <v>0</v>
      </c>
      <c r="AQ466" t="s">
        <v>1316</v>
      </c>
    </row>
    <row r="467" spans="1:43" x14ac:dyDescent="0.3">
      <c r="A467" s="11">
        <f t="shared" si="16"/>
        <v>465</v>
      </c>
      <c r="B467" s="5" t="s">
        <v>1675</v>
      </c>
      <c r="C467" t="s">
        <v>893</v>
      </c>
      <c r="D467" s="24" t="s">
        <v>866</v>
      </c>
      <c r="E467" s="24" t="str">
        <f>IFERROR(VLOOKUP(D467,Dropdown!A:B,2,0),D467)</f>
        <v>KLENE PAKS LIMITED</v>
      </c>
      <c r="F467" s="6">
        <v>45826</v>
      </c>
      <c r="G467" s="6" t="str">
        <f>TEXT(F467, "MMM-YY")</f>
        <v>Jun-25</v>
      </c>
      <c r="H467" t="s">
        <v>452</v>
      </c>
      <c r="I467" s="25">
        <v>92.75</v>
      </c>
      <c r="J467" s="4">
        <v>30000</v>
      </c>
      <c r="K467" t="s">
        <v>899</v>
      </c>
      <c r="L467" s="4" t="str">
        <f>VLOOKUP(K467, 'Items Master'!A:E,5,0)</f>
        <v>MRPL</v>
      </c>
      <c r="M467" s="4" t="str">
        <f>VLOOKUP(K467, 'Items Master'!A:D,4,0)</f>
        <v>PP</v>
      </c>
      <c r="N467" s="4" t="s">
        <v>1325</v>
      </c>
      <c r="O467" t="s">
        <v>1297</v>
      </c>
      <c r="Q467" s="6">
        <v>45826</v>
      </c>
      <c r="R467" s="6" t="str">
        <f>TEXT(Q467, "MMM-YY")</f>
        <v>Jun-25</v>
      </c>
      <c r="W467" s="25">
        <v>92.75</v>
      </c>
      <c r="AB467"/>
      <c r="AC467"/>
      <c r="AD467"/>
      <c r="AE467"/>
      <c r="AF467"/>
      <c r="AG467"/>
      <c r="AH467"/>
      <c r="AI467"/>
      <c r="AJ467"/>
      <c r="AK467"/>
      <c r="AL467"/>
      <c r="AM467"/>
      <c r="AN467" s="9">
        <f t="shared" si="15"/>
        <v>0</v>
      </c>
      <c r="AO467" s="8"/>
      <c r="AP467" s="9">
        <f>I467-W467-X467-AN467</f>
        <v>0</v>
      </c>
      <c r="AQ467" t="s">
        <v>1316</v>
      </c>
    </row>
    <row r="468" spans="1:43" x14ac:dyDescent="0.3">
      <c r="A468" s="11">
        <f t="shared" si="16"/>
        <v>466</v>
      </c>
      <c r="B468" s="5" t="s">
        <v>1675</v>
      </c>
      <c r="C468" t="s">
        <v>894</v>
      </c>
      <c r="D468" s="24" t="s">
        <v>857</v>
      </c>
      <c r="E468" s="24" t="str">
        <f>IFERROR(VLOOKUP(D468,Dropdown!A:B,2,0),D468)</f>
        <v>Purav</v>
      </c>
      <c r="F468" s="6">
        <v>45826</v>
      </c>
      <c r="G468" s="6" t="str">
        <f>TEXT(F468, "MMM-YY")</f>
        <v>Jun-25</v>
      </c>
      <c r="H468" t="s">
        <v>453</v>
      </c>
      <c r="I468" s="25">
        <v>90.85</v>
      </c>
      <c r="J468" s="4">
        <v>12000</v>
      </c>
      <c r="K468" t="s">
        <v>896</v>
      </c>
      <c r="L468" s="4" t="str">
        <f>VLOOKUP(K468, 'Items Master'!A:E,5,0)</f>
        <v>OPAL</v>
      </c>
      <c r="M468" s="4" t="str">
        <f>VLOOKUP(K468, 'Items Master'!A:D,4,0)</f>
        <v>HDPE</v>
      </c>
      <c r="N468" s="4" t="s">
        <v>24</v>
      </c>
      <c r="Q468" s="6">
        <v>45826</v>
      </c>
      <c r="R468" s="6" t="str">
        <f>TEXT(Q468, "MMM-YY")</f>
        <v>Jun-25</v>
      </c>
      <c r="U468" t="s">
        <v>1606</v>
      </c>
      <c r="W468" s="25">
        <v>90.75</v>
      </c>
      <c r="Y468"/>
      <c r="Z468"/>
      <c r="AH468" s="8">
        <v>0.1</v>
      </c>
      <c r="AN468" s="9">
        <f t="shared" si="15"/>
        <v>0.1</v>
      </c>
      <c r="AO468" s="8"/>
      <c r="AP468" s="9">
        <f>I468-W468-X468-AN468</f>
        <v>-5.6898930012039273E-15</v>
      </c>
      <c r="AQ468" t="s">
        <v>1316</v>
      </c>
    </row>
    <row r="469" spans="1:43" x14ac:dyDescent="0.3">
      <c r="A469" s="11">
        <f t="shared" si="16"/>
        <v>467</v>
      </c>
      <c r="B469" s="5" t="s">
        <v>1675</v>
      </c>
      <c r="C469" t="s">
        <v>893</v>
      </c>
      <c r="D469" s="24" t="s">
        <v>857</v>
      </c>
      <c r="E469" s="24" t="str">
        <f>IFERROR(VLOOKUP(D469,Dropdown!A:B,2,0),D469)</f>
        <v>Purav</v>
      </c>
      <c r="F469" s="6">
        <v>45826</v>
      </c>
      <c r="G469" s="6" t="str">
        <f>TEXT(F469, "MMM-YY")</f>
        <v>Jun-25</v>
      </c>
      <c r="H469" t="s">
        <v>454</v>
      </c>
      <c r="I469" s="25">
        <v>93.45</v>
      </c>
      <c r="J469" s="4">
        <v>11000</v>
      </c>
      <c r="K469" t="s">
        <v>896</v>
      </c>
      <c r="L469" s="4" t="str">
        <f>VLOOKUP(K469, 'Items Master'!A:E,5,0)</f>
        <v>OPAL</v>
      </c>
      <c r="M469" s="4" t="str">
        <f>VLOOKUP(K469, 'Items Master'!A:D,4,0)</f>
        <v>HDPE</v>
      </c>
      <c r="N469" s="4" t="s">
        <v>49</v>
      </c>
      <c r="O469" t="s">
        <v>1298</v>
      </c>
      <c r="Q469" s="6">
        <v>45826</v>
      </c>
      <c r="R469" s="6" t="str">
        <f>TEXT(Q469, "MMM-YY")</f>
        <v>Jun-25</v>
      </c>
      <c r="S469" t="s">
        <v>21</v>
      </c>
      <c r="U469" t="s">
        <v>1605</v>
      </c>
      <c r="X469" s="25">
        <v>94.25</v>
      </c>
      <c r="Y469" s="25" t="s">
        <v>1303</v>
      </c>
      <c r="AB469" s="8">
        <v>-0.9</v>
      </c>
      <c r="AH469" s="8">
        <v>0.1</v>
      </c>
      <c r="AN469" s="9">
        <f t="shared" si="15"/>
        <v>-0.8</v>
      </c>
      <c r="AO469" s="8"/>
      <c r="AP469" s="9">
        <f>I469-W469-X469-AN469</f>
        <v>2.886579864025407E-15</v>
      </c>
      <c r="AQ469" t="s">
        <v>1316</v>
      </c>
    </row>
    <row r="470" spans="1:43" x14ac:dyDescent="0.3">
      <c r="A470" s="11">
        <f t="shared" si="16"/>
        <v>468</v>
      </c>
      <c r="B470" s="5" t="s">
        <v>1675</v>
      </c>
      <c r="C470" t="s">
        <v>893</v>
      </c>
      <c r="D470" s="24" t="s">
        <v>857</v>
      </c>
      <c r="E470" s="24" t="str">
        <f>IFERROR(VLOOKUP(D470,Dropdown!A:B,2,0),D470)</f>
        <v>Purav</v>
      </c>
      <c r="F470" s="6">
        <v>45826</v>
      </c>
      <c r="G470" s="6" t="str">
        <f>TEXT(F470, "MMM-YY")</f>
        <v>Jun-25</v>
      </c>
      <c r="H470" t="s">
        <v>455</v>
      </c>
      <c r="I470" s="25">
        <v>90.85</v>
      </c>
      <c r="J470" s="4">
        <v>11000</v>
      </c>
      <c r="K470" t="s">
        <v>896</v>
      </c>
      <c r="L470" s="4" t="str">
        <f>VLOOKUP(K470, 'Items Master'!A:E,5,0)</f>
        <v>OPAL</v>
      </c>
      <c r="M470" s="4" t="str">
        <f>VLOOKUP(K470, 'Items Master'!A:D,4,0)</f>
        <v>HDPE</v>
      </c>
      <c r="N470" s="4" t="s">
        <v>24</v>
      </c>
      <c r="Q470" s="6">
        <v>45826</v>
      </c>
      <c r="R470" s="6" t="str">
        <f>TEXT(Q470, "MMM-YY")</f>
        <v>Jun-25</v>
      </c>
      <c r="U470" t="s">
        <v>1606</v>
      </c>
      <c r="W470" s="25">
        <v>90.75</v>
      </c>
      <c r="Y470"/>
      <c r="Z470"/>
      <c r="AH470" s="8">
        <v>0.1</v>
      </c>
      <c r="AN470" s="9">
        <f t="shared" si="15"/>
        <v>0.1</v>
      </c>
      <c r="AO470" s="8"/>
      <c r="AP470" s="9">
        <f>I470-W470-X470-AN470</f>
        <v>-5.6898930012039273E-15</v>
      </c>
      <c r="AQ470" t="s">
        <v>1316</v>
      </c>
    </row>
    <row r="471" spans="1:43" x14ac:dyDescent="0.3">
      <c r="A471" s="11">
        <f t="shared" si="16"/>
        <v>469</v>
      </c>
      <c r="B471" s="5" t="s">
        <v>1675</v>
      </c>
      <c r="C471" t="s">
        <v>893</v>
      </c>
      <c r="D471" s="24" t="s">
        <v>835</v>
      </c>
      <c r="E471" s="24" t="str">
        <f>IFERROR(VLOOKUP(D471,Dropdown!A:B,2,0),D471)</f>
        <v>IVORY POLYMERS</v>
      </c>
      <c r="F471" s="6">
        <v>45826</v>
      </c>
      <c r="G471" s="6" t="str">
        <f>TEXT(F471, "MMM-YY")</f>
        <v>Jun-25</v>
      </c>
      <c r="H471" t="s">
        <v>456</v>
      </c>
      <c r="I471" s="25">
        <v>97.9</v>
      </c>
      <c r="J471" s="4">
        <v>25500</v>
      </c>
      <c r="K471" t="s">
        <v>938</v>
      </c>
      <c r="L471" s="4" t="str">
        <f>VLOOKUP(K471, 'Items Master'!A:E,5,0)</f>
        <v>EXXON</v>
      </c>
      <c r="M471" s="4" t="str">
        <f>VLOOKUP(K471, 'Items Master'!A:D,4,0)</f>
        <v>PP</v>
      </c>
      <c r="N471" s="4" t="s">
        <v>24</v>
      </c>
      <c r="Q471" s="6">
        <v>45826</v>
      </c>
      <c r="R471" s="6" t="str">
        <f>TEXT(Q471, "MMM-YY")</f>
        <v>Jun-25</v>
      </c>
      <c r="W471" s="25">
        <v>97.9</v>
      </c>
      <c r="Y471"/>
      <c r="Z471"/>
      <c r="AB471"/>
      <c r="AC471"/>
      <c r="AD471"/>
      <c r="AE471"/>
      <c r="AF471"/>
      <c r="AG471"/>
      <c r="AH471"/>
      <c r="AI471"/>
      <c r="AJ471"/>
      <c r="AK471"/>
      <c r="AL471"/>
      <c r="AM471"/>
      <c r="AN471" s="9">
        <f t="shared" si="15"/>
        <v>0</v>
      </c>
      <c r="AO471" s="8"/>
      <c r="AP471" s="9">
        <f>I471-W471-X471-AN471</f>
        <v>0</v>
      </c>
      <c r="AQ471" t="s">
        <v>1316</v>
      </c>
    </row>
    <row r="472" spans="1:43" x14ac:dyDescent="0.3">
      <c r="A472" s="11">
        <f t="shared" si="16"/>
        <v>470</v>
      </c>
      <c r="B472" s="5" t="s">
        <v>1675</v>
      </c>
      <c r="C472" t="s">
        <v>893</v>
      </c>
      <c r="D472" s="24" t="s">
        <v>875</v>
      </c>
      <c r="E472" s="24" t="str">
        <f>IFERROR(VLOOKUP(D472,Dropdown!A:B,2,0),D472)</f>
        <v>RAVAGO SHAH POLYMERS PRIVATE LIMITED</v>
      </c>
      <c r="F472" s="6">
        <v>45826</v>
      </c>
      <c r="G472" s="6" t="str">
        <f>TEXT(F472, "MMM-YY")</f>
        <v>Jun-25</v>
      </c>
      <c r="H472" t="s">
        <v>457</v>
      </c>
      <c r="I472" s="25">
        <v>179</v>
      </c>
      <c r="J472" s="4">
        <v>1000</v>
      </c>
      <c r="K472" t="s">
        <v>983</v>
      </c>
      <c r="L472" s="4" t="str">
        <f>VLOOKUP(K472, 'Items Master'!A:E,5,0)</f>
        <v>NA</v>
      </c>
      <c r="M472" s="4" t="str">
        <f>VLOOKUP(K472, 'Items Master'!A:D,4,0)</f>
        <v>Glass Filled</v>
      </c>
      <c r="N472" s="4" t="s">
        <v>24</v>
      </c>
      <c r="Q472" s="6">
        <v>45826</v>
      </c>
      <c r="R472" s="6" t="str">
        <f>TEXT(Q472, "MMM-YY")</f>
        <v>Jun-25</v>
      </c>
      <c r="W472" s="25">
        <v>179</v>
      </c>
      <c r="Y472"/>
      <c r="Z472"/>
      <c r="AB472"/>
      <c r="AC472"/>
      <c r="AD472"/>
      <c r="AE472"/>
      <c r="AF472"/>
      <c r="AG472"/>
      <c r="AH472"/>
      <c r="AI472"/>
      <c r="AJ472"/>
      <c r="AK472"/>
      <c r="AL472"/>
      <c r="AM472"/>
      <c r="AN472" s="9">
        <f t="shared" si="15"/>
        <v>0</v>
      </c>
      <c r="AO472" s="8"/>
      <c r="AP472" s="9">
        <f>I472-W472-X472-AN472</f>
        <v>0</v>
      </c>
      <c r="AQ472" t="s">
        <v>1316</v>
      </c>
    </row>
    <row r="473" spans="1:43" x14ac:dyDescent="0.3">
      <c r="A473" s="11">
        <f t="shared" si="16"/>
        <v>471</v>
      </c>
      <c r="B473" s="5" t="s">
        <v>1675</v>
      </c>
      <c r="C473" t="s">
        <v>893</v>
      </c>
      <c r="D473" s="24" t="s">
        <v>824</v>
      </c>
      <c r="E473" s="24" t="str">
        <f>IFERROR(VLOOKUP(D473,Dropdown!A:B,2,0),D473)</f>
        <v>Paragon</v>
      </c>
      <c r="F473" s="6">
        <v>45826</v>
      </c>
      <c r="G473" s="6" t="str">
        <f>TEXT(F473, "MMM-YY")</f>
        <v>Jun-25</v>
      </c>
      <c r="H473" t="s">
        <v>458</v>
      </c>
      <c r="I473" s="25">
        <v>100.71</v>
      </c>
      <c r="J473" s="4">
        <v>3000</v>
      </c>
      <c r="K473" t="s">
        <v>912</v>
      </c>
      <c r="L473" s="4" t="str">
        <f>VLOOKUP(K473, 'Items Master'!A:E,5,0)</f>
        <v>RIL</v>
      </c>
      <c r="M473" s="4" t="str">
        <f>VLOOKUP(K473, 'Items Master'!A:D,4,0)</f>
        <v>PP</v>
      </c>
      <c r="N473" s="4" t="s">
        <v>49</v>
      </c>
      <c r="Q473" s="6">
        <v>45826</v>
      </c>
      <c r="R473" s="6" t="str">
        <f>TEXT(Q473, "MMM-YY")</f>
        <v>Jun-25</v>
      </c>
      <c r="X473" s="25">
        <v>100.68</v>
      </c>
      <c r="AB473"/>
      <c r="AC473"/>
      <c r="AD473"/>
      <c r="AE473"/>
      <c r="AF473"/>
      <c r="AG473"/>
      <c r="AH473"/>
      <c r="AI473"/>
      <c r="AJ473"/>
      <c r="AK473"/>
      <c r="AL473"/>
      <c r="AM473"/>
      <c r="AN473" s="9">
        <f t="shared" si="15"/>
        <v>0</v>
      </c>
      <c r="AO473" s="8"/>
      <c r="AP473" s="9">
        <f>I473-W473-X473-AN473</f>
        <v>2.9999999999986926E-2</v>
      </c>
      <c r="AQ473" t="s">
        <v>1324</v>
      </c>
    </row>
    <row r="474" spans="1:43" x14ac:dyDescent="0.3">
      <c r="A474" s="11">
        <f t="shared" si="16"/>
        <v>472</v>
      </c>
      <c r="B474" s="5" t="s">
        <v>1675</v>
      </c>
      <c r="C474" t="s">
        <v>893</v>
      </c>
      <c r="D474" s="24" t="s">
        <v>873</v>
      </c>
      <c r="E474" s="24" t="str">
        <f>IFERROR(VLOOKUP(D474,Dropdown!A:B,2,0),D474)</f>
        <v>POLY PIPES INDIA PRIVATE LIMITED</v>
      </c>
      <c r="F474" s="6">
        <v>45826</v>
      </c>
      <c r="G474" s="6" t="str">
        <f>TEXT(F474, "MMM-YY")</f>
        <v>Jun-25</v>
      </c>
      <c r="H474" t="s">
        <v>459</v>
      </c>
      <c r="I474" s="25">
        <v>69.349999999999994</v>
      </c>
      <c r="J474" s="4">
        <v>10000</v>
      </c>
      <c r="K474" t="s">
        <v>936</v>
      </c>
      <c r="L474" s="4" t="str">
        <f>VLOOKUP(K474, 'Items Master'!A:E,5,0)</f>
        <v>FORMOSA</v>
      </c>
      <c r="M474" s="4" t="str">
        <f>VLOOKUP(K474, 'Items Master'!A:D,4,0)</f>
        <v>PVC</v>
      </c>
      <c r="N474" s="4" t="s">
        <v>24</v>
      </c>
      <c r="Q474" s="6">
        <v>45826</v>
      </c>
      <c r="R474" s="6" t="str">
        <f>TEXT(Q474, "MMM-YY")</f>
        <v>Jun-25</v>
      </c>
      <c r="W474" s="25">
        <v>69.349999999999994</v>
      </c>
      <c r="Y474"/>
      <c r="Z474"/>
      <c r="AB474"/>
      <c r="AC474"/>
      <c r="AD474"/>
      <c r="AE474"/>
      <c r="AF474"/>
      <c r="AG474"/>
      <c r="AH474"/>
      <c r="AI474"/>
      <c r="AJ474"/>
      <c r="AK474"/>
      <c r="AL474"/>
      <c r="AM474"/>
      <c r="AN474" s="9">
        <f t="shared" si="15"/>
        <v>0</v>
      </c>
      <c r="AO474" s="8"/>
      <c r="AP474" s="9">
        <f>I474-W474-X474-AN474</f>
        <v>0</v>
      </c>
      <c r="AQ474" t="s">
        <v>1316</v>
      </c>
    </row>
    <row r="475" spans="1:43" x14ac:dyDescent="0.3">
      <c r="A475" s="11">
        <f t="shared" si="16"/>
        <v>473</v>
      </c>
      <c r="B475" s="5" t="s">
        <v>1675</v>
      </c>
      <c r="C475" t="s">
        <v>893</v>
      </c>
      <c r="D475" s="24" t="s">
        <v>844</v>
      </c>
      <c r="E475" s="24" t="str">
        <f>IFERROR(VLOOKUP(D475,Dropdown!A:B,2,0),D475)</f>
        <v>APEX TECHNO POLYMER PRIVATE LIMITED</v>
      </c>
      <c r="F475" s="6">
        <v>45826</v>
      </c>
      <c r="G475" s="6" t="str">
        <f>TEXT(F475, "MMM-YY")</f>
        <v>Jun-25</v>
      </c>
      <c r="H475" t="s">
        <v>460</v>
      </c>
      <c r="I475" s="25">
        <v>188</v>
      </c>
      <c r="J475" s="4">
        <v>5000</v>
      </c>
      <c r="K475" t="s">
        <v>983</v>
      </c>
      <c r="L475" s="4" t="str">
        <f>VLOOKUP(K475, 'Items Master'!A:E,5,0)</f>
        <v>NA</v>
      </c>
      <c r="M475" s="4" t="str">
        <f>VLOOKUP(K475, 'Items Master'!A:D,4,0)</f>
        <v>Glass Filled</v>
      </c>
      <c r="N475" s="4" t="s">
        <v>24</v>
      </c>
      <c r="Q475" s="6">
        <v>45826</v>
      </c>
      <c r="R475" s="6" t="str">
        <f>TEXT(Q475, "MMM-YY")</f>
        <v>Jun-25</v>
      </c>
      <c r="W475" s="25">
        <v>188</v>
      </c>
      <c r="Y475"/>
      <c r="Z475"/>
      <c r="AB475"/>
      <c r="AC475"/>
      <c r="AD475"/>
      <c r="AE475"/>
      <c r="AF475"/>
      <c r="AG475"/>
      <c r="AH475"/>
      <c r="AI475"/>
      <c r="AJ475"/>
      <c r="AK475"/>
      <c r="AL475"/>
      <c r="AM475"/>
      <c r="AN475" s="9">
        <f t="shared" si="15"/>
        <v>0</v>
      </c>
      <c r="AO475" s="8"/>
      <c r="AP475" s="9">
        <f>I475-W475-X475-AN475</f>
        <v>0</v>
      </c>
      <c r="AQ475" t="s">
        <v>1316</v>
      </c>
    </row>
    <row r="476" spans="1:43" x14ac:dyDescent="0.3">
      <c r="A476" s="11">
        <f t="shared" si="16"/>
        <v>474</v>
      </c>
      <c r="B476" s="5" t="s">
        <v>1675</v>
      </c>
      <c r="C476" t="s">
        <v>893</v>
      </c>
      <c r="D476" s="24" t="s">
        <v>824</v>
      </c>
      <c r="E476" s="24" t="str">
        <f>IFERROR(VLOOKUP(D476,Dropdown!A:B,2,0),D476)</f>
        <v>Paragon</v>
      </c>
      <c r="F476" s="6">
        <v>45826</v>
      </c>
      <c r="G476" s="6" t="str">
        <f>TEXT(F476, "MMM-YY")</f>
        <v>Jun-25</v>
      </c>
      <c r="H476" t="s">
        <v>461</v>
      </c>
      <c r="I476" s="25">
        <v>109.03</v>
      </c>
      <c r="J476" s="4">
        <v>3000</v>
      </c>
      <c r="K476" t="s">
        <v>948</v>
      </c>
      <c r="L476" s="4" t="str">
        <f>VLOOKUP(K476, 'Items Master'!A:E,5,0)</f>
        <v>RIL</v>
      </c>
      <c r="M476" s="4" t="str">
        <f>VLOOKUP(K476, 'Items Master'!A:D,4,0)</f>
        <v>PP RCP</v>
      </c>
      <c r="N476" s="4" t="s">
        <v>49</v>
      </c>
      <c r="Q476" s="6">
        <v>45826</v>
      </c>
      <c r="R476" s="6" t="str">
        <f>TEXT(Q476, "MMM-YY")</f>
        <v>Jun-25</v>
      </c>
      <c r="X476" s="25">
        <v>108.78</v>
      </c>
      <c r="Y476" s="25" t="s">
        <v>1303</v>
      </c>
      <c r="AB476"/>
      <c r="AC476"/>
      <c r="AD476"/>
      <c r="AE476"/>
      <c r="AF476"/>
      <c r="AG476"/>
      <c r="AH476"/>
      <c r="AI476"/>
      <c r="AJ476"/>
      <c r="AK476"/>
      <c r="AL476"/>
      <c r="AM476"/>
      <c r="AN476" s="9">
        <f t="shared" si="15"/>
        <v>0</v>
      </c>
      <c r="AO476" s="8"/>
      <c r="AP476" s="9">
        <f>I476-W476-X476-AN476</f>
        <v>0.25</v>
      </c>
      <c r="AQ476" t="s">
        <v>1324</v>
      </c>
    </row>
    <row r="477" spans="1:43" x14ac:dyDescent="0.3">
      <c r="A477" s="11">
        <f t="shared" si="16"/>
        <v>475</v>
      </c>
      <c r="B477" s="5" t="s">
        <v>1675</v>
      </c>
      <c r="C477" t="s">
        <v>893</v>
      </c>
      <c r="D477" s="24" t="s">
        <v>824</v>
      </c>
      <c r="E477" s="24" t="str">
        <f>IFERROR(VLOOKUP(D477,Dropdown!A:B,2,0),D477)</f>
        <v>Paragon</v>
      </c>
      <c r="F477" s="6">
        <v>45826</v>
      </c>
      <c r="G477" s="6" t="str">
        <f>TEXT(F477, "MMM-YY")</f>
        <v>Jun-25</v>
      </c>
      <c r="H477" t="s">
        <v>461</v>
      </c>
      <c r="I477" s="25">
        <v>93.73</v>
      </c>
      <c r="J477" s="4">
        <v>3000</v>
      </c>
      <c r="K477" t="s">
        <v>927</v>
      </c>
      <c r="L477" s="4" t="str">
        <f>VLOOKUP(K477, 'Items Master'!A:E,5,0)</f>
        <v>RIL</v>
      </c>
      <c r="M477" s="4" t="str">
        <f>VLOOKUP(K477, 'Items Master'!A:D,4,0)</f>
        <v>HDPE</v>
      </c>
      <c r="N477" s="4" t="s">
        <v>49</v>
      </c>
      <c r="Q477" s="6">
        <v>45826</v>
      </c>
      <c r="R477" s="6" t="str">
        <f>TEXT(Q477, "MMM-YY")</f>
        <v>Jun-25</v>
      </c>
      <c r="X477" s="25">
        <v>93.48</v>
      </c>
      <c r="Y477" s="25" t="s">
        <v>1303</v>
      </c>
      <c r="AB477"/>
      <c r="AC477"/>
      <c r="AD477"/>
      <c r="AE477"/>
      <c r="AF477"/>
      <c r="AG477"/>
      <c r="AH477"/>
      <c r="AI477"/>
      <c r="AJ477"/>
      <c r="AK477"/>
      <c r="AL477"/>
      <c r="AM477"/>
      <c r="AN477" s="9">
        <f t="shared" si="15"/>
        <v>0</v>
      </c>
      <c r="AO477" s="8"/>
      <c r="AP477" s="9">
        <f>I477-W477-X477-AN477</f>
        <v>0.25</v>
      </c>
      <c r="AQ477" t="s">
        <v>1324</v>
      </c>
    </row>
    <row r="478" spans="1:43" x14ac:dyDescent="0.3">
      <c r="A478" s="11">
        <f t="shared" si="16"/>
        <v>476</v>
      </c>
      <c r="B478" s="5" t="s">
        <v>1675</v>
      </c>
      <c r="C478" t="s">
        <v>893</v>
      </c>
      <c r="D478" s="24" t="s">
        <v>874</v>
      </c>
      <c r="E478" s="24" t="str">
        <f>IFERROR(VLOOKUP(D478,Dropdown!A:B,2,0),D478)</f>
        <v>RAJATH CONSUMABLES</v>
      </c>
      <c r="F478" s="6">
        <v>45826</v>
      </c>
      <c r="G478" s="6" t="str">
        <f>TEXT(F478, "MMM-YY")</f>
        <v>Jun-25</v>
      </c>
      <c r="H478" t="s">
        <v>462</v>
      </c>
      <c r="I478" s="25">
        <v>65.75</v>
      </c>
      <c r="J478" s="4">
        <v>13000</v>
      </c>
      <c r="K478" t="s">
        <v>900</v>
      </c>
      <c r="L478" s="4" t="str">
        <f>VLOOKUP(K478, 'Items Master'!A:E,5,0)</f>
        <v>HANWHA</v>
      </c>
      <c r="M478" s="4" t="str">
        <f>VLOOKUP(K478, 'Items Master'!A:D,4,0)</f>
        <v>PVC</v>
      </c>
      <c r="N478" s="4" t="s">
        <v>24</v>
      </c>
      <c r="Q478" s="6">
        <v>45826</v>
      </c>
      <c r="R478" s="6" t="str">
        <f>TEXT(Q478, "MMM-YY")</f>
        <v>Jun-25</v>
      </c>
      <c r="W478" s="25">
        <v>65.75</v>
      </c>
      <c r="Y478"/>
      <c r="Z478"/>
      <c r="AB478"/>
      <c r="AC478"/>
      <c r="AD478"/>
      <c r="AE478"/>
      <c r="AF478"/>
      <c r="AG478"/>
      <c r="AH478"/>
      <c r="AI478"/>
      <c r="AJ478"/>
      <c r="AK478"/>
      <c r="AL478"/>
      <c r="AM478"/>
      <c r="AN478" s="9">
        <f t="shared" si="15"/>
        <v>0</v>
      </c>
      <c r="AO478" s="8"/>
      <c r="AP478" s="9">
        <f>I478-W478-X478-AN478</f>
        <v>0</v>
      </c>
      <c r="AQ478" t="s">
        <v>1316</v>
      </c>
    </row>
    <row r="479" spans="1:43" x14ac:dyDescent="0.3">
      <c r="A479" s="11">
        <f t="shared" si="16"/>
        <v>477</v>
      </c>
      <c r="B479" s="5" t="s">
        <v>1675</v>
      </c>
      <c r="C479" t="s">
        <v>893</v>
      </c>
      <c r="D479" s="24" t="s">
        <v>864</v>
      </c>
      <c r="E479" s="24" t="str">
        <f>IFERROR(VLOOKUP(D479,Dropdown!A:B,2,0),D479)</f>
        <v>SVP</v>
      </c>
      <c r="F479" s="6">
        <v>45826</v>
      </c>
      <c r="G479" s="6" t="str">
        <f>TEXT(F479, "MMM-YY")</f>
        <v>Jun-25</v>
      </c>
      <c r="H479" t="s">
        <v>463</v>
      </c>
      <c r="I479" s="25">
        <v>97.13</v>
      </c>
      <c r="J479" s="4">
        <v>10000</v>
      </c>
      <c r="K479" t="s">
        <v>958</v>
      </c>
      <c r="L479" s="4" t="str">
        <f>VLOOKUP(K479, 'Items Master'!A:E,5,0)</f>
        <v>HMEL</v>
      </c>
      <c r="M479" s="4" t="str">
        <f>VLOOKUP(K479, 'Items Master'!A:D,4,0)</f>
        <v>PP</v>
      </c>
      <c r="N479" s="4" t="s">
        <v>49</v>
      </c>
      <c r="Q479" s="6">
        <v>45826</v>
      </c>
      <c r="R479" s="6" t="str">
        <f>TEXT(Q479, "MMM-YY")</f>
        <v>Jun-25</v>
      </c>
      <c r="X479" s="25">
        <v>100.48</v>
      </c>
      <c r="Y479" t="s">
        <v>1303</v>
      </c>
      <c r="Z479" t="s">
        <v>1305</v>
      </c>
      <c r="AB479" s="8">
        <v>-1.1000000000000001</v>
      </c>
      <c r="AC479" s="8">
        <v>-0.5</v>
      </c>
      <c r="AD479" s="8">
        <v>-1.75</v>
      </c>
      <c r="AN479" s="9">
        <f t="shared" si="15"/>
        <v>-3.35</v>
      </c>
      <c r="AO479" s="8"/>
      <c r="AP479" s="9">
        <f>I479-W479-X479-AN479</f>
        <v>-8.4376949871511897E-15</v>
      </c>
      <c r="AQ479" t="s">
        <v>1316</v>
      </c>
    </row>
    <row r="480" spans="1:43" x14ac:dyDescent="0.3">
      <c r="A480" s="11">
        <f t="shared" si="16"/>
        <v>478</v>
      </c>
      <c r="B480" s="5" t="s">
        <v>1675</v>
      </c>
      <c r="C480" t="s">
        <v>893</v>
      </c>
      <c r="D480" s="24" t="s">
        <v>864</v>
      </c>
      <c r="E480" s="24" t="str">
        <f>IFERROR(VLOOKUP(D480,Dropdown!A:B,2,0),D480)</f>
        <v>SVP</v>
      </c>
      <c r="F480" s="6">
        <v>45826</v>
      </c>
      <c r="G480" s="6" t="str">
        <f>TEXT(F480, "MMM-YY")</f>
        <v>Jun-25</v>
      </c>
      <c r="H480" t="s">
        <v>464</v>
      </c>
      <c r="I480" s="25">
        <v>97.13</v>
      </c>
      <c r="J480" s="4">
        <v>10000</v>
      </c>
      <c r="K480" t="s">
        <v>958</v>
      </c>
      <c r="L480" s="4" t="str">
        <f>VLOOKUP(K480, 'Items Master'!A:E,5,0)</f>
        <v>HMEL</v>
      </c>
      <c r="M480" s="4" t="str">
        <f>VLOOKUP(K480, 'Items Master'!A:D,4,0)</f>
        <v>PP</v>
      </c>
      <c r="N480" s="4" t="s">
        <v>49</v>
      </c>
      <c r="Q480" s="6">
        <v>45826</v>
      </c>
      <c r="R480" s="6" t="str">
        <f>TEXT(Q480, "MMM-YY")</f>
        <v>Jun-25</v>
      </c>
      <c r="X480" s="25">
        <v>100.48</v>
      </c>
      <c r="Y480" t="s">
        <v>1303</v>
      </c>
      <c r="Z480" t="s">
        <v>1305</v>
      </c>
      <c r="AB480" s="8">
        <v>-1.1000000000000001</v>
      </c>
      <c r="AC480" s="8">
        <v>-0.5</v>
      </c>
      <c r="AD480" s="8">
        <v>-1.75</v>
      </c>
      <c r="AN480" s="9">
        <f t="shared" si="15"/>
        <v>-3.35</v>
      </c>
      <c r="AO480" s="8"/>
      <c r="AP480" s="9">
        <f>I480-W480-X480-AN480</f>
        <v>-8.4376949871511897E-15</v>
      </c>
      <c r="AQ480" t="s">
        <v>1316</v>
      </c>
    </row>
    <row r="481" spans="1:43" x14ac:dyDescent="0.3">
      <c r="A481" s="11">
        <f t="shared" si="16"/>
        <v>479</v>
      </c>
      <c r="B481" s="5" t="s">
        <v>1675</v>
      </c>
      <c r="C481" t="s">
        <v>893</v>
      </c>
      <c r="D481" s="24" t="s">
        <v>857</v>
      </c>
      <c r="E481" s="24" t="str">
        <f>IFERROR(VLOOKUP(D481,Dropdown!A:B,2,0),D481)</f>
        <v>Purav</v>
      </c>
      <c r="F481" s="6">
        <v>45827</v>
      </c>
      <c r="G481" s="6" t="str">
        <f>TEXT(F481, "MMM-YY")</f>
        <v>Jun-25</v>
      </c>
      <c r="H481" t="s">
        <v>465</v>
      </c>
      <c r="I481" s="25">
        <v>95.5</v>
      </c>
      <c r="J481" s="4">
        <v>3000</v>
      </c>
      <c r="K481" t="s">
        <v>898</v>
      </c>
      <c r="L481" s="4" t="str">
        <f>VLOOKUP(K481, 'Items Master'!A:E,5,0)</f>
        <v>OPAL</v>
      </c>
      <c r="M481" s="4" t="str">
        <f>VLOOKUP(K481, 'Items Master'!A:D,4,0)</f>
        <v>LLDPE</v>
      </c>
      <c r="N481" s="4" t="s">
        <v>49</v>
      </c>
      <c r="O481" t="s">
        <v>1298</v>
      </c>
      <c r="Q481" s="6">
        <v>45827</v>
      </c>
      <c r="R481" s="6" t="str">
        <f>TEXT(Q481, "MMM-YY")</f>
        <v>Jun-25</v>
      </c>
      <c r="S481" t="s">
        <v>21</v>
      </c>
      <c r="U481" t="s">
        <v>1605</v>
      </c>
      <c r="X481" s="25">
        <v>96.3</v>
      </c>
      <c r="Y481" s="25" t="s">
        <v>1303</v>
      </c>
      <c r="AB481" s="8">
        <v>-0.9</v>
      </c>
      <c r="AH481" s="8">
        <v>0.1</v>
      </c>
      <c r="AN481" s="9">
        <f t="shared" si="15"/>
        <v>-0.8</v>
      </c>
      <c r="AO481" s="8"/>
      <c r="AP481" s="9">
        <f>I481-W481-X481-AN481</f>
        <v>2.886579864025407E-15</v>
      </c>
      <c r="AQ481" t="s">
        <v>1316</v>
      </c>
    </row>
    <row r="482" spans="1:43" x14ac:dyDescent="0.3">
      <c r="A482" s="11">
        <f t="shared" si="16"/>
        <v>480</v>
      </c>
      <c r="B482" s="5" t="s">
        <v>1675</v>
      </c>
      <c r="C482" t="s">
        <v>893</v>
      </c>
      <c r="D482" s="24" t="s">
        <v>857</v>
      </c>
      <c r="E482" s="24" t="str">
        <f>IFERROR(VLOOKUP(D482,Dropdown!A:B,2,0),D482)</f>
        <v>Purav</v>
      </c>
      <c r="F482" s="6">
        <v>45827</v>
      </c>
      <c r="G482" s="6" t="str">
        <f>TEXT(F482, "MMM-YY")</f>
        <v>Jun-25</v>
      </c>
      <c r="H482" t="s">
        <v>466</v>
      </c>
      <c r="I482" s="25">
        <v>93.5</v>
      </c>
      <c r="J482" s="4">
        <v>2000</v>
      </c>
      <c r="K482" t="s">
        <v>935</v>
      </c>
      <c r="L482" s="4" t="str">
        <f>VLOOKUP(K482, 'Items Master'!A:E,5,0)</f>
        <v>OPAL</v>
      </c>
      <c r="M482" s="4" t="str">
        <f>VLOOKUP(K482, 'Items Master'!A:D,4,0)</f>
        <v>HDPE</v>
      </c>
      <c r="N482" s="4" t="s">
        <v>49</v>
      </c>
      <c r="O482" t="s">
        <v>1298</v>
      </c>
      <c r="Q482" s="6">
        <v>45827</v>
      </c>
      <c r="R482" s="6" t="str">
        <f>TEXT(Q482, "MMM-YY")</f>
        <v>Jun-25</v>
      </c>
      <c r="S482" t="s">
        <v>21</v>
      </c>
      <c r="U482" t="s">
        <v>1605</v>
      </c>
      <c r="X482" s="25">
        <v>94.28</v>
      </c>
      <c r="Y482" s="25" t="s">
        <v>1303</v>
      </c>
      <c r="AB482" s="8">
        <v>-0.9</v>
      </c>
      <c r="AH482" s="8">
        <v>0.1</v>
      </c>
      <c r="AK482" s="8">
        <v>0.02</v>
      </c>
      <c r="AN482" s="9">
        <f t="shared" si="15"/>
        <v>-0.78</v>
      </c>
      <c r="AO482" s="8"/>
      <c r="AP482" s="9">
        <f>I482-W482-X482-AN482</f>
        <v>-1.1102230246251565E-15</v>
      </c>
      <c r="AQ482" t="s">
        <v>1316</v>
      </c>
    </row>
    <row r="483" spans="1:43" x14ac:dyDescent="0.3">
      <c r="A483" s="11">
        <f t="shared" si="16"/>
        <v>481</v>
      </c>
      <c r="B483" s="5" t="s">
        <v>1675</v>
      </c>
      <c r="C483" t="s">
        <v>893</v>
      </c>
      <c r="D483" s="24" t="s">
        <v>857</v>
      </c>
      <c r="E483" s="24" t="str">
        <f>IFERROR(VLOOKUP(D483,Dropdown!A:B,2,0),D483)</f>
        <v>Purav</v>
      </c>
      <c r="F483" s="6">
        <v>45827</v>
      </c>
      <c r="G483" s="6" t="str">
        <f>TEXT(F483, "MMM-YY")</f>
        <v>Jun-25</v>
      </c>
      <c r="H483" t="s">
        <v>467</v>
      </c>
      <c r="I483" s="25">
        <v>93.45</v>
      </c>
      <c r="J483" s="4">
        <v>6000</v>
      </c>
      <c r="K483" t="s">
        <v>896</v>
      </c>
      <c r="L483" s="4" t="str">
        <f>VLOOKUP(K483, 'Items Master'!A:E,5,0)</f>
        <v>OPAL</v>
      </c>
      <c r="M483" s="4" t="str">
        <f>VLOOKUP(K483, 'Items Master'!A:D,4,0)</f>
        <v>HDPE</v>
      </c>
      <c r="N483" s="4" t="s">
        <v>49</v>
      </c>
      <c r="O483" t="s">
        <v>1298</v>
      </c>
      <c r="Q483" s="6">
        <v>45827</v>
      </c>
      <c r="R483" s="6" t="str">
        <f>TEXT(Q483, "MMM-YY")</f>
        <v>Jun-25</v>
      </c>
      <c r="S483" t="s">
        <v>21</v>
      </c>
      <c r="U483" t="s">
        <v>1605</v>
      </c>
      <c r="X483" s="25">
        <v>94.25</v>
      </c>
      <c r="Y483" s="25" t="s">
        <v>1303</v>
      </c>
      <c r="AB483" s="8">
        <v>-0.9</v>
      </c>
      <c r="AH483" s="8">
        <v>0.1</v>
      </c>
      <c r="AN483" s="9">
        <f t="shared" si="15"/>
        <v>-0.8</v>
      </c>
      <c r="AO483" s="8"/>
      <c r="AP483" s="9">
        <f>I483-W483-X483-AN483</f>
        <v>2.886579864025407E-15</v>
      </c>
      <c r="AQ483" t="s">
        <v>1316</v>
      </c>
    </row>
    <row r="484" spans="1:43" x14ac:dyDescent="0.3">
      <c r="A484" s="11">
        <f t="shared" si="16"/>
        <v>482</v>
      </c>
      <c r="B484" s="5" t="s">
        <v>1675</v>
      </c>
      <c r="C484" t="s">
        <v>894</v>
      </c>
      <c r="D484" s="24" t="s">
        <v>849</v>
      </c>
      <c r="E484" s="24" t="str">
        <f>IFERROR(VLOOKUP(D484,Dropdown!A:B,2,0),D484)</f>
        <v>SERVO PACKAGING LIMITED</v>
      </c>
      <c r="F484" s="6">
        <v>45827</v>
      </c>
      <c r="G484" s="6" t="str">
        <f>TEXT(F484, "MMM-YY")</f>
        <v>Jun-25</v>
      </c>
      <c r="H484" t="s">
        <v>468</v>
      </c>
      <c r="I484" s="25">
        <v>97</v>
      </c>
      <c r="J484" s="4">
        <v>25500</v>
      </c>
      <c r="K484" t="s">
        <v>938</v>
      </c>
      <c r="L484" s="4" t="str">
        <f>VLOOKUP(K484, 'Items Master'!A:E,5,0)</f>
        <v>EXXON</v>
      </c>
      <c r="M484" s="4" t="str">
        <f>VLOOKUP(K484, 'Items Master'!A:D,4,0)</f>
        <v>PP</v>
      </c>
      <c r="N484" s="4" t="s">
        <v>24</v>
      </c>
      <c r="Q484" s="6">
        <v>45827</v>
      </c>
      <c r="R484" s="6" t="str">
        <f>TEXT(Q484, "MMM-YY")</f>
        <v>Jun-25</v>
      </c>
      <c r="W484" s="25">
        <v>97</v>
      </c>
      <c r="Y484"/>
      <c r="Z484"/>
      <c r="AB484"/>
      <c r="AC484"/>
      <c r="AD484"/>
      <c r="AE484"/>
      <c r="AF484"/>
      <c r="AG484"/>
      <c r="AH484"/>
      <c r="AI484"/>
      <c r="AJ484"/>
      <c r="AK484"/>
      <c r="AL484"/>
      <c r="AM484"/>
      <c r="AN484" s="9">
        <f t="shared" si="15"/>
        <v>0</v>
      </c>
      <c r="AO484" s="8"/>
      <c r="AP484" s="9">
        <f>I484-W484-X484-AN484</f>
        <v>0</v>
      </c>
      <c r="AQ484" t="s">
        <v>1316</v>
      </c>
    </row>
    <row r="485" spans="1:43" x14ac:dyDescent="0.3">
      <c r="A485" s="11">
        <f t="shared" si="16"/>
        <v>483</v>
      </c>
      <c r="B485" s="5" t="s">
        <v>1675</v>
      </c>
      <c r="C485" t="s">
        <v>894</v>
      </c>
      <c r="D485" s="24" t="s">
        <v>866</v>
      </c>
      <c r="E485" s="24" t="str">
        <f>IFERROR(VLOOKUP(D485,Dropdown!A:B,2,0),D485)</f>
        <v>KLENE PAKS LIMITED</v>
      </c>
      <c r="F485" s="6">
        <v>45828</v>
      </c>
      <c r="G485" s="6" t="str">
        <f>TEXT(F485, "MMM-YY")</f>
        <v>Jun-25</v>
      </c>
      <c r="H485" t="s">
        <v>469</v>
      </c>
      <c r="I485" s="25">
        <v>94.9</v>
      </c>
      <c r="J485" s="4">
        <v>13000</v>
      </c>
      <c r="K485" t="s">
        <v>979</v>
      </c>
      <c r="L485" s="4" t="str">
        <f>VLOOKUP(K485, 'Items Master'!A:E,5,0)</f>
        <v>IOCL</v>
      </c>
      <c r="M485" s="4" t="str">
        <f>VLOOKUP(K485, 'Items Master'!A:D,4,0)</f>
        <v>PP</v>
      </c>
      <c r="N485" s="4" t="s">
        <v>24</v>
      </c>
      <c r="Q485" s="6">
        <v>45828</v>
      </c>
      <c r="R485" s="6" t="str">
        <f>TEXT(Q485, "MMM-YY")</f>
        <v>Jun-25</v>
      </c>
      <c r="W485" s="25">
        <v>94.9</v>
      </c>
      <c r="Y485"/>
      <c r="Z485"/>
      <c r="AB485"/>
      <c r="AC485"/>
      <c r="AD485"/>
      <c r="AE485"/>
      <c r="AF485"/>
      <c r="AG485"/>
      <c r="AH485"/>
      <c r="AI485"/>
      <c r="AJ485"/>
      <c r="AK485"/>
      <c r="AL485"/>
      <c r="AM485"/>
      <c r="AN485" s="9">
        <f t="shared" si="15"/>
        <v>0</v>
      </c>
      <c r="AO485" s="8"/>
      <c r="AP485" s="9">
        <f>I485-W485-X485-AN485</f>
        <v>0</v>
      </c>
      <c r="AQ485" t="s">
        <v>1316</v>
      </c>
    </row>
    <row r="486" spans="1:43" x14ac:dyDescent="0.3">
      <c r="A486" s="11">
        <f t="shared" si="16"/>
        <v>484</v>
      </c>
      <c r="B486" s="5" t="s">
        <v>1675</v>
      </c>
      <c r="C486" t="s">
        <v>894</v>
      </c>
      <c r="D486" s="24" t="s">
        <v>857</v>
      </c>
      <c r="E486" s="24" t="str">
        <f>IFERROR(VLOOKUP(D486,Dropdown!A:B,2,0),D486)</f>
        <v>Purav</v>
      </c>
      <c r="F486" s="6">
        <v>45828</v>
      </c>
      <c r="G486" s="6" t="str">
        <f>TEXT(F486, "MMM-YY")</f>
        <v>Jun-25</v>
      </c>
      <c r="H486" t="s">
        <v>470</v>
      </c>
      <c r="I486" s="25">
        <v>94.45</v>
      </c>
      <c r="J486" s="4">
        <v>10000</v>
      </c>
      <c r="K486" t="s">
        <v>896</v>
      </c>
      <c r="L486" s="4" t="str">
        <f>VLOOKUP(K486, 'Items Master'!A:E,5,0)</f>
        <v>OPAL</v>
      </c>
      <c r="M486" s="4" t="str">
        <f>VLOOKUP(K486, 'Items Master'!A:D,4,0)</f>
        <v>HDPE</v>
      </c>
      <c r="N486" s="4" t="s">
        <v>49</v>
      </c>
      <c r="O486" t="s">
        <v>1298</v>
      </c>
      <c r="Q486" s="6">
        <v>45828</v>
      </c>
      <c r="R486" s="6" t="str">
        <f>TEXT(Q486, "MMM-YY")</f>
        <v>Jun-25</v>
      </c>
      <c r="U486" t="s">
        <v>1605</v>
      </c>
      <c r="X486" s="25">
        <v>95.25</v>
      </c>
      <c r="AB486" s="8">
        <v>-0.9</v>
      </c>
      <c r="AH486" s="8">
        <v>0.1</v>
      </c>
      <c r="AN486" s="9">
        <f t="shared" si="15"/>
        <v>-0.8</v>
      </c>
      <c r="AO486" s="8"/>
      <c r="AP486" s="9">
        <f>I486-W486-X486-AN486</f>
        <v>2.886579864025407E-15</v>
      </c>
      <c r="AQ486" t="s">
        <v>1316</v>
      </c>
    </row>
    <row r="487" spans="1:43" x14ac:dyDescent="0.3">
      <c r="A487" s="11">
        <f t="shared" si="16"/>
        <v>485</v>
      </c>
      <c r="B487" s="5" t="s">
        <v>1675</v>
      </c>
      <c r="C487" t="s">
        <v>893</v>
      </c>
      <c r="D487" s="24" t="s">
        <v>824</v>
      </c>
      <c r="E487" s="24" t="str">
        <f>IFERROR(VLOOKUP(D487,Dropdown!A:B,2,0),D487)</f>
        <v>Paragon</v>
      </c>
      <c r="F487" s="6">
        <v>45828</v>
      </c>
      <c r="G487" s="6" t="str">
        <f>TEXT(F487, "MMM-YY")</f>
        <v>Jun-25</v>
      </c>
      <c r="H487" t="s">
        <v>471</v>
      </c>
      <c r="I487" s="25">
        <v>105.78</v>
      </c>
      <c r="J487" s="4">
        <v>150</v>
      </c>
      <c r="K487" t="s">
        <v>925</v>
      </c>
      <c r="L487" s="4" t="str">
        <f>VLOOKUP(K487, 'Items Master'!A:E,5,0)</f>
        <v>RIL</v>
      </c>
      <c r="M487" s="4" t="str">
        <f>VLOOKUP(K487, 'Items Master'!A:D,4,0)</f>
        <v>PP ICP</v>
      </c>
      <c r="N487" s="4" t="s">
        <v>49</v>
      </c>
      <c r="Q487" s="6">
        <v>45828</v>
      </c>
      <c r="R487" s="6" t="str">
        <f>TEXT(Q487, "MMM-YY")</f>
        <v>Jun-25</v>
      </c>
      <c r="X487" s="25">
        <v>105.28</v>
      </c>
      <c r="AB487"/>
      <c r="AC487"/>
      <c r="AD487"/>
      <c r="AE487"/>
      <c r="AF487"/>
      <c r="AG487"/>
      <c r="AH487"/>
      <c r="AI487"/>
      <c r="AJ487"/>
      <c r="AK487"/>
      <c r="AL487"/>
      <c r="AM487"/>
      <c r="AN487" s="9">
        <f t="shared" si="15"/>
        <v>0</v>
      </c>
      <c r="AO487" s="8"/>
      <c r="AP487" s="9">
        <f>I487-W487-X487-AN487</f>
        <v>0.5</v>
      </c>
      <c r="AQ487" t="s">
        <v>1324</v>
      </c>
    </row>
    <row r="488" spans="1:43" x14ac:dyDescent="0.3">
      <c r="A488" s="11">
        <f t="shared" si="16"/>
        <v>486</v>
      </c>
      <c r="B488" s="5" t="s">
        <v>1675</v>
      </c>
      <c r="C488" t="s">
        <v>893</v>
      </c>
      <c r="D488" s="24" t="s">
        <v>48</v>
      </c>
      <c r="E488" s="24" t="str">
        <f>IFERROR(VLOOKUP(D488,Dropdown!A:B,2,0),D488)</f>
        <v>CVPL</v>
      </c>
      <c r="F488" s="6">
        <v>45828</v>
      </c>
      <c r="G488" s="6" t="str">
        <f>TEXT(F488, "MMM-YY")</f>
        <v>Jun-25</v>
      </c>
      <c r="H488" t="s">
        <v>472</v>
      </c>
      <c r="I488" s="25">
        <v>94</v>
      </c>
      <c r="J488" s="4">
        <v>4500</v>
      </c>
      <c r="K488" t="s">
        <v>911</v>
      </c>
      <c r="L488" s="4" t="str">
        <f>VLOOKUP(K488, 'Items Master'!A:E,5,0)</f>
        <v>BCPL</v>
      </c>
      <c r="M488" s="4" t="str">
        <f>VLOOKUP(K488, 'Items Master'!A:D,4,0)</f>
        <v>LLDPE</v>
      </c>
      <c r="N488" s="4" t="s">
        <v>49</v>
      </c>
      <c r="O488" t="s">
        <v>1298</v>
      </c>
      <c r="Q488" s="6">
        <v>45828</v>
      </c>
      <c r="R488" s="6" t="str">
        <f>TEXT(Q488, "MMM-YY")</f>
        <v>Jun-25</v>
      </c>
      <c r="X488" s="25">
        <v>96.617000000000004</v>
      </c>
      <c r="AB488"/>
      <c r="AC488"/>
      <c r="AD488"/>
      <c r="AE488"/>
      <c r="AF488"/>
      <c r="AG488"/>
      <c r="AH488"/>
      <c r="AI488"/>
      <c r="AJ488"/>
      <c r="AK488"/>
      <c r="AL488"/>
      <c r="AM488"/>
      <c r="AN488" s="9">
        <f t="shared" si="15"/>
        <v>0</v>
      </c>
      <c r="AO488" s="8"/>
      <c r="AP488" s="9">
        <f>I488-W488-X488-AN488</f>
        <v>-2.6170000000000044</v>
      </c>
      <c r="AQ488" t="s">
        <v>1324</v>
      </c>
    </row>
    <row r="489" spans="1:43" x14ac:dyDescent="0.3">
      <c r="A489" s="11">
        <f t="shared" si="16"/>
        <v>487</v>
      </c>
      <c r="B489" s="5" t="s">
        <v>1675</v>
      </c>
      <c r="C489" t="s">
        <v>893</v>
      </c>
      <c r="D489" s="24" t="s">
        <v>863</v>
      </c>
      <c r="E489" s="24" t="str">
        <f>IFERROR(VLOOKUP(D489,Dropdown!A:B,2,0),D489)</f>
        <v>SAMYUKTA POLYMERS</v>
      </c>
      <c r="F489" s="6">
        <v>45828</v>
      </c>
      <c r="G489" s="6" t="str">
        <f>TEXT(F489, "MMM-YY")</f>
        <v>Jun-25</v>
      </c>
      <c r="H489" t="s">
        <v>473</v>
      </c>
      <c r="I489" s="25">
        <v>118</v>
      </c>
      <c r="J489" s="4">
        <v>500</v>
      </c>
      <c r="K489" t="s">
        <v>895</v>
      </c>
      <c r="L489" s="4" t="str">
        <f>VLOOKUP(K489, 'Items Master'!A:E,5,0)</f>
        <v>RIL</v>
      </c>
      <c r="M489" s="4" t="str">
        <f>VLOOKUP(K489, 'Items Master'!A:D,4,0)</f>
        <v>LDPE</v>
      </c>
      <c r="N489" s="4" t="s">
        <v>24</v>
      </c>
      <c r="Q489" s="6">
        <v>45828</v>
      </c>
      <c r="R489" s="6" t="str">
        <f>TEXT(Q489, "MMM-YY")</f>
        <v>Jun-25</v>
      </c>
      <c r="W489" s="25">
        <v>118</v>
      </c>
      <c r="Y489"/>
      <c r="Z489"/>
      <c r="AB489"/>
      <c r="AC489"/>
      <c r="AD489"/>
      <c r="AE489"/>
      <c r="AF489"/>
      <c r="AG489"/>
      <c r="AH489"/>
      <c r="AI489"/>
      <c r="AJ489"/>
      <c r="AK489"/>
      <c r="AL489"/>
      <c r="AM489"/>
      <c r="AN489" s="9">
        <f t="shared" si="15"/>
        <v>0</v>
      </c>
      <c r="AO489" s="8"/>
      <c r="AP489" s="9">
        <f>I489-W489-X489-AN489</f>
        <v>0</v>
      </c>
      <c r="AQ489" t="s">
        <v>1316</v>
      </c>
    </row>
    <row r="490" spans="1:43" x14ac:dyDescent="0.3">
      <c r="A490" s="11">
        <f t="shared" si="16"/>
        <v>488</v>
      </c>
      <c r="B490" s="5" t="s">
        <v>1675</v>
      </c>
      <c r="C490" t="s">
        <v>893</v>
      </c>
      <c r="D490" s="24" t="s">
        <v>857</v>
      </c>
      <c r="E490" s="24" t="str">
        <f>IFERROR(VLOOKUP(D490,Dropdown!A:B,2,0),D490)</f>
        <v>Purav</v>
      </c>
      <c r="F490" s="6">
        <v>45829</v>
      </c>
      <c r="G490" s="6" t="str">
        <f>TEXT(F490, "MMM-YY")</f>
        <v>Jun-25</v>
      </c>
      <c r="H490" t="s">
        <v>474</v>
      </c>
      <c r="I490" s="25">
        <v>94.45</v>
      </c>
      <c r="J490" s="4">
        <v>5000</v>
      </c>
      <c r="K490" t="s">
        <v>896</v>
      </c>
      <c r="L490" s="4" t="str">
        <f>VLOOKUP(K490, 'Items Master'!A:E,5,0)</f>
        <v>OPAL</v>
      </c>
      <c r="M490" s="4" t="str">
        <f>VLOOKUP(K490, 'Items Master'!A:D,4,0)</f>
        <v>HDPE</v>
      </c>
      <c r="N490" s="4" t="s">
        <v>49</v>
      </c>
      <c r="O490" t="s">
        <v>1298</v>
      </c>
      <c r="Q490" s="6">
        <v>45829</v>
      </c>
      <c r="R490" s="6" t="str">
        <f>TEXT(Q490, "MMM-YY")</f>
        <v>Jun-25</v>
      </c>
      <c r="U490" t="s">
        <v>1605</v>
      </c>
      <c r="X490" s="25">
        <v>95.25</v>
      </c>
      <c r="AB490" s="8">
        <v>-0.9</v>
      </c>
      <c r="AH490" s="8">
        <v>0.1</v>
      </c>
      <c r="AN490" s="9">
        <f t="shared" si="15"/>
        <v>-0.8</v>
      </c>
      <c r="AO490" s="8"/>
      <c r="AP490" s="9">
        <f>I490-W490-X490-AN490</f>
        <v>2.886579864025407E-15</v>
      </c>
      <c r="AQ490" t="s">
        <v>1316</v>
      </c>
    </row>
    <row r="491" spans="1:43" x14ac:dyDescent="0.3">
      <c r="A491" s="11">
        <f t="shared" si="16"/>
        <v>489</v>
      </c>
      <c r="B491" s="5" t="s">
        <v>1675</v>
      </c>
      <c r="C491" t="s">
        <v>894</v>
      </c>
      <c r="D491" s="24" t="s">
        <v>876</v>
      </c>
      <c r="E491" s="24" t="str">
        <f>IFERROR(VLOOKUP(D491,Dropdown!A:B,2,0),D491)</f>
        <v>TARAJYOT POLYMERS LIMITED</v>
      </c>
      <c r="F491" s="6">
        <v>45829</v>
      </c>
      <c r="G491" s="6" t="str">
        <f>TEXT(F491, "MMM-YY")</f>
        <v>Jun-25</v>
      </c>
      <c r="H491" t="s">
        <v>475</v>
      </c>
      <c r="I491" s="25">
        <v>96.5</v>
      </c>
      <c r="J491" s="4">
        <v>25000</v>
      </c>
      <c r="K491" t="s">
        <v>907</v>
      </c>
      <c r="L491" s="4" t="str">
        <f>VLOOKUP(K491, 'Items Master'!A:E,5,0)</f>
        <v>MARLEX</v>
      </c>
      <c r="M491" s="4" t="str">
        <f>VLOOKUP(K491, 'Items Master'!A:D,4,0)</f>
        <v>HDPE</v>
      </c>
      <c r="N491" s="4" t="s">
        <v>24</v>
      </c>
      <c r="Q491" s="6">
        <v>45829</v>
      </c>
      <c r="R491" s="6" t="str">
        <f>TEXT(Q491, "MMM-YY")</f>
        <v>Jun-25</v>
      </c>
      <c r="W491" s="25">
        <v>96.5</v>
      </c>
      <c r="Y491"/>
      <c r="Z491"/>
      <c r="AB491"/>
      <c r="AC491"/>
      <c r="AD491"/>
      <c r="AE491"/>
      <c r="AF491"/>
      <c r="AG491"/>
      <c r="AH491"/>
      <c r="AI491"/>
      <c r="AJ491"/>
      <c r="AK491"/>
      <c r="AL491"/>
      <c r="AM491"/>
      <c r="AN491" s="9">
        <f t="shared" si="15"/>
        <v>0</v>
      </c>
      <c r="AO491" s="8"/>
      <c r="AP491" s="9">
        <f>I491-W491-X491-AN491</f>
        <v>0</v>
      </c>
      <c r="AQ491" t="s">
        <v>1316</v>
      </c>
    </row>
    <row r="492" spans="1:43" x14ac:dyDescent="0.3">
      <c r="A492" s="11">
        <f t="shared" si="16"/>
        <v>490</v>
      </c>
      <c r="B492" s="5" t="s">
        <v>1675</v>
      </c>
      <c r="C492" t="s">
        <v>893</v>
      </c>
      <c r="D492" s="24" t="s">
        <v>48</v>
      </c>
      <c r="E492" s="24" t="str">
        <f>IFERROR(VLOOKUP(D492,Dropdown!A:B,2,0),D492)</f>
        <v>CVPL</v>
      </c>
      <c r="F492" s="6">
        <v>45831</v>
      </c>
      <c r="G492" s="6" t="str">
        <f>TEXT(F492, "MMM-YY")</f>
        <v>Jun-25</v>
      </c>
      <c r="H492" t="s">
        <v>476</v>
      </c>
      <c r="I492" s="25">
        <v>94</v>
      </c>
      <c r="J492" s="4">
        <v>2500</v>
      </c>
      <c r="K492" t="s">
        <v>911</v>
      </c>
      <c r="L492" s="4" t="str">
        <f>VLOOKUP(K492, 'Items Master'!A:E,5,0)</f>
        <v>BCPL</v>
      </c>
      <c r="M492" s="4" t="str">
        <f>VLOOKUP(K492, 'Items Master'!A:D,4,0)</f>
        <v>LLDPE</v>
      </c>
      <c r="N492" s="4" t="s">
        <v>49</v>
      </c>
      <c r="O492" t="s">
        <v>1298</v>
      </c>
      <c r="Q492" s="6">
        <v>45831</v>
      </c>
      <c r="R492" s="6" t="str">
        <f>TEXT(Q492, "MMM-YY")</f>
        <v>Jun-25</v>
      </c>
      <c r="X492" s="25">
        <v>96.617000000000004</v>
      </c>
      <c r="Y492" s="25" t="s">
        <v>1304</v>
      </c>
      <c r="AB492"/>
      <c r="AC492"/>
      <c r="AD492"/>
      <c r="AE492"/>
      <c r="AF492"/>
      <c r="AG492"/>
      <c r="AH492"/>
      <c r="AI492"/>
      <c r="AJ492"/>
      <c r="AK492"/>
      <c r="AL492"/>
      <c r="AM492"/>
      <c r="AN492" s="9">
        <f t="shared" si="15"/>
        <v>0</v>
      </c>
      <c r="AO492" s="8"/>
      <c r="AP492" s="9">
        <f>I492-W492-X492-AN492</f>
        <v>-2.6170000000000044</v>
      </c>
      <c r="AQ492" t="s">
        <v>1324</v>
      </c>
    </row>
    <row r="493" spans="1:43" x14ac:dyDescent="0.3">
      <c r="A493" s="11">
        <f t="shared" si="16"/>
        <v>491</v>
      </c>
      <c r="B493" s="5" t="s">
        <v>1675</v>
      </c>
      <c r="C493" t="s">
        <v>894</v>
      </c>
      <c r="D493" s="24" t="s">
        <v>845</v>
      </c>
      <c r="E493" s="24" t="str">
        <f>IFERROR(VLOOKUP(D493,Dropdown!A:B,2,0),D493)</f>
        <v>SIM POLYMERS LLP</v>
      </c>
      <c r="F493" s="6">
        <v>45831</v>
      </c>
      <c r="G493" s="6" t="str">
        <f>TEXT(F493, "MMM-YY")</f>
        <v>Jun-25</v>
      </c>
      <c r="H493" t="s">
        <v>477</v>
      </c>
      <c r="I493" s="25">
        <v>93.5</v>
      </c>
      <c r="J493" s="4">
        <v>12000</v>
      </c>
      <c r="K493" t="s">
        <v>984</v>
      </c>
      <c r="L493" s="4" t="str">
        <f>VLOOKUP(K493, 'Items Master'!A:E,5,0)</f>
        <v>SABIC</v>
      </c>
      <c r="M493" s="4" t="str">
        <f>VLOOKUP(K493, 'Items Master'!A:D,4,0)</f>
        <v>LLDPE</v>
      </c>
      <c r="N493" s="4" t="s">
        <v>24</v>
      </c>
      <c r="Q493" s="6">
        <v>45831</v>
      </c>
      <c r="R493" s="6" t="str">
        <f>TEXT(Q493, "MMM-YY")</f>
        <v>Jun-25</v>
      </c>
      <c r="W493" s="25">
        <v>93.5</v>
      </c>
      <c r="Y493"/>
      <c r="Z493"/>
      <c r="AB493"/>
      <c r="AC493"/>
      <c r="AD493"/>
      <c r="AE493"/>
      <c r="AF493"/>
      <c r="AG493"/>
      <c r="AH493"/>
      <c r="AI493"/>
      <c r="AJ493"/>
      <c r="AK493"/>
      <c r="AL493"/>
      <c r="AM493"/>
      <c r="AN493" s="9">
        <f t="shared" si="15"/>
        <v>0</v>
      </c>
      <c r="AO493" s="8"/>
      <c r="AP493" s="9">
        <f>I493-W493-X493-AN493</f>
        <v>0</v>
      </c>
      <c r="AQ493" t="s">
        <v>1316</v>
      </c>
    </row>
    <row r="494" spans="1:43" x14ac:dyDescent="0.3">
      <c r="A494" s="11">
        <f t="shared" si="16"/>
        <v>492</v>
      </c>
      <c r="B494" s="5" t="s">
        <v>1675</v>
      </c>
      <c r="C494" t="s">
        <v>893</v>
      </c>
      <c r="D494" s="24" t="s">
        <v>824</v>
      </c>
      <c r="E494" s="24" t="str">
        <f>IFERROR(VLOOKUP(D494,Dropdown!A:B,2,0),D494)</f>
        <v>Paragon</v>
      </c>
      <c r="F494" s="6">
        <v>45832</v>
      </c>
      <c r="G494" s="6" t="str">
        <f>TEXT(F494, "MMM-YY")</f>
        <v>Jun-25</v>
      </c>
      <c r="H494" s="28" t="s">
        <v>1332</v>
      </c>
      <c r="I494" s="25">
        <v>105.28</v>
      </c>
      <c r="J494" s="4">
        <v>3000</v>
      </c>
      <c r="K494" t="s">
        <v>925</v>
      </c>
      <c r="L494" s="4" t="str">
        <f>VLOOKUP(K494, 'Items Master'!A:E,5,0)</f>
        <v>RIL</v>
      </c>
      <c r="M494" s="4" t="str">
        <f>VLOOKUP(K494, 'Items Master'!A:D,4,0)</f>
        <v>PP ICP</v>
      </c>
      <c r="N494" s="4" t="s">
        <v>49</v>
      </c>
      <c r="Q494" s="6">
        <v>45832</v>
      </c>
      <c r="R494" s="6" t="str">
        <f>TEXT(Q494, "MMM-YY")</f>
        <v>Jun-25</v>
      </c>
      <c r="X494" s="25">
        <v>105.28</v>
      </c>
      <c r="Y494" s="25" t="s">
        <v>1303</v>
      </c>
      <c r="AB494"/>
      <c r="AC494"/>
      <c r="AD494"/>
      <c r="AE494"/>
      <c r="AF494"/>
      <c r="AG494"/>
      <c r="AH494"/>
      <c r="AI494"/>
      <c r="AJ494"/>
      <c r="AK494"/>
      <c r="AL494"/>
      <c r="AM494"/>
      <c r="AN494" s="9">
        <f t="shared" si="15"/>
        <v>0</v>
      </c>
      <c r="AO494" s="8"/>
      <c r="AP494" s="9">
        <f>I494-W494-X494-AN494</f>
        <v>0</v>
      </c>
      <c r="AQ494" t="s">
        <v>1324</v>
      </c>
    </row>
    <row r="495" spans="1:43" x14ac:dyDescent="0.3">
      <c r="A495" s="11">
        <f t="shared" si="16"/>
        <v>493</v>
      </c>
      <c r="B495" s="5" t="s">
        <v>1675</v>
      </c>
      <c r="C495" t="s">
        <v>893</v>
      </c>
      <c r="D495" s="24" t="s">
        <v>877</v>
      </c>
      <c r="E495" s="24" t="str">
        <f>IFERROR(VLOOKUP(D495,Dropdown!A:B,2,0),D495)</f>
        <v>DVK POLYMERS</v>
      </c>
      <c r="F495" s="6">
        <v>45832</v>
      </c>
      <c r="G495" s="6" t="str">
        <f>TEXT(F495, "MMM-YY")</f>
        <v>Jun-25</v>
      </c>
      <c r="H495" t="s">
        <v>478</v>
      </c>
      <c r="I495" s="25">
        <v>98.5</v>
      </c>
      <c r="J495" s="4">
        <v>10000</v>
      </c>
      <c r="K495" t="s">
        <v>985</v>
      </c>
      <c r="L495" s="4" t="str">
        <f>VLOOKUP(K495, 'Items Master'!A:E,5,0)</f>
        <v>EXXON</v>
      </c>
      <c r="M495" s="4" t="str">
        <f>VLOOKUP(K495, 'Items Master'!A:D,4,0)</f>
        <v>PP ICP</v>
      </c>
      <c r="N495" s="4" t="s">
        <v>24</v>
      </c>
      <c r="Q495" s="6">
        <v>45832</v>
      </c>
      <c r="R495" s="6" t="str">
        <f>TEXT(Q495, "MMM-YY")</f>
        <v>Jun-25</v>
      </c>
      <c r="W495" s="25">
        <v>98.5</v>
      </c>
      <c r="Y495"/>
      <c r="Z495"/>
      <c r="AB495"/>
      <c r="AC495"/>
      <c r="AD495"/>
      <c r="AE495"/>
      <c r="AF495"/>
      <c r="AG495"/>
      <c r="AH495"/>
      <c r="AI495"/>
      <c r="AJ495"/>
      <c r="AK495"/>
      <c r="AL495"/>
      <c r="AM495"/>
      <c r="AN495" s="9">
        <f t="shared" si="15"/>
        <v>0</v>
      </c>
      <c r="AO495" s="8"/>
      <c r="AP495" s="9">
        <f>I495-W495-X495-AN495</f>
        <v>0</v>
      </c>
      <c r="AQ495" t="s">
        <v>1316</v>
      </c>
    </row>
    <row r="496" spans="1:43" x14ac:dyDescent="0.3">
      <c r="A496" s="11">
        <f t="shared" si="16"/>
        <v>494</v>
      </c>
      <c r="B496" s="5" t="s">
        <v>1675</v>
      </c>
      <c r="C496" t="s">
        <v>893</v>
      </c>
      <c r="D496" s="24" t="s">
        <v>877</v>
      </c>
      <c r="E496" s="24" t="str">
        <f>IFERROR(VLOOKUP(D496,Dropdown!A:B,2,0),D496)</f>
        <v>DVK POLYMERS</v>
      </c>
      <c r="F496" s="6">
        <v>45832</v>
      </c>
      <c r="G496" s="6" t="str">
        <f>TEXT(F496, "MMM-YY")</f>
        <v>Jun-25</v>
      </c>
      <c r="H496" t="s">
        <v>479</v>
      </c>
      <c r="I496" s="25">
        <v>98.5</v>
      </c>
      <c r="J496" s="4">
        <v>10000</v>
      </c>
      <c r="K496" t="s">
        <v>985</v>
      </c>
      <c r="L496" s="4" t="str">
        <f>VLOOKUP(K496, 'Items Master'!A:E,5,0)</f>
        <v>EXXON</v>
      </c>
      <c r="M496" s="4" t="str">
        <f>VLOOKUP(K496, 'Items Master'!A:D,4,0)</f>
        <v>PP ICP</v>
      </c>
      <c r="N496" s="4" t="s">
        <v>24</v>
      </c>
      <c r="Q496" s="6">
        <v>45832</v>
      </c>
      <c r="R496" s="6" t="str">
        <f>TEXT(Q496, "MMM-YY")</f>
        <v>Jun-25</v>
      </c>
      <c r="W496" s="25">
        <v>98.5</v>
      </c>
      <c r="Y496"/>
      <c r="Z496"/>
      <c r="AB496"/>
      <c r="AC496"/>
      <c r="AD496"/>
      <c r="AE496"/>
      <c r="AF496"/>
      <c r="AG496"/>
      <c r="AH496"/>
      <c r="AI496"/>
      <c r="AJ496"/>
      <c r="AK496"/>
      <c r="AL496"/>
      <c r="AM496"/>
      <c r="AN496" s="9">
        <f t="shared" si="15"/>
        <v>0</v>
      </c>
      <c r="AO496" s="8"/>
      <c r="AP496" s="9">
        <f>I496-W496-X496-AN496</f>
        <v>0</v>
      </c>
      <c r="AQ496" t="s">
        <v>1316</v>
      </c>
    </row>
    <row r="497" spans="1:43" x14ac:dyDescent="0.3">
      <c r="A497" s="11">
        <f t="shared" si="16"/>
        <v>495</v>
      </c>
      <c r="B497" s="5" t="s">
        <v>1675</v>
      </c>
      <c r="C497" t="s">
        <v>893</v>
      </c>
      <c r="D497" s="24" t="s">
        <v>866</v>
      </c>
      <c r="E497" s="24" t="str">
        <f>IFERROR(VLOOKUP(D497,Dropdown!A:B,2,0),D497)</f>
        <v>KLENE PAKS LIMITED</v>
      </c>
      <c r="F497" s="6">
        <v>45832</v>
      </c>
      <c r="G497" s="6" t="str">
        <f>TEXT(F497, "MMM-YY")</f>
        <v>Jun-25</v>
      </c>
      <c r="H497" t="s">
        <v>480</v>
      </c>
      <c r="I497" s="25">
        <v>95.25</v>
      </c>
      <c r="J497" s="4">
        <v>3000</v>
      </c>
      <c r="K497" t="s">
        <v>979</v>
      </c>
      <c r="L497" s="4" t="str">
        <f>VLOOKUP(K497, 'Items Master'!A:E,5,0)</f>
        <v>IOCL</v>
      </c>
      <c r="M497" s="4" t="str">
        <f>VLOOKUP(K497, 'Items Master'!A:D,4,0)</f>
        <v>PP</v>
      </c>
      <c r="N497" s="4" t="s">
        <v>24</v>
      </c>
      <c r="Q497" s="6">
        <v>45832</v>
      </c>
      <c r="R497" s="6" t="str">
        <f>TEXT(Q497, "MMM-YY")</f>
        <v>Jun-25</v>
      </c>
      <c r="W497" s="25">
        <v>95.25</v>
      </c>
      <c r="Y497"/>
      <c r="Z497"/>
      <c r="AB497"/>
      <c r="AC497"/>
      <c r="AD497"/>
      <c r="AE497"/>
      <c r="AF497"/>
      <c r="AG497"/>
      <c r="AH497"/>
      <c r="AI497"/>
      <c r="AJ497"/>
      <c r="AK497"/>
      <c r="AL497"/>
      <c r="AM497"/>
      <c r="AN497" s="9">
        <f t="shared" si="15"/>
        <v>0</v>
      </c>
      <c r="AO497" s="8"/>
      <c r="AP497" s="9">
        <f>I497-W497-X497-AN497</f>
        <v>0</v>
      </c>
      <c r="AQ497" t="s">
        <v>1316</v>
      </c>
    </row>
    <row r="498" spans="1:43" x14ac:dyDescent="0.3">
      <c r="A498" s="11">
        <f t="shared" si="16"/>
        <v>496</v>
      </c>
      <c r="B498" s="5" t="s">
        <v>1675</v>
      </c>
      <c r="C498" t="s">
        <v>894</v>
      </c>
      <c r="D498" s="24" t="s">
        <v>837</v>
      </c>
      <c r="E498" s="24" t="str">
        <f>IFERROR(VLOOKUP(D498,Dropdown!A:B,2,0),D498)</f>
        <v>SYNTHETIC PACKERS LIMITED</v>
      </c>
      <c r="F498" s="6">
        <v>45832</v>
      </c>
      <c r="G498" s="6" t="str">
        <f>TEXT(F498, "MMM-YY")</f>
        <v>Jun-25</v>
      </c>
      <c r="H498" t="s">
        <v>481</v>
      </c>
      <c r="I498" s="25">
        <v>95.5</v>
      </c>
      <c r="J498" s="4">
        <v>12000</v>
      </c>
      <c r="K498" t="s">
        <v>906</v>
      </c>
      <c r="L498" s="4" t="str">
        <f>VLOOKUP(K498, 'Items Master'!A:E,5,0)</f>
        <v>EQUATE</v>
      </c>
      <c r="M498" s="4" t="str">
        <f>VLOOKUP(K498, 'Items Master'!A:D,4,0)</f>
        <v>HDPE</v>
      </c>
      <c r="N498" s="4" t="s">
        <v>24</v>
      </c>
      <c r="Q498" s="6">
        <v>45832</v>
      </c>
      <c r="R498" s="6" t="str">
        <f>TEXT(Q498, "MMM-YY")</f>
        <v>Jun-25</v>
      </c>
      <c r="W498" s="25">
        <v>95.5</v>
      </c>
      <c r="Y498"/>
      <c r="Z498"/>
      <c r="AB498"/>
      <c r="AC498"/>
      <c r="AD498"/>
      <c r="AE498"/>
      <c r="AF498"/>
      <c r="AG498"/>
      <c r="AH498"/>
      <c r="AI498"/>
      <c r="AJ498"/>
      <c r="AK498"/>
      <c r="AL498"/>
      <c r="AM498"/>
      <c r="AN498" s="9">
        <f t="shared" si="15"/>
        <v>0</v>
      </c>
      <c r="AO498" s="8"/>
      <c r="AP498" s="9">
        <f>I498-W498-X498-AN498</f>
        <v>0</v>
      </c>
      <c r="AQ498" t="s">
        <v>1316</v>
      </c>
    </row>
    <row r="499" spans="1:43" x14ac:dyDescent="0.3">
      <c r="A499" s="11">
        <f t="shared" si="16"/>
        <v>497</v>
      </c>
      <c r="B499" s="5" t="s">
        <v>1675</v>
      </c>
      <c r="C499" t="s">
        <v>893</v>
      </c>
      <c r="D499" s="24" t="s">
        <v>857</v>
      </c>
      <c r="E499" s="24" t="str">
        <f>IFERROR(VLOOKUP(D499,Dropdown!A:B,2,0),D499)</f>
        <v>Purav</v>
      </c>
      <c r="F499" s="6">
        <v>45832</v>
      </c>
      <c r="G499" s="6" t="str">
        <f>TEXT(F499, "MMM-YY")</f>
        <v>Jun-25</v>
      </c>
      <c r="H499" t="s">
        <v>482</v>
      </c>
      <c r="I499" s="25">
        <v>96.5</v>
      </c>
      <c r="J499" s="4">
        <v>10000</v>
      </c>
      <c r="K499" t="s">
        <v>17</v>
      </c>
      <c r="L499" s="4" t="str">
        <f>VLOOKUP(K499, 'Items Master'!A:E,5,0)</f>
        <v>OPAL</v>
      </c>
      <c r="M499" s="4" t="str">
        <f>VLOOKUP(K499, 'Items Master'!A:D,4,0)</f>
        <v>LLDPE</v>
      </c>
      <c r="N499" s="4" t="s">
        <v>49</v>
      </c>
      <c r="O499" t="s">
        <v>1298</v>
      </c>
      <c r="Q499" s="6">
        <v>45832</v>
      </c>
      <c r="R499" s="6" t="str">
        <f>TEXT(Q499, "MMM-YY")</f>
        <v>Jun-25</v>
      </c>
      <c r="U499" t="s">
        <v>1605</v>
      </c>
      <c r="X499" s="25">
        <v>97.3</v>
      </c>
      <c r="Y499" s="25" t="s">
        <v>1303</v>
      </c>
      <c r="AB499" s="8">
        <v>-0.9</v>
      </c>
      <c r="AH499" s="8">
        <v>0.1</v>
      </c>
      <c r="AN499" s="9">
        <f t="shared" si="15"/>
        <v>-0.8</v>
      </c>
      <c r="AO499" s="8"/>
      <c r="AP499" s="9">
        <f>I499-W499-X499-AN499</f>
        <v>2.886579864025407E-15</v>
      </c>
      <c r="AQ499" t="s">
        <v>1316</v>
      </c>
    </row>
    <row r="500" spans="1:43" x14ac:dyDescent="0.3">
      <c r="A500" s="11">
        <f t="shared" si="16"/>
        <v>498</v>
      </c>
      <c r="B500" s="5" t="s">
        <v>1675</v>
      </c>
      <c r="C500" t="s">
        <v>893</v>
      </c>
      <c r="D500" s="24" t="s">
        <v>857</v>
      </c>
      <c r="E500" s="24" t="str">
        <f>IFERROR(VLOOKUP(D500,Dropdown!A:B,2,0),D500)</f>
        <v>Purav</v>
      </c>
      <c r="F500" s="6">
        <v>45832</v>
      </c>
      <c r="G500" s="6" t="str">
        <f>TEXT(F500, "MMM-YY")</f>
        <v>Jun-25</v>
      </c>
      <c r="H500" t="s">
        <v>483</v>
      </c>
      <c r="I500" s="25">
        <v>96.5</v>
      </c>
      <c r="J500" s="4">
        <v>9000</v>
      </c>
      <c r="K500" t="s">
        <v>17</v>
      </c>
      <c r="L500" s="4" t="str">
        <f>VLOOKUP(K500, 'Items Master'!A:E,5,0)</f>
        <v>OPAL</v>
      </c>
      <c r="M500" s="4" t="str">
        <f>VLOOKUP(K500, 'Items Master'!A:D,4,0)</f>
        <v>LLDPE</v>
      </c>
      <c r="N500" s="4" t="s">
        <v>49</v>
      </c>
      <c r="O500" t="s">
        <v>1298</v>
      </c>
      <c r="Q500" s="6">
        <v>45832</v>
      </c>
      <c r="R500" s="6" t="str">
        <f>TEXT(Q500, "MMM-YY")</f>
        <v>Jun-25</v>
      </c>
      <c r="U500" t="s">
        <v>1605</v>
      </c>
      <c r="X500" s="25">
        <v>97.3</v>
      </c>
      <c r="Y500" s="25" t="s">
        <v>1304</v>
      </c>
      <c r="AB500" s="8">
        <v>-0.9</v>
      </c>
      <c r="AH500" s="8">
        <v>0.1</v>
      </c>
      <c r="AN500" s="9">
        <f t="shared" si="15"/>
        <v>-0.8</v>
      </c>
      <c r="AO500" s="8"/>
      <c r="AP500" s="9">
        <f>I500-W500-X500-AN500</f>
        <v>2.886579864025407E-15</v>
      </c>
      <c r="AQ500" t="s">
        <v>1316</v>
      </c>
    </row>
    <row r="501" spans="1:43" x14ac:dyDescent="0.3">
      <c r="A501" s="11">
        <f t="shared" si="16"/>
        <v>499</v>
      </c>
      <c r="B501" s="5" t="s">
        <v>1675</v>
      </c>
      <c r="C501" t="s">
        <v>893</v>
      </c>
      <c r="D501" s="24" t="s">
        <v>866</v>
      </c>
      <c r="E501" s="24" t="str">
        <f>IFERROR(VLOOKUP(D501,Dropdown!A:B,2,0),D501)</f>
        <v>KLENE PAKS LIMITED</v>
      </c>
      <c r="F501" s="6">
        <v>45833</v>
      </c>
      <c r="G501" s="6" t="str">
        <f>TEXT(F501, "MMM-YY")</f>
        <v>Jun-25</v>
      </c>
      <c r="H501" t="s">
        <v>484</v>
      </c>
      <c r="I501" s="25">
        <v>95.25</v>
      </c>
      <c r="J501" s="4">
        <v>3000</v>
      </c>
      <c r="K501" t="s">
        <v>979</v>
      </c>
      <c r="L501" s="4" t="str">
        <f>VLOOKUP(K501, 'Items Master'!A:E,5,0)</f>
        <v>IOCL</v>
      </c>
      <c r="M501" s="4" t="str">
        <f>VLOOKUP(K501, 'Items Master'!A:D,4,0)</f>
        <v>PP</v>
      </c>
      <c r="N501" s="4" t="s">
        <v>24</v>
      </c>
      <c r="Q501" s="6">
        <v>45833</v>
      </c>
      <c r="R501" s="6" t="str">
        <f>TEXT(Q501, "MMM-YY")</f>
        <v>Jun-25</v>
      </c>
      <c r="W501" s="25">
        <v>95.25</v>
      </c>
      <c r="Y501"/>
      <c r="Z501"/>
      <c r="AB501"/>
      <c r="AC501"/>
      <c r="AD501"/>
      <c r="AE501"/>
      <c r="AF501"/>
      <c r="AG501"/>
      <c r="AH501"/>
      <c r="AI501"/>
      <c r="AJ501"/>
      <c r="AK501"/>
      <c r="AL501"/>
      <c r="AM501"/>
      <c r="AN501" s="9">
        <f t="shared" si="15"/>
        <v>0</v>
      </c>
      <c r="AO501" s="8"/>
      <c r="AP501" s="9">
        <f>I501-W501-X501-AN501</f>
        <v>0</v>
      </c>
      <c r="AQ501" t="s">
        <v>1316</v>
      </c>
    </row>
    <row r="502" spans="1:43" x14ac:dyDescent="0.3">
      <c r="A502" s="11">
        <f t="shared" si="16"/>
        <v>500</v>
      </c>
      <c r="B502" s="5" t="s">
        <v>1675</v>
      </c>
      <c r="C502" t="s">
        <v>893</v>
      </c>
      <c r="D502" s="24" t="s">
        <v>877</v>
      </c>
      <c r="E502" s="24" t="str">
        <f>IFERROR(VLOOKUP(D502,Dropdown!A:B,2,0),D502)</f>
        <v>DVK POLYMERS</v>
      </c>
      <c r="F502" s="6">
        <v>45833</v>
      </c>
      <c r="G502" s="6" t="str">
        <f>TEXT(F502, "MMM-YY")</f>
        <v>Jun-25</v>
      </c>
      <c r="H502" t="s">
        <v>485</v>
      </c>
      <c r="I502" s="25">
        <v>98.5</v>
      </c>
      <c r="J502" s="4">
        <v>5000</v>
      </c>
      <c r="K502" t="s">
        <v>985</v>
      </c>
      <c r="L502" s="4" t="str">
        <f>VLOOKUP(K502, 'Items Master'!A:E,5,0)</f>
        <v>EXXON</v>
      </c>
      <c r="M502" s="4" t="str">
        <f>VLOOKUP(K502, 'Items Master'!A:D,4,0)</f>
        <v>PP ICP</v>
      </c>
      <c r="N502" s="4" t="s">
        <v>24</v>
      </c>
      <c r="Q502" s="6">
        <v>45833</v>
      </c>
      <c r="R502" s="6" t="str">
        <f>TEXT(Q502, "MMM-YY")</f>
        <v>Jun-25</v>
      </c>
      <c r="W502" s="25">
        <v>98.5</v>
      </c>
      <c r="Y502"/>
      <c r="Z502"/>
      <c r="AB502"/>
      <c r="AC502"/>
      <c r="AD502"/>
      <c r="AE502"/>
      <c r="AF502"/>
      <c r="AG502"/>
      <c r="AH502"/>
      <c r="AI502"/>
      <c r="AJ502"/>
      <c r="AK502"/>
      <c r="AL502"/>
      <c r="AM502"/>
      <c r="AN502" s="9">
        <f t="shared" si="15"/>
        <v>0</v>
      </c>
      <c r="AO502" s="8"/>
      <c r="AP502" s="9">
        <f>I502-W502-X502-AN502</f>
        <v>0</v>
      </c>
      <c r="AQ502" t="s">
        <v>1316</v>
      </c>
    </row>
    <row r="503" spans="1:43" x14ac:dyDescent="0.3">
      <c r="A503" s="11">
        <f t="shared" si="16"/>
        <v>501</v>
      </c>
      <c r="B503" s="5" t="s">
        <v>1675</v>
      </c>
      <c r="C503" t="s">
        <v>893</v>
      </c>
      <c r="D503" s="24" t="s">
        <v>48</v>
      </c>
      <c r="E503" s="24" t="str">
        <f>IFERROR(VLOOKUP(D503,Dropdown!A:B,2,0),D503)</f>
        <v>CVPL</v>
      </c>
      <c r="F503" s="6">
        <v>45833</v>
      </c>
      <c r="G503" s="6" t="str">
        <f>TEXT(F503, "MMM-YY")</f>
        <v>Jun-25</v>
      </c>
      <c r="H503" t="s">
        <v>486</v>
      </c>
      <c r="I503" s="25">
        <v>103.5</v>
      </c>
      <c r="J503" s="4">
        <v>2500</v>
      </c>
      <c r="K503" t="s">
        <v>966</v>
      </c>
      <c r="L503" s="4" t="str">
        <f>VLOOKUP(K503, 'Items Master'!A:E,5,0)</f>
        <v>MRPL</v>
      </c>
      <c r="M503" s="4" t="str">
        <f>VLOOKUP(K503, 'Items Master'!A:D,4,0)</f>
        <v>PP</v>
      </c>
      <c r="N503" s="4" t="s">
        <v>49</v>
      </c>
      <c r="O503" t="s">
        <v>1298</v>
      </c>
      <c r="Q503" s="6">
        <v>45833</v>
      </c>
      <c r="R503" s="6" t="str">
        <f>TEXT(Q503, "MMM-YY")</f>
        <v>Jun-25</v>
      </c>
      <c r="X503" s="25">
        <v>101.696</v>
      </c>
      <c r="Y503" s="25" t="s">
        <v>1304</v>
      </c>
      <c r="AB503"/>
      <c r="AC503"/>
      <c r="AD503"/>
      <c r="AE503"/>
      <c r="AF503"/>
      <c r="AG503"/>
      <c r="AH503"/>
      <c r="AI503"/>
      <c r="AJ503"/>
      <c r="AK503"/>
      <c r="AL503"/>
      <c r="AM503"/>
      <c r="AN503" s="9">
        <f t="shared" si="15"/>
        <v>0</v>
      </c>
      <c r="AO503" s="8"/>
      <c r="AP503" s="9">
        <f>I503-W503-X503-AN503</f>
        <v>1.804000000000002</v>
      </c>
      <c r="AQ503" t="s">
        <v>1324</v>
      </c>
    </row>
    <row r="504" spans="1:43" x14ac:dyDescent="0.3">
      <c r="A504" s="11">
        <f t="shared" si="16"/>
        <v>502</v>
      </c>
      <c r="B504" s="5" t="s">
        <v>1675</v>
      </c>
      <c r="C504" t="s">
        <v>893</v>
      </c>
      <c r="D504" s="24" t="s">
        <v>830</v>
      </c>
      <c r="E504" s="24" t="str">
        <f>IFERROR(VLOOKUP(D504,Dropdown!A:B,2,0),D504)</f>
        <v>BULK LIQUID SOLUTIONS PVT LTD</v>
      </c>
      <c r="F504" s="6">
        <v>45833</v>
      </c>
      <c r="G504" s="6" t="str">
        <f>TEXT(F504, "MMM-YY")</f>
        <v>Jun-25</v>
      </c>
      <c r="H504" t="s">
        <v>487</v>
      </c>
      <c r="I504" s="25">
        <v>119</v>
      </c>
      <c r="J504" s="4">
        <v>10000</v>
      </c>
      <c r="K504" t="s">
        <v>986</v>
      </c>
      <c r="L504" s="4" t="str">
        <f>VLOOKUP(K504, 'Items Master'!A:E,5,0)</f>
        <v>DOW</v>
      </c>
      <c r="M504" s="4" t="str">
        <f>VLOOKUP(K504, 'Items Master'!A:D,4,0)</f>
        <v>LDPE</v>
      </c>
      <c r="N504" s="4" t="s">
        <v>24</v>
      </c>
      <c r="Q504" s="6">
        <v>45833</v>
      </c>
      <c r="R504" s="6" t="str">
        <f>TEXT(Q504, "MMM-YY")</f>
        <v>Jun-25</v>
      </c>
      <c r="W504" s="25">
        <v>119</v>
      </c>
      <c r="Y504"/>
      <c r="Z504"/>
      <c r="AB504"/>
      <c r="AC504"/>
      <c r="AD504"/>
      <c r="AE504"/>
      <c r="AF504"/>
      <c r="AG504"/>
      <c r="AH504"/>
      <c r="AI504"/>
      <c r="AJ504"/>
      <c r="AK504"/>
      <c r="AL504"/>
      <c r="AM504"/>
      <c r="AN504" s="9">
        <f t="shared" si="15"/>
        <v>0</v>
      </c>
      <c r="AO504" s="8"/>
      <c r="AP504" s="9">
        <f>I504-W504-X504-AN504</f>
        <v>0</v>
      </c>
      <c r="AQ504" t="s">
        <v>1316</v>
      </c>
    </row>
    <row r="505" spans="1:43" x14ac:dyDescent="0.3">
      <c r="A505" s="11">
        <f t="shared" si="16"/>
        <v>503</v>
      </c>
      <c r="B505" s="5" t="s">
        <v>1675</v>
      </c>
      <c r="C505" t="s">
        <v>893</v>
      </c>
      <c r="D505" s="24" t="s">
        <v>878</v>
      </c>
      <c r="E505" s="24" t="str">
        <f>IFERROR(VLOOKUP(D505,Dropdown!A:B,2,0),D505)</f>
        <v>OFB TECH PRIVATE LIMITED</v>
      </c>
      <c r="F505" s="6">
        <v>45833</v>
      </c>
      <c r="G505" s="6" t="str">
        <f>TEXT(F505, "MMM-YY")</f>
        <v>Jun-25</v>
      </c>
      <c r="H505" t="s">
        <v>488</v>
      </c>
      <c r="I505" s="25">
        <v>87</v>
      </c>
      <c r="J505" s="4">
        <v>25000</v>
      </c>
      <c r="K505" t="s">
        <v>987</v>
      </c>
      <c r="L505" s="4" t="str">
        <f>VLOOKUP(K505, 'Items Master'!A:E,5,0)</f>
        <v>MPC</v>
      </c>
      <c r="M505" s="4" t="str">
        <f>VLOOKUP(K505, 'Items Master'!A:D,4,0)</f>
        <v>HDPE</v>
      </c>
      <c r="N505" s="4" t="s">
        <v>24</v>
      </c>
      <c r="Q505" s="6">
        <v>45833</v>
      </c>
      <c r="R505" s="6" t="str">
        <f>TEXT(Q505, "MMM-YY")</f>
        <v>Jun-25</v>
      </c>
      <c r="W505" s="25">
        <v>87</v>
      </c>
      <c r="Y505"/>
      <c r="Z505"/>
      <c r="AB505"/>
      <c r="AC505"/>
      <c r="AD505"/>
      <c r="AE505"/>
      <c r="AF505"/>
      <c r="AG505"/>
      <c r="AH505"/>
      <c r="AI505"/>
      <c r="AJ505"/>
      <c r="AK505"/>
      <c r="AL505"/>
      <c r="AM505"/>
      <c r="AN505" s="9">
        <f t="shared" si="15"/>
        <v>0</v>
      </c>
      <c r="AO505" s="8"/>
      <c r="AP505" s="9">
        <f>I505-W505-X505-AN505</f>
        <v>0</v>
      </c>
      <c r="AQ505" t="s">
        <v>1316</v>
      </c>
    </row>
    <row r="506" spans="1:43" x14ac:dyDescent="0.3">
      <c r="A506" s="11">
        <f t="shared" si="16"/>
        <v>504</v>
      </c>
      <c r="B506" s="5" t="s">
        <v>1675</v>
      </c>
      <c r="C506" t="s">
        <v>893</v>
      </c>
      <c r="D506" s="24" t="s">
        <v>48</v>
      </c>
      <c r="E506" s="24" t="str">
        <f>IFERROR(VLOOKUP(D506,Dropdown!A:B,2,0),D506)</f>
        <v>CVPL</v>
      </c>
      <c r="F506" s="6">
        <v>45833</v>
      </c>
      <c r="G506" s="6" t="str">
        <f>TEXT(F506, "MMM-YY")</f>
        <v>Jun-25</v>
      </c>
      <c r="H506" t="s">
        <v>489</v>
      </c>
      <c r="I506" s="25">
        <v>100.2</v>
      </c>
      <c r="J506" s="4">
        <v>10000</v>
      </c>
      <c r="K506" t="s">
        <v>899</v>
      </c>
      <c r="L506" s="4" t="str">
        <f>VLOOKUP(K506, 'Items Master'!A:E,5,0)</f>
        <v>MRPL</v>
      </c>
      <c r="M506" s="4" t="str">
        <f>VLOOKUP(K506, 'Items Master'!A:D,4,0)</f>
        <v>PP</v>
      </c>
      <c r="N506" s="4" t="s">
        <v>49</v>
      </c>
      <c r="O506" t="s">
        <v>1298</v>
      </c>
      <c r="Q506" s="6">
        <v>45833</v>
      </c>
      <c r="R506" s="6" t="str">
        <f>TEXT(Q506, "MMM-YY")</f>
        <v>Jun-25</v>
      </c>
      <c r="X506" s="25">
        <v>98.396000000000001</v>
      </c>
      <c r="Y506" s="25" t="s">
        <v>1304</v>
      </c>
      <c r="AB506"/>
      <c r="AC506"/>
      <c r="AD506"/>
      <c r="AE506"/>
      <c r="AF506"/>
      <c r="AG506"/>
      <c r="AH506"/>
      <c r="AI506"/>
      <c r="AJ506"/>
      <c r="AK506"/>
      <c r="AL506"/>
      <c r="AM506"/>
      <c r="AN506" s="9">
        <f t="shared" si="15"/>
        <v>0</v>
      </c>
      <c r="AO506" s="8"/>
      <c r="AP506" s="9">
        <f>I506-W506-X506-AN506</f>
        <v>1.804000000000002</v>
      </c>
      <c r="AQ506" t="s">
        <v>1324</v>
      </c>
    </row>
    <row r="507" spans="1:43" x14ac:dyDescent="0.3">
      <c r="A507" s="11">
        <f t="shared" si="16"/>
        <v>505</v>
      </c>
      <c r="B507" s="5" t="s">
        <v>1675</v>
      </c>
      <c r="C507" t="s">
        <v>894</v>
      </c>
      <c r="D507" s="24" t="s">
        <v>876</v>
      </c>
      <c r="E507" s="24" t="str">
        <f>IFERROR(VLOOKUP(D507,Dropdown!A:B,2,0),D507)</f>
        <v>TARAJYOT POLYMERS LIMITED</v>
      </c>
      <c r="F507" s="6">
        <v>45834</v>
      </c>
      <c r="G507" s="6" t="str">
        <f>TEXT(F507, "MMM-YY")</f>
        <v>Jun-25</v>
      </c>
      <c r="H507" t="s">
        <v>490</v>
      </c>
      <c r="I507" s="25">
        <v>97.5</v>
      </c>
      <c r="J507" s="4">
        <v>4500</v>
      </c>
      <c r="K507" t="s">
        <v>907</v>
      </c>
      <c r="L507" s="4" t="str">
        <f>VLOOKUP(K507, 'Items Master'!A:E,5,0)</f>
        <v>MARLEX</v>
      </c>
      <c r="M507" s="4" t="str">
        <f>VLOOKUP(K507, 'Items Master'!A:D,4,0)</f>
        <v>HDPE</v>
      </c>
      <c r="N507" s="4" t="s">
        <v>24</v>
      </c>
      <c r="Q507" s="6">
        <v>45834</v>
      </c>
      <c r="R507" s="6" t="str">
        <f>TEXT(Q507, "MMM-YY")</f>
        <v>Jun-25</v>
      </c>
      <c r="W507" s="25">
        <v>97.5</v>
      </c>
      <c r="Y507"/>
      <c r="Z507"/>
      <c r="AB507"/>
      <c r="AC507"/>
      <c r="AD507"/>
      <c r="AE507"/>
      <c r="AF507"/>
      <c r="AG507"/>
      <c r="AH507"/>
      <c r="AI507"/>
      <c r="AJ507"/>
      <c r="AK507"/>
      <c r="AL507"/>
      <c r="AM507"/>
      <c r="AN507" s="9">
        <f t="shared" si="15"/>
        <v>0</v>
      </c>
      <c r="AO507" s="8"/>
      <c r="AP507" s="9">
        <f>I507-W507-X507-AN507</f>
        <v>0</v>
      </c>
      <c r="AQ507" t="s">
        <v>1316</v>
      </c>
    </row>
    <row r="508" spans="1:43" x14ac:dyDescent="0.3">
      <c r="A508" s="11">
        <f t="shared" si="16"/>
        <v>506</v>
      </c>
      <c r="B508" s="5" t="s">
        <v>1675</v>
      </c>
      <c r="C508" t="s">
        <v>893</v>
      </c>
      <c r="D508" s="24" t="s">
        <v>48</v>
      </c>
      <c r="E508" s="24" t="str">
        <f>IFERROR(VLOOKUP(D508,Dropdown!A:B,2,0),D508)</f>
        <v>CVPL</v>
      </c>
      <c r="F508" s="6">
        <v>45834</v>
      </c>
      <c r="G508" s="6" t="str">
        <f>TEXT(F508, "MMM-YY")</f>
        <v>Jun-25</v>
      </c>
      <c r="H508" t="s">
        <v>491</v>
      </c>
      <c r="I508" s="25">
        <v>102.25</v>
      </c>
      <c r="J508" s="4">
        <v>3000</v>
      </c>
      <c r="K508" t="s">
        <v>904</v>
      </c>
      <c r="L508" s="4" t="str">
        <f>VLOOKUP(K508, 'Items Master'!A:E,5,0)</f>
        <v>BOROUGE</v>
      </c>
      <c r="M508" s="4" t="str">
        <f>VLOOKUP(K508, 'Items Master'!A:D,4,0)</f>
        <v>PP RCP</v>
      </c>
      <c r="N508" s="4" t="s">
        <v>24</v>
      </c>
      <c r="Q508" s="6">
        <v>45834</v>
      </c>
      <c r="R508" s="6" t="str">
        <f>TEXT(Q508, "MMM-YY")</f>
        <v>Jun-25</v>
      </c>
      <c r="W508" s="25">
        <v>102.25</v>
      </c>
      <c r="Y508"/>
      <c r="Z508"/>
      <c r="AB508"/>
      <c r="AC508"/>
      <c r="AD508"/>
      <c r="AE508"/>
      <c r="AF508"/>
      <c r="AG508"/>
      <c r="AH508"/>
      <c r="AI508"/>
      <c r="AJ508"/>
      <c r="AK508"/>
      <c r="AL508"/>
      <c r="AM508"/>
      <c r="AN508" s="9">
        <f t="shared" si="15"/>
        <v>0</v>
      </c>
      <c r="AO508" s="8"/>
      <c r="AP508" s="9">
        <f>I508-W508-X508-AN508</f>
        <v>0</v>
      </c>
      <c r="AQ508" t="s">
        <v>1316</v>
      </c>
    </row>
    <row r="509" spans="1:43" x14ac:dyDescent="0.3">
      <c r="A509" s="11">
        <f t="shared" si="16"/>
        <v>507</v>
      </c>
      <c r="B509" s="5" t="s">
        <v>1675</v>
      </c>
      <c r="C509" t="s">
        <v>893</v>
      </c>
      <c r="D509" s="24" t="s">
        <v>858</v>
      </c>
      <c r="E509" s="24" t="str">
        <f>IFERROR(VLOOKUP(D509,Dropdown!A:B,2,0),D509)</f>
        <v>PRISHA POLYTECH LLP</v>
      </c>
      <c r="F509" s="6">
        <v>45834</v>
      </c>
      <c r="G509" s="6" t="str">
        <f>TEXT(F509, "MMM-YY")</f>
        <v>Jun-25</v>
      </c>
      <c r="H509" t="s">
        <v>492</v>
      </c>
      <c r="I509" s="25">
        <v>96.6</v>
      </c>
      <c r="J509" s="4">
        <v>5000</v>
      </c>
      <c r="K509" t="s">
        <v>905</v>
      </c>
      <c r="L509" s="4" t="str">
        <f>VLOOKUP(K509, 'Items Master'!A:E,5,0)</f>
        <v>SINOPEC</v>
      </c>
      <c r="M509" s="4" t="str">
        <f>VLOOKUP(K509, 'Items Master'!A:D,4,0)</f>
        <v>PP</v>
      </c>
      <c r="N509" s="4" t="s">
        <v>24</v>
      </c>
      <c r="Q509" s="6">
        <v>45834</v>
      </c>
      <c r="R509" s="6" t="str">
        <f>TEXT(Q509, "MMM-YY")</f>
        <v>Jun-25</v>
      </c>
      <c r="W509" s="25">
        <v>96.6</v>
      </c>
      <c r="Y509"/>
      <c r="Z509"/>
      <c r="AB509"/>
      <c r="AC509"/>
      <c r="AD509"/>
      <c r="AE509"/>
      <c r="AF509"/>
      <c r="AG509"/>
      <c r="AH509"/>
      <c r="AI509"/>
      <c r="AJ509"/>
      <c r="AK509"/>
      <c r="AL509"/>
      <c r="AM509"/>
      <c r="AN509" s="9">
        <f t="shared" si="15"/>
        <v>0</v>
      </c>
      <c r="AO509" s="8"/>
      <c r="AP509" s="9">
        <f>I509-W509-X509-AN509</f>
        <v>0</v>
      </c>
      <c r="AQ509" t="s">
        <v>1316</v>
      </c>
    </row>
    <row r="510" spans="1:43" x14ac:dyDescent="0.3">
      <c r="A510" s="11">
        <f t="shared" si="16"/>
        <v>508</v>
      </c>
      <c r="B510" s="5" t="s">
        <v>1675</v>
      </c>
      <c r="C510" t="s">
        <v>894</v>
      </c>
      <c r="D510" s="24" t="s">
        <v>857</v>
      </c>
      <c r="E510" s="24" t="str">
        <f>IFERROR(VLOOKUP(D510,Dropdown!A:B,2,0),D510)</f>
        <v>Purav</v>
      </c>
      <c r="F510" s="6">
        <v>45834</v>
      </c>
      <c r="G510" s="6" t="str">
        <f>TEXT(F510, "MMM-YY")</f>
        <v>Jun-25</v>
      </c>
      <c r="H510" t="s">
        <v>493</v>
      </c>
      <c r="I510" s="25">
        <v>94.45</v>
      </c>
      <c r="J510" s="4">
        <v>10000</v>
      </c>
      <c r="K510" t="s">
        <v>896</v>
      </c>
      <c r="L510" s="4" t="str">
        <f>VLOOKUP(K510, 'Items Master'!A:E,5,0)</f>
        <v>OPAL</v>
      </c>
      <c r="M510" s="4" t="str">
        <f>VLOOKUP(K510, 'Items Master'!A:D,4,0)</f>
        <v>HDPE</v>
      </c>
      <c r="N510" s="4" t="s">
        <v>49</v>
      </c>
      <c r="O510" t="s">
        <v>1298</v>
      </c>
      <c r="Q510" s="6">
        <v>45834</v>
      </c>
      <c r="R510" s="6" t="str">
        <f>TEXT(Q510, "MMM-YY")</f>
        <v>Jun-25</v>
      </c>
      <c r="U510" t="s">
        <v>1605</v>
      </c>
      <c r="X510" s="25">
        <v>95.25</v>
      </c>
      <c r="AB510" s="8">
        <v>-0.9</v>
      </c>
      <c r="AH510" s="8">
        <v>0.1</v>
      </c>
      <c r="AN510" s="9">
        <f t="shared" si="15"/>
        <v>-0.8</v>
      </c>
      <c r="AO510" s="8"/>
      <c r="AP510" s="9">
        <f>I510-W510-X510-AN510</f>
        <v>2.886579864025407E-15</v>
      </c>
      <c r="AQ510" t="s">
        <v>1316</v>
      </c>
    </row>
    <row r="511" spans="1:43" x14ac:dyDescent="0.3">
      <c r="A511" s="11">
        <f t="shared" si="16"/>
        <v>509</v>
      </c>
      <c r="B511" s="5" t="s">
        <v>1675</v>
      </c>
      <c r="C511" t="s">
        <v>894</v>
      </c>
      <c r="D511" s="24" t="s">
        <v>837</v>
      </c>
      <c r="E511" s="24" t="str">
        <f>IFERROR(VLOOKUP(D511,Dropdown!A:B,2,0),D511)</f>
        <v>SYNTHETIC PACKERS LIMITED</v>
      </c>
      <c r="F511" s="6">
        <v>45834</v>
      </c>
      <c r="G511" s="6" t="str">
        <f>TEXT(F511, "MMM-YY")</f>
        <v>Jun-25</v>
      </c>
      <c r="H511" t="s">
        <v>494</v>
      </c>
      <c r="I511" s="25">
        <v>95.5</v>
      </c>
      <c r="J511" s="4">
        <v>7100</v>
      </c>
      <c r="K511" t="s">
        <v>906</v>
      </c>
      <c r="L511" s="4" t="str">
        <f>VLOOKUP(K511, 'Items Master'!A:E,5,0)</f>
        <v>EQUATE</v>
      </c>
      <c r="M511" s="4" t="str">
        <f>VLOOKUP(K511, 'Items Master'!A:D,4,0)</f>
        <v>HDPE</v>
      </c>
      <c r="N511" s="4" t="s">
        <v>24</v>
      </c>
      <c r="Q511" s="6">
        <v>45834</v>
      </c>
      <c r="R511" s="6" t="str">
        <f>TEXT(Q511, "MMM-YY")</f>
        <v>Jun-25</v>
      </c>
      <c r="W511" s="25">
        <v>95.5</v>
      </c>
      <c r="Y511"/>
      <c r="Z511"/>
      <c r="AB511"/>
      <c r="AC511"/>
      <c r="AD511"/>
      <c r="AE511"/>
      <c r="AF511"/>
      <c r="AG511"/>
      <c r="AH511"/>
      <c r="AI511"/>
      <c r="AJ511"/>
      <c r="AK511"/>
      <c r="AL511"/>
      <c r="AM511"/>
      <c r="AN511" s="9">
        <f t="shared" si="15"/>
        <v>0</v>
      </c>
      <c r="AO511" s="8"/>
      <c r="AP511" s="9">
        <f>I511-W511-X511-AN511</f>
        <v>0</v>
      </c>
      <c r="AQ511" t="s">
        <v>1316</v>
      </c>
    </row>
    <row r="512" spans="1:43" x14ac:dyDescent="0.3">
      <c r="A512" s="11">
        <f t="shared" si="16"/>
        <v>510</v>
      </c>
      <c r="B512" s="5" t="s">
        <v>1675</v>
      </c>
      <c r="C512" t="s">
        <v>893</v>
      </c>
      <c r="D512" s="24" t="s">
        <v>830</v>
      </c>
      <c r="E512" s="24" t="str">
        <f>IFERROR(VLOOKUP(D512,Dropdown!A:B,2,0),D512)</f>
        <v>BULK LIQUID SOLUTIONS PVT LTD</v>
      </c>
      <c r="F512" s="6">
        <v>45835</v>
      </c>
      <c r="G512" s="6" t="str">
        <f>TEXT(F512, "MMM-YY")</f>
        <v>Jun-25</v>
      </c>
      <c r="H512" t="s">
        <v>495</v>
      </c>
      <c r="I512" s="25">
        <v>93</v>
      </c>
      <c r="J512" s="4">
        <v>7000</v>
      </c>
      <c r="K512" t="s">
        <v>984</v>
      </c>
      <c r="L512" s="4" t="str">
        <f>VLOOKUP(K512, 'Items Master'!A:E,5,0)</f>
        <v>SABIC</v>
      </c>
      <c r="M512" s="4" t="str">
        <f>VLOOKUP(K512, 'Items Master'!A:D,4,0)</f>
        <v>LLDPE</v>
      </c>
      <c r="N512" s="4" t="s">
        <v>24</v>
      </c>
      <c r="Q512" s="6">
        <v>45835</v>
      </c>
      <c r="R512" s="6" t="str">
        <f>TEXT(Q512, "MMM-YY")</f>
        <v>Jun-25</v>
      </c>
      <c r="W512" s="25">
        <v>93</v>
      </c>
      <c r="Y512"/>
      <c r="Z512"/>
      <c r="AB512"/>
      <c r="AC512"/>
      <c r="AD512"/>
      <c r="AE512"/>
      <c r="AF512"/>
      <c r="AG512"/>
      <c r="AH512"/>
      <c r="AI512"/>
      <c r="AJ512"/>
      <c r="AK512"/>
      <c r="AL512"/>
      <c r="AM512"/>
      <c r="AN512" s="9">
        <f t="shared" si="15"/>
        <v>0</v>
      </c>
      <c r="AO512" s="8"/>
      <c r="AP512" s="9">
        <f>I512-W512-X512-AN512</f>
        <v>0</v>
      </c>
      <c r="AQ512" t="s">
        <v>1316</v>
      </c>
    </row>
    <row r="513" spans="1:43" x14ac:dyDescent="0.3">
      <c r="A513" s="11">
        <f t="shared" si="16"/>
        <v>511</v>
      </c>
      <c r="B513" s="5" t="s">
        <v>1675</v>
      </c>
      <c r="C513" t="s">
        <v>894</v>
      </c>
      <c r="D513" s="24" t="s">
        <v>845</v>
      </c>
      <c r="E513" s="24" t="str">
        <f>IFERROR(VLOOKUP(D513,Dropdown!A:B,2,0),D513)</f>
        <v>SIM POLYMERS LLP</v>
      </c>
      <c r="F513" s="6">
        <v>45835</v>
      </c>
      <c r="G513" s="6" t="str">
        <f>TEXT(F513, "MMM-YY")</f>
        <v>Jun-25</v>
      </c>
      <c r="H513" t="s">
        <v>496</v>
      </c>
      <c r="I513" s="25">
        <v>93.25</v>
      </c>
      <c r="J513" s="4">
        <v>12500</v>
      </c>
      <c r="K513" t="s">
        <v>984</v>
      </c>
      <c r="L513" s="4" t="str">
        <f>VLOOKUP(K513, 'Items Master'!A:E,5,0)</f>
        <v>SABIC</v>
      </c>
      <c r="M513" s="4" t="str">
        <f>VLOOKUP(K513, 'Items Master'!A:D,4,0)</f>
        <v>LLDPE</v>
      </c>
      <c r="N513" s="4" t="s">
        <v>24</v>
      </c>
      <c r="Q513" s="6">
        <v>45835</v>
      </c>
      <c r="R513" s="6" t="str">
        <f>TEXT(Q513, "MMM-YY")</f>
        <v>Jun-25</v>
      </c>
      <c r="W513" s="25">
        <v>93.25</v>
      </c>
      <c r="Y513"/>
      <c r="Z513"/>
      <c r="AB513"/>
      <c r="AC513"/>
      <c r="AD513"/>
      <c r="AE513"/>
      <c r="AF513"/>
      <c r="AG513"/>
      <c r="AH513"/>
      <c r="AI513"/>
      <c r="AJ513"/>
      <c r="AK513"/>
      <c r="AL513"/>
      <c r="AM513"/>
      <c r="AN513" s="9">
        <f t="shared" si="15"/>
        <v>0</v>
      </c>
      <c r="AO513" s="8"/>
      <c r="AP513" s="9">
        <f>I513-W513-X513-AN513</f>
        <v>0</v>
      </c>
      <c r="AQ513" t="s">
        <v>1316</v>
      </c>
    </row>
    <row r="514" spans="1:43" x14ac:dyDescent="0.3">
      <c r="A514" s="11">
        <f t="shared" si="16"/>
        <v>512</v>
      </c>
      <c r="B514" s="5" t="s">
        <v>1675</v>
      </c>
      <c r="C514" t="s">
        <v>894</v>
      </c>
      <c r="D514" s="24" t="s">
        <v>845</v>
      </c>
      <c r="E514" s="24" t="str">
        <f>IFERROR(VLOOKUP(D514,Dropdown!A:B,2,0),D514)</f>
        <v>SIM POLYMERS LLP</v>
      </c>
      <c r="F514" s="6">
        <v>45835</v>
      </c>
      <c r="G514" s="6" t="str">
        <f>TEXT(F514, "MMM-YY")</f>
        <v>Jun-25</v>
      </c>
      <c r="H514" t="s">
        <v>497</v>
      </c>
      <c r="I514" s="25">
        <v>93.25</v>
      </c>
      <c r="J514" s="4">
        <v>12250</v>
      </c>
      <c r="K514" t="s">
        <v>984</v>
      </c>
      <c r="L514" s="4" t="str">
        <f>VLOOKUP(K514, 'Items Master'!A:E,5,0)</f>
        <v>SABIC</v>
      </c>
      <c r="M514" s="4" t="str">
        <f>VLOOKUP(K514, 'Items Master'!A:D,4,0)</f>
        <v>LLDPE</v>
      </c>
      <c r="N514" s="4" t="s">
        <v>24</v>
      </c>
      <c r="Q514" s="6">
        <v>45835</v>
      </c>
      <c r="R514" s="6" t="str">
        <f>TEXT(Q514, "MMM-YY")</f>
        <v>Jun-25</v>
      </c>
      <c r="W514" s="25">
        <v>93.25</v>
      </c>
      <c r="Y514"/>
      <c r="Z514"/>
      <c r="AB514"/>
      <c r="AC514"/>
      <c r="AD514"/>
      <c r="AE514"/>
      <c r="AF514"/>
      <c r="AG514"/>
      <c r="AH514"/>
      <c r="AI514"/>
      <c r="AJ514"/>
      <c r="AK514"/>
      <c r="AL514"/>
      <c r="AM514"/>
      <c r="AN514" s="9">
        <f t="shared" si="15"/>
        <v>0</v>
      </c>
      <c r="AO514" s="8"/>
      <c r="AP514" s="9">
        <f>I514-W514-X514-AN514</f>
        <v>0</v>
      </c>
      <c r="AQ514" t="s">
        <v>1316</v>
      </c>
    </row>
    <row r="515" spans="1:43" x14ac:dyDescent="0.3">
      <c r="A515" s="11">
        <f t="shared" si="16"/>
        <v>513</v>
      </c>
      <c r="B515" s="5" t="s">
        <v>1675</v>
      </c>
      <c r="C515" t="s">
        <v>893</v>
      </c>
      <c r="D515" s="24" t="s">
        <v>837</v>
      </c>
      <c r="E515" s="24" t="str">
        <f>IFERROR(VLOOKUP(D515,Dropdown!A:B,2,0),D515)</f>
        <v>SYNTHETIC PACKERS LIMITED</v>
      </c>
      <c r="F515" s="6">
        <v>45835</v>
      </c>
      <c r="G515" s="6" t="str">
        <f>TEXT(F515, "MMM-YY")</f>
        <v>Jun-25</v>
      </c>
      <c r="H515" t="s">
        <v>498</v>
      </c>
      <c r="I515" s="25">
        <v>104.5</v>
      </c>
      <c r="J515" s="4">
        <v>3000</v>
      </c>
      <c r="K515" t="s">
        <v>988</v>
      </c>
      <c r="L515" s="4" t="str">
        <f>VLOOKUP(K515, 'Items Master'!A:E,5,0)</f>
        <v>BOROUGE</v>
      </c>
      <c r="M515" s="4" t="str">
        <f>VLOOKUP(K515, 'Items Master'!A:D,4,0)</f>
        <v>LLDPE</v>
      </c>
      <c r="N515" s="4" t="s">
        <v>24</v>
      </c>
      <c r="Q515" s="6">
        <v>45835</v>
      </c>
      <c r="R515" s="6" t="str">
        <f>TEXT(Q515, "MMM-YY")</f>
        <v>Jun-25</v>
      </c>
      <c r="W515" s="25">
        <v>104.5</v>
      </c>
      <c r="Y515"/>
      <c r="Z515"/>
      <c r="AB515"/>
      <c r="AC515"/>
      <c r="AD515"/>
      <c r="AE515"/>
      <c r="AF515"/>
      <c r="AG515"/>
      <c r="AH515"/>
      <c r="AI515"/>
      <c r="AJ515"/>
      <c r="AK515"/>
      <c r="AL515"/>
      <c r="AM515"/>
      <c r="AN515" s="9">
        <f t="shared" si="15"/>
        <v>0</v>
      </c>
      <c r="AO515" s="8"/>
      <c r="AP515" s="9">
        <f>I515-W515-X515-AN515</f>
        <v>0</v>
      </c>
      <c r="AQ515" t="s">
        <v>1316</v>
      </c>
    </row>
    <row r="516" spans="1:43" x14ac:dyDescent="0.3">
      <c r="A516" s="11">
        <f t="shared" si="16"/>
        <v>514</v>
      </c>
      <c r="B516" s="5" t="s">
        <v>1675</v>
      </c>
      <c r="C516" t="s">
        <v>893</v>
      </c>
      <c r="D516" s="24" t="s">
        <v>825</v>
      </c>
      <c r="E516" s="24" t="str">
        <f>IFERROR(VLOOKUP(D516,Dropdown!A:B,2,0),D516)</f>
        <v>HARISHREE POLYMERS PRIVATE LIMITED</v>
      </c>
      <c r="F516" s="6">
        <v>45835</v>
      </c>
      <c r="G516" s="6" t="str">
        <f>TEXT(F516, "MMM-YY")</f>
        <v>Jun-25</v>
      </c>
      <c r="H516" t="s">
        <v>499</v>
      </c>
      <c r="I516" s="25">
        <v>100.5</v>
      </c>
      <c r="J516" s="4">
        <v>2100</v>
      </c>
      <c r="K516" t="s">
        <v>976</v>
      </c>
      <c r="L516" s="4" t="str">
        <f>VLOOKUP(K516, 'Items Master'!A:E,5,0)</f>
        <v>MRPL</v>
      </c>
      <c r="M516" s="4" t="str">
        <f>VLOOKUP(K516, 'Items Master'!A:D,4,0)</f>
        <v>PP</v>
      </c>
      <c r="N516" s="4" t="s">
        <v>24</v>
      </c>
      <c r="Q516" s="6">
        <v>45835</v>
      </c>
      <c r="R516" s="6" t="str">
        <f>TEXT(Q516, "MMM-YY")</f>
        <v>Jun-25</v>
      </c>
      <c r="W516" s="25">
        <v>100.5</v>
      </c>
      <c r="Y516"/>
      <c r="Z516"/>
      <c r="AB516"/>
      <c r="AC516"/>
      <c r="AD516"/>
      <c r="AE516"/>
      <c r="AF516"/>
      <c r="AG516"/>
      <c r="AH516"/>
      <c r="AI516"/>
      <c r="AJ516"/>
      <c r="AK516"/>
      <c r="AL516"/>
      <c r="AM516"/>
      <c r="AN516" s="9">
        <f t="shared" ref="AN516:AN579" si="17">SUM(AB516:AM516)</f>
        <v>0</v>
      </c>
      <c r="AO516" s="8"/>
      <c r="AP516" s="9">
        <f>I516-W516-X516-AN516</f>
        <v>0</v>
      </c>
      <c r="AQ516" t="s">
        <v>1316</v>
      </c>
    </row>
    <row r="517" spans="1:43" x14ac:dyDescent="0.3">
      <c r="A517" s="11">
        <f t="shared" si="16"/>
        <v>515</v>
      </c>
      <c r="B517" s="5" t="s">
        <v>1675</v>
      </c>
      <c r="C517" t="s">
        <v>894</v>
      </c>
      <c r="D517" s="24" t="s">
        <v>855</v>
      </c>
      <c r="E517" s="24" t="str">
        <f>IFERROR(VLOOKUP(D517,Dropdown!A:B,2,0),D517)</f>
        <v>TEGRAL INDIA PRIVATE LIMITED</v>
      </c>
      <c r="F517" s="6">
        <v>45835</v>
      </c>
      <c r="G517" s="6" t="str">
        <f>TEXT(F517, "MMM-YY")</f>
        <v>Jun-25</v>
      </c>
      <c r="H517" t="s">
        <v>500</v>
      </c>
      <c r="I517" s="25">
        <v>99.11</v>
      </c>
      <c r="J517" s="4">
        <v>25000</v>
      </c>
      <c r="K517" t="s">
        <v>909</v>
      </c>
      <c r="L517" s="4" t="str">
        <f>VLOOKUP(K517, 'Items Master'!A:E,5,0)</f>
        <v>LUBAN</v>
      </c>
      <c r="M517" s="4" t="str">
        <f>VLOOKUP(K517, 'Items Master'!A:D,4,0)</f>
        <v>HDPE</v>
      </c>
      <c r="N517" s="4" t="s">
        <v>24</v>
      </c>
      <c r="Q517" s="6">
        <v>45835</v>
      </c>
      <c r="R517" s="6" t="str">
        <f>TEXT(Q517, "MMM-YY")</f>
        <v>Jun-25</v>
      </c>
      <c r="W517" s="25">
        <v>99.11</v>
      </c>
      <c r="Y517"/>
      <c r="Z517"/>
      <c r="AB517"/>
      <c r="AC517"/>
      <c r="AD517"/>
      <c r="AE517"/>
      <c r="AF517"/>
      <c r="AG517"/>
      <c r="AH517"/>
      <c r="AI517"/>
      <c r="AJ517"/>
      <c r="AK517"/>
      <c r="AL517"/>
      <c r="AM517"/>
      <c r="AN517" s="9">
        <f t="shared" si="17"/>
        <v>0</v>
      </c>
      <c r="AO517" s="8"/>
      <c r="AP517" s="9">
        <f>I517-W517-X517-AN517</f>
        <v>0</v>
      </c>
      <c r="AQ517" t="s">
        <v>1316</v>
      </c>
    </row>
    <row r="518" spans="1:43" x14ac:dyDescent="0.3">
      <c r="A518" s="11">
        <f t="shared" si="16"/>
        <v>516</v>
      </c>
      <c r="B518" s="5" t="s">
        <v>1675</v>
      </c>
      <c r="C518" t="s">
        <v>893</v>
      </c>
      <c r="D518" s="24" t="s">
        <v>838</v>
      </c>
      <c r="E518" s="24" t="str">
        <f>IFERROR(VLOOKUP(D518,Dropdown!A:B,2,0),D518)</f>
        <v>Treenity</v>
      </c>
      <c r="F518" s="6">
        <v>45835</v>
      </c>
      <c r="G518" s="6" t="str">
        <f>TEXT(F518, "MMM-YY")</f>
        <v>Jun-25</v>
      </c>
      <c r="H518" t="s">
        <v>501</v>
      </c>
      <c r="I518" s="25">
        <v>97.5</v>
      </c>
      <c r="J518" s="4">
        <v>25000</v>
      </c>
      <c r="K518" t="s">
        <v>901</v>
      </c>
      <c r="L518" s="4" t="str">
        <f>VLOOKUP(K518, 'Items Master'!A:E,5,0)</f>
        <v>MRPL</v>
      </c>
      <c r="M518" s="4" t="str">
        <f>VLOOKUP(K518, 'Items Master'!A:D,4,0)</f>
        <v>PP</v>
      </c>
      <c r="N518" s="4" t="s">
        <v>24</v>
      </c>
      <c r="Q518" s="6">
        <v>45835</v>
      </c>
      <c r="R518" s="6" t="str">
        <f>TEXT(Q518, "MMM-YY")</f>
        <v>Jun-25</v>
      </c>
      <c r="W518" s="25">
        <v>97.5</v>
      </c>
      <c r="Y518"/>
      <c r="Z518"/>
      <c r="AN518" s="9">
        <f t="shared" si="17"/>
        <v>0</v>
      </c>
      <c r="AO518" s="8"/>
      <c r="AP518" s="9">
        <f>I518-W518-X518-AN518</f>
        <v>0</v>
      </c>
      <c r="AQ518" t="s">
        <v>1316</v>
      </c>
    </row>
    <row r="519" spans="1:43" x14ac:dyDescent="0.3">
      <c r="A519" s="11">
        <f t="shared" ref="A519:A582" si="18">A518+1</f>
        <v>517</v>
      </c>
      <c r="B519" s="5" t="s">
        <v>1675</v>
      </c>
      <c r="C519" t="s">
        <v>893</v>
      </c>
      <c r="D519" s="24" t="s">
        <v>866</v>
      </c>
      <c r="E519" s="24" t="str">
        <f>IFERROR(VLOOKUP(D519,Dropdown!A:B,2,0),D519)</f>
        <v>KLENE PAKS LIMITED</v>
      </c>
      <c r="F519" s="6">
        <v>45836</v>
      </c>
      <c r="G519" s="6" t="str">
        <f>TEXT(F519, "MMM-YY")</f>
        <v>Jun-25</v>
      </c>
      <c r="H519" t="s">
        <v>502</v>
      </c>
      <c r="I519" s="25">
        <v>94.25</v>
      </c>
      <c r="J519" s="4">
        <v>30000</v>
      </c>
      <c r="K519" t="s">
        <v>989</v>
      </c>
      <c r="L519" s="4" t="str">
        <f>VLOOKUP(K519, 'Items Master'!A:E,5,0)</f>
        <v>IOCL</v>
      </c>
      <c r="M519" s="4" t="str">
        <f>VLOOKUP(K519, 'Items Master'!A:D,4,0)</f>
        <v>PP</v>
      </c>
      <c r="N519" s="4" t="s">
        <v>24</v>
      </c>
      <c r="Q519" s="6">
        <v>45836</v>
      </c>
      <c r="R519" s="6" t="str">
        <f>TEXT(Q519, "MMM-YY")</f>
        <v>Jun-25</v>
      </c>
      <c r="W519" s="25">
        <v>94.25</v>
      </c>
      <c r="Y519"/>
      <c r="Z519"/>
      <c r="AB519"/>
      <c r="AC519"/>
      <c r="AD519"/>
      <c r="AE519"/>
      <c r="AF519"/>
      <c r="AG519"/>
      <c r="AH519"/>
      <c r="AI519"/>
      <c r="AJ519"/>
      <c r="AK519"/>
      <c r="AL519"/>
      <c r="AM519"/>
      <c r="AN519" s="9">
        <f t="shared" si="17"/>
        <v>0</v>
      </c>
      <c r="AO519" s="8"/>
      <c r="AP519" s="9">
        <f>I519-W519-X519-AN519</f>
        <v>0</v>
      </c>
      <c r="AQ519" t="s">
        <v>1316</v>
      </c>
    </row>
    <row r="520" spans="1:43" x14ac:dyDescent="0.3">
      <c r="A520" s="11">
        <f t="shared" si="18"/>
        <v>518</v>
      </c>
      <c r="B520" s="5" t="s">
        <v>1675</v>
      </c>
      <c r="C520" t="s">
        <v>893</v>
      </c>
      <c r="D520" s="24" t="s">
        <v>824</v>
      </c>
      <c r="E520" s="24" t="str">
        <f>IFERROR(VLOOKUP(D520,Dropdown!A:B,2,0),D520)</f>
        <v>Paragon</v>
      </c>
      <c r="F520" s="6">
        <v>45836</v>
      </c>
      <c r="G520" s="6" t="str">
        <f>TEXT(F520, "MMM-YY")</f>
        <v>Jun-25</v>
      </c>
      <c r="H520" t="s">
        <v>503</v>
      </c>
      <c r="I520" s="25">
        <v>127</v>
      </c>
      <c r="J520" s="4">
        <v>1000</v>
      </c>
      <c r="K520" t="s">
        <v>918</v>
      </c>
      <c r="L520" s="4" t="str">
        <f>VLOOKUP(K520, 'Items Master'!A:E,5,0)</f>
        <v>RIL</v>
      </c>
      <c r="M520" s="4" t="str">
        <f>VLOOKUP(K520, 'Items Master'!A:D,4,0)</f>
        <v>LDPE</v>
      </c>
      <c r="N520" s="4" t="s">
        <v>24</v>
      </c>
      <c r="Q520" s="6">
        <v>45836</v>
      </c>
      <c r="R520" s="6" t="str">
        <f>TEXT(Q520, "MMM-YY")</f>
        <v>Jun-25</v>
      </c>
      <c r="W520" s="25">
        <v>127</v>
      </c>
      <c r="Y520"/>
      <c r="Z520"/>
      <c r="AB520"/>
      <c r="AC520"/>
      <c r="AD520"/>
      <c r="AE520"/>
      <c r="AF520"/>
      <c r="AG520"/>
      <c r="AH520"/>
      <c r="AI520"/>
      <c r="AJ520"/>
      <c r="AK520"/>
      <c r="AL520"/>
      <c r="AM520"/>
      <c r="AN520" s="9">
        <f t="shared" si="17"/>
        <v>0</v>
      </c>
      <c r="AO520" s="8"/>
      <c r="AP520" s="9">
        <f>I520-W520-X520-AN520</f>
        <v>0</v>
      </c>
      <c r="AQ520" t="s">
        <v>1324</v>
      </c>
    </row>
    <row r="521" spans="1:43" x14ac:dyDescent="0.3">
      <c r="A521" s="11">
        <f t="shared" si="18"/>
        <v>519</v>
      </c>
      <c r="B521" s="5" t="s">
        <v>1675</v>
      </c>
      <c r="C521" t="s">
        <v>893</v>
      </c>
      <c r="D521" s="24" t="s">
        <v>857</v>
      </c>
      <c r="E521" s="24" t="str">
        <f>IFERROR(VLOOKUP(D521,Dropdown!A:B,2,0),D521)</f>
        <v>Purav</v>
      </c>
      <c r="F521" s="6">
        <v>45836</v>
      </c>
      <c r="G521" s="6" t="str">
        <f>TEXT(F521, "MMM-YY")</f>
        <v>Jun-25</v>
      </c>
      <c r="H521" t="s">
        <v>504</v>
      </c>
      <c r="I521" s="25">
        <v>96.5</v>
      </c>
      <c r="J521" s="4">
        <v>11000</v>
      </c>
      <c r="K521" t="s">
        <v>17</v>
      </c>
      <c r="L521" s="4" t="str">
        <f>VLOOKUP(K521, 'Items Master'!A:E,5,0)</f>
        <v>OPAL</v>
      </c>
      <c r="M521" s="4" t="str">
        <f>VLOOKUP(K521, 'Items Master'!A:D,4,0)</f>
        <v>LLDPE</v>
      </c>
      <c r="N521" s="4" t="s">
        <v>49</v>
      </c>
      <c r="O521" t="s">
        <v>1298</v>
      </c>
      <c r="Q521" s="6">
        <v>45836</v>
      </c>
      <c r="R521" s="6" t="str">
        <f>TEXT(Q521, "MMM-YY")</f>
        <v>Jun-25</v>
      </c>
      <c r="U521" t="s">
        <v>1605</v>
      </c>
      <c r="X521" s="25">
        <v>97.3</v>
      </c>
      <c r="Y521" s="25" t="s">
        <v>1303</v>
      </c>
      <c r="AB521" s="8">
        <v>-0.9</v>
      </c>
      <c r="AH521" s="8">
        <v>0.1</v>
      </c>
      <c r="AN521" s="9">
        <f t="shared" si="17"/>
        <v>-0.8</v>
      </c>
      <c r="AO521" s="8"/>
      <c r="AP521" s="9">
        <f>I521-W521-X521-AN521</f>
        <v>2.886579864025407E-15</v>
      </c>
      <c r="AQ521" t="s">
        <v>1316</v>
      </c>
    </row>
    <row r="522" spans="1:43" x14ac:dyDescent="0.3">
      <c r="A522" s="11">
        <f t="shared" si="18"/>
        <v>520</v>
      </c>
      <c r="B522" s="5" t="s">
        <v>1675</v>
      </c>
      <c r="C522" t="s">
        <v>893</v>
      </c>
      <c r="D522" s="24" t="s">
        <v>48</v>
      </c>
      <c r="E522" s="24" t="str">
        <f>IFERROR(VLOOKUP(D522,Dropdown!A:B,2,0),D522)</f>
        <v>CVPL</v>
      </c>
      <c r="F522" s="6">
        <v>45838</v>
      </c>
      <c r="G522" s="6" t="str">
        <f>TEXT(F522, "MMM-YY")</f>
        <v>Jun-25</v>
      </c>
      <c r="H522" t="s">
        <v>505</v>
      </c>
      <c r="I522" s="25">
        <v>100.2</v>
      </c>
      <c r="J522" s="4">
        <v>20000</v>
      </c>
      <c r="K522" t="s">
        <v>899</v>
      </c>
      <c r="L522" s="4" t="str">
        <f>VLOOKUP(K522, 'Items Master'!A:E,5,0)</f>
        <v>MRPL</v>
      </c>
      <c r="M522" s="4" t="str">
        <f>VLOOKUP(K522, 'Items Master'!A:D,4,0)</f>
        <v>PP</v>
      </c>
      <c r="N522" s="4" t="s">
        <v>49</v>
      </c>
      <c r="O522" t="s">
        <v>1298</v>
      </c>
      <c r="Q522" s="6">
        <v>45838</v>
      </c>
      <c r="R522" s="6" t="str">
        <f>TEXT(Q522, "MMM-YY")</f>
        <v>Jun-25</v>
      </c>
      <c r="X522" s="25">
        <v>98.396000000000001</v>
      </c>
      <c r="AB522"/>
      <c r="AC522"/>
      <c r="AD522"/>
      <c r="AE522"/>
      <c r="AF522"/>
      <c r="AG522"/>
      <c r="AH522"/>
      <c r="AI522"/>
      <c r="AJ522"/>
      <c r="AK522"/>
      <c r="AL522"/>
      <c r="AM522"/>
      <c r="AN522" s="9">
        <f t="shared" si="17"/>
        <v>0</v>
      </c>
      <c r="AO522" s="8"/>
      <c r="AP522" s="9">
        <f>I522-W522-X522-AN522</f>
        <v>1.804000000000002</v>
      </c>
      <c r="AQ522" t="s">
        <v>1324</v>
      </c>
    </row>
    <row r="523" spans="1:43" x14ac:dyDescent="0.3">
      <c r="A523" s="11">
        <f t="shared" si="18"/>
        <v>521</v>
      </c>
      <c r="B523" s="5" t="s">
        <v>1675</v>
      </c>
      <c r="C523" t="s">
        <v>893</v>
      </c>
      <c r="D523" s="24" t="s">
        <v>838</v>
      </c>
      <c r="E523" s="24" t="str">
        <f>IFERROR(VLOOKUP(D523,Dropdown!A:B,2,0),D523)</f>
        <v>Treenity</v>
      </c>
      <c r="F523" s="6">
        <v>45838</v>
      </c>
      <c r="G523" s="6" t="str">
        <f>TEXT(F523, "MMM-YY")</f>
        <v>Jun-25</v>
      </c>
      <c r="H523" t="s">
        <v>506</v>
      </c>
      <c r="I523" s="25">
        <v>101.1</v>
      </c>
      <c r="J523" s="4">
        <v>30000</v>
      </c>
      <c r="K523" t="s">
        <v>899</v>
      </c>
      <c r="L523" s="4" t="str">
        <f>VLOOKUP(K523, 'Items Master'!A:E,5,0)</f>
        <v>MRPL</v>
      </c>
      <c r="M523" s="4" t="str">
        <f>VLOOKUP(K523, 'Items Master'!A:D,4,0)</f>
        <v>PP</v>
      </c>
      <c r="N523" s="4" t="s">
        <v>49</v>
      </c>
      <c r="Q523" s="6">
        <v>45838</v>
      </c>
      <c r="R523" s="6" t="str">
        <f>TEXT(Q523, "MMM-YY")</f>
        <v>Jun-25</v>
      </c>
      <c r="X523" s="25">
        <v>98.4</v>
      </c>
      <c r="Y523" t="s">
        <v>1304</v>
      </c>
      <c r="Z523" t="s">
        <v>1305</v>
      </c>
      <c r="AI523" s="8">
        <v>2.7</v>
      </c>
      <c r="AN523" s="9">
        <f t="shared" si="17"/>
        <v>2.7</v>
      </c>
      <c r="AO523" s="8"/>
      <c r="AP523" s="9">
        <f>I523-W523-X523-AN523</f>
        <v>-1.1546319456101628E-14</v>
      </c>
      <c r="AQ523" t="s">
        <v>1316</v>
      </c>
    </row>
    <row r="524" spans="1:43" x14ac:dyDescent="0.3">
      <c r="A524" s="11">
        <f t="shared" si="18"/>
        <v>522</v>
      </c>
      <c r="B524" s="5" t="s">
        <v>1675</v>
      </c>
      <c r="C524" t="s">
        <v>893</v>
      </c>
      <c r="D524" s="24" t="s">
        <v>48</v>
      </c>
      <c r="E524" s="24" t="str">
        <f>IFERROR(VLOOKUP(D524,Dropdown!A:B,2,0),D524)</f>
        <v>CVPL</v>
      </c>
      <c r="F524" s="6">
        <v>45838</v>
      </c>
      <c r="G524" s="6" t="str">
        <f>TEXT(F524, "MMM-YY")</f>
        <v>Jun-25</v>
      </c>
      <c r="H524" t="s">
        <v>507</v>
      </c>
      <c r="I524" s="25">
        <v>99.47</v>
      </c>
      <c r="J524" s="4">
        <v>3000</v>
      </c>
      <c r="K524" t="s">
        <v>990</v>
      </c>
      <c r="L524" s="4" t="str">
        <f>VLOOKUP(K524, 'Items Master'!A:E,5,0)</f>
        <v>GAIL</v>
      </c>
      <c r="M524" s="4" t="str">
        <f>VLOOKUP(K524, 'Items Master'!A:D,4,0)</f>
        <v>HDPE</v>
      </c>
      <c r="N524" s="4" t="s">
        <v>49</v>
      </c>
      <c r="O524" t="s">
        <v>1298</v>
      </c>
      <c r="Q524" s="6">
        <v>45838</v>
      </c>
      <c r="R524" s="6" t="str">
        <f>TEXT(Q524, "MMM-YY")</f>
        <v>Jun-25</v>
      </c>
      <c r="X524" s="25">
        <v>98.47</v>
      </c>
      <c r="AB524"/>
      <c r="AC524"/>
      <c r="AD524"/>
      <c r="AE524"/>
      <c r="AF524"/>
      <c r="AG524"/>
      <c r="AH524"/>
      <c r="AI524"/>
      <c r="AJ524"/>
      <c r="AK524"/>
      <c r="AL524"/>
      <c r="AM524"/>
      <c r="AN524" s="9">
        <f t="shared" si="17"/>
        <v>0</v>
      </c>
      <c r="AO524" s="8"/>
      <c r="AP524" s="9">
        <f>I524-W524-X524-AN524</f>
        <v>1</v>
      </c>
      <c r="AQ524" t="s">
        <v>1324</v>
      </c>
    </row>
    <row r="525" spans="1:43" x14ac:dyDescent="0.3">
      <c r="A525" s="11">
        <f t="shared" si="18"/>
        <v>523</v>
      </c>
      <c r="B525" s="5" t="s">
        <v>1675</v>
      </c>
      <c r="C525" t="s">
        <v>893</v>
      </c>
      <c r="D525" s="24" t="s">
        <v>837</v>
      </c>
      <c r="E525" s="24" t="str">
        <f>IFERROR(VLOOKUP(D525,Dropdown!A:B,2,0),D525)</f>
        <v>SYNTHETIC PACKERS LIMITED</v>
      </c>
      <c r="F525" s="6">
        <v>45838</v>
      </c>
      <c r="G525" s="6" t="str">
        <f>TEXT(F525, "MMM-YY")</f>
        <v>Jun-25</v>
      </c>
      <c r="H525" t="s">
        <v>508</v>
      </c>
      <c r="I525" s="25">
        <v>104.5</v>
      </c>
      <c r="J525" s="4">
        <v>2500</v>
      </c>
      <c r="K525" t="s">
        <v>988</v>
      </c>
      <c r="L525" s="4" t="str">
        <f>VLOOKUP(K525, 'Items Master'!A:E,5,0)</f>
        <v>BOROUGE</v>
      </c>
      <c r="M525" s="4" t="str">
        <f>VLOOKUP(K525, 'Items Master'!A:D,4,0)</f>
        <v>LLDPE</v>
      </c>
      <c r="N525" s="4" t="s">
        <v>24</v>
      </c>
      <c r="Q525" s="6">
        <v>45838</v>
      </c>
      <c r="R525" s="6" t="str">
        <f>TEXT(Q525, "MMM-YY")</f>
        <v>Jun-25</v>
      </c>
      <c r="W525" s="25">
        <v>104.5</v>
      </c>
      <c r="Y525"/>
      <c r="Z525"/>
      <c r="AB525"/>
      <c r="AC525"/>
      <c r="AD525"/>
      <c r="AE525"/>
      <c r="AF525"/>
      <c r="AG525"/>
      <c r="AH525"/>
      <c r="AI525"/>
      <c r="AJ525"/>
      <c r="AK525"/>
      <c r="AL525"/>
      <c r="AM525"/>
      <c r="AN525" s="9">
        <f t="shared" si="17"/>
        <v>0</v>
      </c>
      <c r="AO525" s="8"/>
      <c r="AP525" s="9">
        <f>I525-W525-X525-AN525</f>
        <v>0</v>
      </c>
      <c r="AQ525" t="s">
        <v>1316</v>
      </c>
    </row>
    <row r="526" spans="1:43" x14ac:dyDescent="0.3">
      <c r="A526" s="11">
        <f t="shared" si="18"/>
        <v>524</v>
      </c>
      <c r="B526" s="5" t="s">
        <v>1675</v>
      </c>
      <c r="C526" t="s">
        <v>893</v>
      </c>
      <c r="D526" s="24" t="s">
        <v>866</v>
      </c>
      <c r="E526" s="24" t="str">
        <f>IFERROR(VLOOKUP(D526,Dropdown!A:B,2,0),D526)</f>
        <v>KLENE PAKS LIMITED</v>
      </c>
      <c r="F526" s="6">
        <v>45838</v>
      </c>
      <c r="G526" s="6" t="str">
        <f>TEXT(F526, "MMM-YY")</f>
        <v>Jun-25</v>
      </c>
      <c r="H526" t="s">
        <v>509</v>
      </c>
      <c r="I526" s="25">
        <v>94.25</v>
      </c>
      <c r="J526" s="4">
        <v>30000</v>
      </c>
      <c r="K526" t="s">
        <v>989</v>
      </c>
      <c r="L526" s="4" t="str">
        <f>VLOOKUP(K526, 'Items Master'!A:E,5,0)</f>
        <v>IOCL</v>
      </c>
      <c r="M526" s="4" t="str">
        <f>VLOOKUP(K526, 'Items Master'!A:D,4,0)</f>
        <v>PP</v>
      </c>
      <c r="N526" s="4" t="s">
        <v>24</v>
      </c>
      <c r="Q526" s="6">
        <v>45838</v>
      </c>
      <c r="R526" s="6" t="str">
        <f>TEXT(Q526, "MMM-YY")</f>
        <v>Jun-25</v>
      </c>
      <c r="W526" s="25">
        <v>94.25</v>
      </c>
      <c r="Y526"/>
      <c r="Z526"/>
      <c r="AB526"/>
      <c r="AC526"/>
      <c r="AD526"/>
      <c r="AE526"/>
      <c r="AF526"/>
      <c r="AG526"/>
      <c r="AH526"/>
      <c r="AI526"/>
      <c r="AJ526"/>
      <c r="AK526"/>
      <c r="AL526"/>
      <c r="AM526"/>
      <c r="AN526" s="9">
        <f t="shared" si="17"/>
        <v>0</v>
      </c>
      <c r="AO526" s="8"/>
      <c r="AP526" s="9">
        <f>I526-W526-X526-AN526</f>
        <v>0</v>
      </c>
      <c r="AQ526" t="s">
        <v>1316</v>
      </c>
    </row>
    <row r="527" spans="1:43" x14ac:dyDescent="0.3">
      <c r="A527" s="11">
        <f t="shared" si="18"/>
        <v>525</v>
      </c>
      <c r="B527" s="5" t="s">
        <v>1675</v>
      </c>
      <c r="C527" t="s">
        <v>893</v>
      </c>
      <c r="D527" s="24" t="s">
        <v>872</v>
      </c>
      <c r="E527" s="24" t="str">
        <f>IFERROR(VLOOKUP(D527,Dropdown!A:B,2,0),D527)</f>
        <v>Value</v>
      </c>
      <c r="F527" s="6">
        <v>45838</v>
      </c>
      <c r="G527" s="6" t="str">
        <f>TEXT(F527, "MMM-YY")</f>
        <v>Jun-25</v>
      </c>
      <c r="H527" t="s">
        <v>510</v>
      </c>
      <c r="I527" s="25">
        <v>96.68</v>
      </c>
      <c r="J527" s="4">
        <v>11000</v>
      </c>
      <c r="K527" t="s">
        <v>915</v>
      </c>
      <c r="L527" s="4" t="str">
        <f>VLOOKUP(K527, 'Items Master'!A:E,5,0)</f>
        <v>RIL</v>
      </c>
      <c r="M527" s="4" t="str">
        <f>VLOOKUP(K527, 'Items Master'!A:D,4,0)</f>
        <v>LLDPE</v>
      </c>
      <c r="N527" s="4" t="s">
        <v>49</v>
      </c>
      <c r="Q527" s="6">
        <v>45838</v>
      </c>
      <c r="R527" s="6" t="str">
        <f>TEXT(Q527, "MMM-YY")</f>
        <v>Jun-25</v>
      </c>
      <c r="U527" t="s">
        <v>1605</v>
      </c>
      <c r="X527" s="25">
        <v>96.68</v>
      </c>
      <c r="Y527" s="25" t="s">
        <v>1310</v>
      </c>
      <c r="Z527" s="25" t="s">
        <v>1307</v>
      </c>
      <c r="AB527"/>
      <c r="AC527"/>
      <c r="AD527"/>
      <c r="AE527"/>
      <c r="AF527"/>
      <c r="AG527"/>
      <c r="AH527"/>
      <c r="AI527"/>
      <c r="AJ527"/>
      <c r="AK527"/>
      <c r="AL527"/>
      <c r="AM527"/>
      <c r="AN527" s="9">
        <f t="shared" si="17"/>
        <v>0</v>
      </c>
      <c r="AO527" s="8"/>
      <c r="AP527" s="9">
        <f>I527-W527-X527-AN527</f>
        <v>0</v>
      </c>
      <c r="AQ527" t="s">
        <v>1316</v>
      </c>
    </row>
    <row r="528" spans="1:43" x14ac:dyDescent="0.3">
      <c r="A528" s="11">
        <f t="shared" si="18"/>
        <v>526</v>
      </c>
      <c r="B528" s="5" t="s">
        <v>1675</v>
      </c>
      <c r="C528" t="s">
        <v>893</v>
      </c>
      <c r="D528" s="24" t="s">
        <v>838</v>
      </c>
      <c r="E528" s="24" t="str">
        <f>IFERROR(VLOOKUP(D528,Dropdown!A:B,2,0),D528)</f>
        <v>Treenity</v>
      </c>
      <c r="F528" s="6">
        <v>45838</v>
      </c>
      <c r="G528" s="6" t="str">
        <f>TEXT(F528, "MMM-YY")</f>
        <v>Jun-25</v>
      </c>
      <c r="H528" t="s">
        <v>511</v>
      </c>
      <c r="I528" s="25">
        <v>101.1</v>
      </c>
      <c r="J528" s="4">
        <v>30000</v>
      </c>
      <c r="K528" t="s">
        <v>899</v>
      </c>
      <c r="L528" s="4" t="str">
        <f>VLOOKUP(K528, 'Items Master'!A:E,5,0)</f>
        <v>MRPL</v>
      </c>
      <c r="M528" s="4" t="str">
        <f>VLOOKUP(K528, 'Items Master'!A:D,4,0)</f>
        <v>PP</v>
      </c>
      <c r="N528" s="4" t="s">
        <v>49</v>
      </c>
      <c r="Q528" s="6">
        <v>45838</v>
      </c>
      <c r="R528" s="6" t="str">
        <f>TEXT(Q528, "MMM-YY")</f>
        <v>Jun-25</v>
      </c>
      <c r="X528" s="25">
        <v>98.4</v>
      </c>
      <c r="Y528" t="s">
        <v>1304</v>
      </c>
      <c r="Z528" t="s">
        <v>1305</v>
      </c>
      <c r="AI528" s="8">
        <v>2.7</v>
      </c>
      <c r="AN528" s="9">
        <f t="shared" si="17"/>
        <v>2.7</v>
      </c>
      <c r="AO528" s="8"/>
      <c r="AP528" s="9">
        <f>I528-W528-X528-AN528</f>
        <v>-1.1546319456101628E-14</v>
      </c>
      <c r="AQ528" t="s">
        <v>1316</v>
      </c>
    </row>
    <row r="529" spans="1:43" x14ac:dyDescent="0.3">
      <c r="A529" s="11">
        <f t="shared" si="18"/>
        <v>527</v>
      </c>
      <c r="B529" s="5" t="s">
        <v>1675</v>
      </c>
      <c r="C529" t="s">
        <v>893</v>
      </c>
      <c r="D529" s="24" t="s">
        <v>857</v>
      </c>
      <c r="E529" s="24" t="str">
        <f>IFERROR(VLOOKUP(D529,Dropdown!A:B,2,0),D529)</f>
        <v>Purav</v>
      </c>
      <c r="F529" s="6">
        <v>45838</v>
      </c>
      <c r="G529" s="6" t="str">
        <f>TEXT(F529, "MMM-YY")</f>
        <v>Jun-25</v>
      </c>
      <c r="H529" t="s">
        <v>512</v>
      </c>
      <c r="I529" s="25">
        <v>96.5</v>
      </c>
      <c r="J529" s="4">
        <v>9000</v>
      </c>
      <c r="K529" t="s">
        <v>17</v>
      </c>
      <c r="L529" s="4" t="str">
        <f>VLOOKUP(K529, 'Items Master'!A:E,5,0)</f>
        <v>OPAL</v>
      </c>
      <c r="M529" s="4" t="str">
        <f>VLOOKUP(K529, 'Items Master'!A:D,4,0)</f>
        <v>LLDPE</v>
      </c>
      <c r="N529" s="4" t="s">
        <v>49</v>
      </c>
      <c r="O529" t="s">
        <v>1298</v>
      </c>
      <c r="Q529" s="6">
        <v>45838</v>
      </c>
      <c r="R529" s="6" t="str">
        <f>TEXT(Q529, "MMM-YY")</f>
        <v>Jun-25</v>
      </c>
      <c r="U529" t="s">
        <v>1605</v>
      </c>
      <c r="X529" s="25">
        <v>97.3</v>
      </c>
      <c r="Y529" s="25" t="s">
        <v>1303</v>
      </c>
      <c r="AB529" s="8">
        <v>-0.9</v>
      </c>
      <c r="AH529" s="8">
        <v>0.1</v>
      </c>
      <c r="AN529" s="9">
        <f t="shared" si="17"/>
        <v>-0.8</v>
      </c>
      <c r="AO529" s="8"/>
      <c r="AP529" s="9">
        <f>I529-W529-X529-AN529</f>
        <v>2.886579864025407E-15</v>
      </c>
      <c r="AQ529" t="s">
        <v>1316</v>
      </c>
    </row>
    <row r="530" spans="1:43" x14ac:dyDescent="0.3">
      <c r="A530" s="11">
        <f t="shared" si="18"/>
        <v>528</v>
      </c>
      <c r="B530" s="5" t="s">
        <v>1675</v>
      </c>
      <c r="C530" t="s">
        <v>893</v>
      </c>
      <c r="D530" s="24" t="s">
        <v>824</v>
      </c>
      <c r="E530" s="24" t="str">
        <f>IFERROR(VLOOKUP(D530,Dropdown!A:B,2,0),D530)</f>
        <v>Paragon</v>
      </c>
      <c r="F530" s="6">
        <v>45838</v>
      </c>
      <c r="G530" s="6" t="str">
        <f>TEXT(F530, "MMM-YY")</f>
        <v>Jun-25</v>
      </c>
      <c r="H530" t="s">
        <v>513</v>
      </c>
      <c r="I530" s="25">
        <v>105.28</v>
      </c>
      <c r="J530" s="4">
        <v>9000</v>
      </c>
      <c r="K530" t="s">
        <v>925</v>
      </c>
      <c r="L530" s="4" t="str">
        <f>VLOOKUP(K530, 'Items Master'!A:E,5,0)</f>
        <v>RIL</v>
      </c>
      <c r="M530" s="4" t="str">
        <f>VLOOKUP(K530, 'Items Master'!A:D,4,0)</f>
        <v>PP ICP</v>
      </c>
      <c r="N530" s="4" t="s">
        <v>49</v>
      </c>
      <c r="Q530" s="6">
        <v>45838</v>
      </c>
      <c r="R530" s="6" t="str">
        <f>TEXT(Q530, "MMM-YY")</f>
        <v>Jun-25</v>
      </c>
      <c r="X530" s="25">
        <v>105.28</v>
      </c>
      <c r="Y530" s="25" t="s">
        <v>1303</v>
      </c>
      <c r="AB530"/>
      <c r="AC530"/>
      <c r="AD530"/>
      <c r="AE530"/>
      <c r="AF530"/>
      <c r="AG530"/>
      <c r="AH530"/>
      <c r="AI530"/>
      <c r="AJ530"/>
      <c r="AK530"/>
      <c r="AL530"/>
      <c r="AM530"/>
      <c r="AN530" s="9">
        <f t="shared" si="17"/>
        <v>0</v>
      </c>
      <c r="AO530" s="8"/>
      <c r="AP530" s="9">
        <f>I530-W530-X530-AN530</f>
        <v>0</v>
      </c>
      <c r="AQ530" t="s">
        <v>1324</v>
      </c>
    </row>
    <row r="531" spans="1:43" x14ac:dyDescent="0.3">
      <c r="A531" s="11">
        <f t="shared" si="18"/>
        <v>529</v>
      </c>
      <c r="B531" s="5" t="s">
        <v>1675</v>
      </c>
      <c r="C531" t="s">
        <v>893</v>
      </c>
      <c r="D531" s="24" t="s">
        <v>824</v>
      </c>
      <c r="E531" s="24" t="str">
        <f>IFERROR(VLOOKUP(D531,Dropdown!A:B,2,0),D531)</f>
        <v>Paragon</v>
      </c>
      <c r="F531" s="6">
        <v>45838</v>
      </c>
      <c r="G531" s="6" t="str">
        <f>TEXT(F531, "MMM-YY")</f>
        <v>Jun-25</v>
      </c>
      <c r="H531" t="s">
        <v>513</v>
      </c>
      <c r="I531" s="25">
        <v>100.75</v>
      </c>
      <c r="J531" s="4">
        <v>3000</v>
      </c>
      <c r="K531" t="s">
        <v>950</v>
      </c>
      <c r="L531" s="4" t="str">
        <f>VLOOKUP(K531, 'Items Master'!A:E,5,0)</f>
        <v>RIL</v>
      </c>
      <c r="M531" s="4" t="str">
        <f>VLOOKUP(K531, 'Items Master'!A:D,4,0)</f>
        <v>PP</v>
      </c>
      <c r="N531" s="4" t="s">
        <v>49</v>
      </c>
      <c r="Q531" s="6">
        <v>45838</v>
      </c>
      <c r="R531" s="6" t="str">
        <f>TEXT(Q531, "MMM-YY")</f>
        <v>Jun-25</v>
      </c>
      <c r="X531" s="25">
        <v>100.75</v>
      </c>
      <c r="Y531" s="25" t="s">
        <v>1303</v>
      </c>
      <c r="AB531"/>
      <c r="AC531"/>
      <c r="AD531"/>
      <c r="AE531"/>
      <c r="AF531"/>
      <c r="AG531"/>
      <c r="AH531"/>
      <c r="AI531"/>
      <c r="AJ531"/>
      <c r="AK531"/>
      <c r="AL531"/>
      <c r="AM531"/>
      <c r="AN531" s="9">
        <f t="shared" si="17"/>
        <v>0</v>
      </c>
      <c r="AO531" s="8"/>
      <c r="AP531" s="9">
        <f>I531-W531-X531-AN531</f>
        <v>0</v>
      </c>
      <c r="AQ531" t="s">
        <v>1324</v>
      </c>
    </row>
    <row r="532" spans="1:43" x14ac:dyDescent="0.3">
      <c r="A532" s="11">
        <f t="shared" si="18"/>
        <v>530</v>
      </c>
      <c r="B532" s="5" t="s">
        <v>1675</v>
      </c>
      <c r="C532" t="s">
        <v>893</v>
      </c>
      <c r="D532" s="24" t="s">
        <v>824</v>
      </c>
      <c r="E532" s="24" t="str">
        <f>IFERROR(VLOOKUP(D532,Dropdown!A:B,2,0),D532)</f>
        <v>Paragon</v>
      </c>
      <c r="F532" s="6">
        <v>45838</v>
      </c>
      <c r="G532" s="6" t="str">
        <f>TEXT(F532, "MMM-YY")</f>
        <v>Jun-25</v>
      </c>
      <c r="H532" t="s">
        <v>514</v>
      </c>
      <c r="I532" s="25">
        <v>100.75</v>
      </c>
      <c r="J532" s="4">
        <v>2500</v>
      </c>
      <c r="K532" t="s">
        <v>950</v>
      </c>
      <c r="L532" s="4" t="str">
        <f>VLOOKUP(K532, 'Items Master'!A:E,5,0)</f>
        <v>RIL</v>
      </c>
      <c r="M532" s="4" t="str">
        <f>VLOOKUP(K532, 'Items Master'!A:D,4,0)</f>
        <v>PP</v>
      </c>
      <c r="N532" s="4" t="s">
        <v>49</v>
      </c>
      <c r="Q532" s="6">
        <v>45838</v>
      </c>
      <c r="R532" s="6" t="str">
        <f>TEXT(Q532, "MMM-YY")</f>
        <v>Jun-25</v>
      </c>
      <c r="X532" s="25">
        <v>100.75</v>
      </c>
      <c r="Y532" s="25" t="s">
        <v>1303</v>
      </c>
      <c r="AB532"/>
      <c r="AC532"/>
      <c r="AD532"/>
      <c r="AE532"/>
      <c r="AF532"/>
      <c r="AG532"/>
      <c r="AH532"/>
      <c r="AI532"/>
      <c r="AJ532"/>
      <c r="AK532"/>
      <c r="AL532"/>
      <c r="AM532"/>
      <c r="AN532" s="9">
        <f t="shared" si="17"/>
        <v>0</v>
      </c>
      <c r="AO532" s="8"/>
      <c r="AP532" s="9">
        <f>I532-W532-X532-AN532</f>
        <v>0</v>
      </c>
      <c r="AQ532" t="s">
        <v>1324</v>
      </c>
    </row>
    <row r="533" spans="1:43" x14ac:dyDescent="0.3">
      <c r="A533" s="11">
        <f t="shared" si="18"/>
        <v>531</v>
      </c>
      <c r="B533" s="5" t="s">
        <v>1675</v>
      </c>
      <c r="C533" t="s">
        <v>893</v>
      </c>
      <c r="D533" s="24" t="s">
        <v>48</v>
      </c>
      <c r="E533" s="24" t="str">
        <f>IFERROR(VLOOKUP(D533,Dropdown!A:B,2,0),D533)</f>
        <v>CVPL</v>
      </c>
      <c r="F533" s="6">
        <v>45838</v>
      </c>
      <c r="G533" s="6" t="str">
        <f>TEXT(F533, "MMM-YY")</f>
        <v>Jun-25</v>
      </c>
      <c r="H533" t="s">
        <v>515</v>
      </c>
      <c r="I533" s="25">
        <v>102.25</v>
      </c>
      <c r="J533" s="4">
        <v>2000</v>
      </c>
      <c r="K533" t="s">
        <v>904</v>
      </c>
      <c r="L533" s="4" t="str">
        <f>VLOOKUP(K533, 'Items Master'!A:E,5,0)</f>
        <v>BOROUGE</v>
      </c>
      <c r="M533" s="4" t="str">
        <f>VLOOKUP(K533, 'Items Master'!A:D,4,0)</f>
        <v>PP RCP</v>
      </c>
      <c r="N533" s="4" t="s">
        <v>24</v>
      </c>
      <c r="Q533" s="6">
        <v>45838</v>
      </c>
      <c r="R533" s="6" t="str">
        <f>TEXT(Q533, "MMM-YY")</f>
        <v>Jun-25</v>
      </c>
      <c r="W533" s="25">
        <v>102.25</v>
      </c>
      <c r="Y533"/>
      <c r="Z533"/>
      <c r="AB533"/>
      <c r="AC533"/>
      <c r="AD533"/>
      <c r="AE533"/>
      <c r="AF533"/>
      <c r="AG533"/>
      <c r="AH533"/>
      <c r="AI533"/>
      <c r="AJ533"/>
      <c r="AK533"/>
      <c r="AL533"/>
      <c r="AM533"/>
      <c r="AN533" s="9">
        <f t="shared" si="17"/>
        <v>0</v>
      </c>
      <c r="AO533" s="8"/>
      <c r="AP533" s="9">
        <f>I533-W533-X533-AN533</f>
        <v>0</v>
      </c>
      <c r="AQ533" t="s">
        <v>1316</v>
      </c>
    </row>
    <row r="534" spans="1:43" x14ac:dyDescent="0.3">
      <c r="A534" s="11">
        <f t="shared" si="18"/>
        <v>532</v>
      </c>
      <c r="B534" s="5" t="s">
        <v>1675</v>
      </c>
      <c r="C534" t="s">
        <v>893</v>
      </c>
      <c r="D534" s="24" t="s">
        <v>857</v>
      </c>
      <c r="E534" s="24" t="str">
        <f>IFERROR(VLOOKUP(D534,Dropdown!A:B,2,0),D534)</f>
        <v>Purav</v>
      </c>
      <c r="F534" s="6">
        <v>45838</v>
      </c>
      <c r="G534" s="6" t="str">
        <f>TEXT(F534, "MMM-YY")</f>
        <v>Jun-25</v>
      </c>
      <c r="H534" t="s">
        <v>516</v>
      </c>
      <c r="I534" s="25">
        <v>93.99</v>
      </c>
      <c r="J534" s="4">
        <v>1000</v>
      </c>
      <c r="K534" t="s">
        <v>991</v>
      </c>
      <c r="L534" s="4" t="str">
        <f>VLOOKUP(K534, 'Items Master'!A:E,5,0)</f>
        <v>OPAL</v>
      </c>
      <c r="M534" s="4" t="str">
        <f>VLOOKUP(K534, 'Items Master'!A:D,4,0)</f>
        <v>HDPE</v>
      </c>
      <c r="N534" s="4" t="s">
        <v>49</v>
      </c>
      <c r="O534" t="s">
        <v>1298</v>
      </c>
      <c r="Q534" s="6">
        <v>45838</v>
      </c>
      <c r="R534" s="6" t="str">
        <f>TEXT(Q534, "MMM-YY")</f>
        <v>Jun-25</v>
      </c>
      <c r="U534" t="s">
        <v>1605</v>
      </c>
      <c r="X534" s="25">
        <v>94.79</v>
      </c>
      <c r="Y534" s="25" t="s">
        <v>1303</v>
      </c>
      <c r="AB534" s="8">
        <v>-0.9</v>
      </c>
      <c r="AH534" s="8">
        <v>0.1</v>
      </c>
      <c r="AN534" s="9">
        <f t="shared" si="17"/>
        <v>-0.8</v>
      </c>
      <c r="AO534" s="8"/>
      <c r="AP534" s="9">
        <f>I534-W534-X534-AN534</f>
        <v>-1.1324274851176597E-14</v>
      </c>
      <c r="AQ534" t="s">
        <v>1316</v>
      </c>
    </row>
    <row r="535" spans="1:43" x14ac:dyDescent="0.3">
      <c r="A535" s="11">
        <f t="shared" si="18"/>
        <v>533</v>
      </c>
      <c r="B535" s="5" t="s">
        <v>1675</v>
      </c>
      <c r="C535" t="s">
        <v>893</v>
      </c>
      <c r="D535" s="24" t="s">
        <v>838</v>
      </c>
      <c r="E535" s="24" t="str">
        <f>IFERROR(VLOOKUP(D535,Dropdown!A:B,2,0),D535)</f>
        <v>Treenity</v>
      </c>
      <c r="F535" s="6">
        <v>45839</v>
      </c>
      <c r="G535" s="6" t="str">
        <f>TEXT(F535, "MMM-YY")</f>
        <v>Jul-25</v>
      </c>
      <c r="H535" t="s">
        <v>517</v>
      </c>
      <c r="I535" s="25">
        <v>101.1</v>
      </c>
      <c r="J535" s="4">
        <v>25000</v>
      </c>
      <c r="K535" t="s">
        <v>899</v>
      </c>
      <c r="L535" s="4" t="str">
        <f>VLOOKUP(K535, 'Items Master'!A:E,5,0)</f>
        <v>MRPL</v>
      </c>
      <c r="M535" s="4" t="str">
        <f>VLOOKUP(K535, 'Items Master'!A:D,4,0)</f>
        <v>PP</v>
      </c>
      <c r="N535" s="4" t="s">
        <v>49</v>
      </c>
      <c r="Q535" s="6">
        <v>45838</v>
      </c>
      <c r="R535" s="6" t="str">
        <f>TEXT(Q535, "MMM-YY")</f>
        <v>Jun-25</v>
      </c>
      <c r="X535" s="25">
        <v>98.4</v>
      </c>
      <c r="Y535" t="s">
        <v>1304</v>
      </c>
      <c r="Z535" t="s">
        <v>1305</v>
      </c>
      <c r="AI535" s="8">
        <v>2.7</v>
      </c>
      <c r="AN535" s="9">
        <f t="shared" si="17"/>
        <v>2.7</v>
      </c>
      <c r="AO535" s="8"/>
      <c r="AP535" s="9">
        <f>I535-W535-X535-AN535</f>
        <v>-1.1546319456101628E-14</v>
      </c>
      <c r="AQ535" t="s">
        <v>1316</v>
      </c>
    </row>
    <row r="536" spans="1:43" x14ac:dyDescent="0.3">
      <c r="A536" s="11">
        <f t="shared" si="18"/>
        <v>534</v>
      </c>
      <c r="B536" s="5" t="s">
        <v>1675</v>
      </c>
      <c r="C536" t="s">
        <v>893</v>
      </c>
      <c r="D536" s="24" t="s">
        <v>858</v>
      </c>
      <c r="E536" s="24" t="str">
        <f>IFERROR(VLOOKUP(D536,Dropdown!A:B,2,0),D536)</f>
        <v>PRISHA POLYTECH LLP</v>
      </c>
      <c r="F536" s="6">
        <v>45839</v>
      </c>
      <c r="G536" s="6" t="str">
        <f>TEXT(F536, "MMM-YY")</f>
        <v>Jul-25</v>
      </c>
      <c r="H536" t="s">
        <v>518</v>
      </c>
      <c r="I536" s="25">
        <v>96.6</v>
      </c>
      <c r="J536" s="4">
        <v>4000</v>
      </c>
      <c r="K536" t="s">
        <v>905</v>
      </c>
      <c r="L536" s="4" t="str">
        <f>VLOOKUP(K536, 'Items Master'!A:E,5,0)</f>
        <v>SINOPEC</v>
      </c>
      <c r="M536" s="4" t="str">
        <f>VLOOKUP(K536, 'Items Master'!A:D,4,0)</f>
        <v>PP</v>
      </c>
      <c r="N536" s="4" t="s">
        <v>24</v>
      </c>
      <c r="Q536" s="6">
        <v>45839</v>
      </c>
      <c r="R536" s="6" t="str">
        <f>TEXT(Q536, "MMM-YY")</f>
        <v>Jul-25</v>
      </c>
      <c r="W536" s="25">
        <v>96.6</v>
      </c>
      <c r="Y536"/>
      <c r="Z536"/>
      <c r="AB536"/>
      <c r="AC536"/>
      <c r="AD536"/>
      <c r="AE536"/>
      <c r="AF536"/>
      <c r="AG536"/>
      <c r="AH536"/>
      <c r="AI536"/>
      <c r="AJ536"/>
      <c r="AK536"/>
      <c r="AL536"/>
      <c r="AM536"/>
      <c r="AN536" s="9">
        <f t="shared" si="17"/>
        <v>0</v>
      </c>
      <c r="AO536" s="8"/>
      <c r="AP536" s="9">
        <f>I536-W536-X536-AN536</f>
        <v>0</v>
      </c>
      <c r="AQ536" t="s">
        <v>1316</v>
      </c>
    </row>
    <row r="537" spans="1:43" x14ac:dyDescent="0.3">
      <c r="A537" s="11">
        <f t="shared" si="18"/>
        <v>535</v>
      </c>
      <c r="B537" s="5" t="s">
        <v>1675</v>
      </c>
      <c r="C537" t="s">
        <v>893</v>
      </c>
      <c r="D537" s="24" t="s">
        <v>857</v>
      </c>
      <c r="E537" s="24" t="str">
        <f>IFERROR(VLOOKUP(D537,Dropdown!A:B,2,0),D537)</f>
        <v>Purav</v>
      </c>
      <c r="F537" s="6">
        <v>45839</v>
      </c>
      <c r="G537" s="6" t="str">
        <f>TEXT(F537, "MMM-YY")</f>
        <v>Jul-25</v>
      </c>
      <c r="H537" t="s">
        <v>519</v>
      </c>
      <c r="I537" s="25">
        <v>93.85</v>
      </c>
      <c r="J537" s="4">
        <v>7500</v>
      </c>
      <c r="K537" t="s">
        <v>926</v>
      </c>
      <c r="L537" s="4" t="str">
        <f>VLOOKUP(K537, 'Items Master'!A:E,5,0)</f>
        <v>GAIL</v>
      </c>
      <c r="M537" s="4" t="str">
        <f>VLOOKUP(K537, 'Items Master'!A:D,4,0)</f>
        <v>HDPE</v>
      </c>
      <c r="N537" s="4" t="s">
        <v>24</v>
      </c>
      <c r="Q537" s="6">
        <v>45839</v>
      </c>
      <c r="R537" s="6" t="str">
        <f>TEXT(Q537, "MMM-YY")</f>
        <v>Jul-25</v>
      </c>
      <c r="U537" t="s">
        <v>1606</v>
      </c>
      <c r="W537" s="25">
        <v>93.75</v>
      </c>
      <c r="Y537"/>
      <c r="Z537"/>
      <c r="AH537" s="8">
        <v>0.1</v>
      </c>
      <c r="AN537" s="9">
        <f t="shared" si="17"/>
        <v>0.1</v>
      </c>
      <c r="AO537" s="8"/>
      <c r="AP537" s="9">
        <f>I537-W537-X537-AN537</f>
        <v>-5.6898930012039273E-15</v>
      </c>
      <c r="AQ537" t="s">
        <v>1316</v>
      </c>
    </row>
    <row r="538" spans="1:43" x14ac:dyDescent="0.3">
      <c r="A538" s="11">
        <f t="shared" si="18"/>
        <v>536</v>
      </c>
      <c r="B538" s="5" t="s">
        <v>1675</v>
      </c>
      <c r="C538" t="s">
        <v>893</v>
      </c>
      <c r="D538" s="24" t="s">
        <v>857</v>
      </c>
      <c r="E538" s="24" t="str">
        <f>IFERROR(VLOOKUP(D538,Dropdown!A:B,2,0),D538)</f>
        <v>Purav</v>
      </c>
      <c r="F538" s="6">
        <v>45839</v>
      </c>
      <c r="G538" s="6" t="str">
        <f>TEXT(F538, "MMM-YY")</f>
        <v>Jul-25</v>
      </c>
      <c r="H538" t="s">
        <v>520</v>
      </c>
      <c r="I538" s="25">
        <v>92.6</v>
      </c>
      <c r="J538" s="4">
        <v>2500</v>
      </c>
      <c r="K538" t="s">
        <v>942</v>
      </c>
      <c r="L538" s="4" t="str">
        <f>VLOOKUP(K538, 'Items Master'!A:E,5,0)</f>
        <v>GAIL</v>
      </c>
      <c r="M538" s="4" t="str">
        <f>VLOOKUP(K538, 'Items Master'!A:D,4,0)</f>
        <v>HDPE</v>
      </c>
      <c r="N538" s="4" t="s">
        <v>24</v>
      </c>
      <c r="Q538" s="6">
        <v>45839</v>
      </c>
      <c r="R538" s="6" t="str">
        <f>TEXT(Q538, "MMM-YY")</f>
        <v>Jul-25</v>
      </c>
      <c r="U538" t="s">
        <v>1606</v>
      </c>
      <c r="W538" s="25">
        <v>92.5</v>
      </c>
      <c r="Y538"/>
      <c r="Z538"/>
      <c r="AH538" s="8">
        <v>0.1</v>
      </c>
      <c r="AN538" s="9">
        <f t="shared" si="17"/>
        <v>0.1</v>
      </c>
      <c r="AO538" s="8"/>
      <c r="AP538" s="9">
        <f>I538-W538-X538-AN538</f>
        <v>-5.6898930012039273E-15</v>
      </c>
      <c r="AQ538" t="s">
        <v>1316</v>
      </c>
    </row>
    <row r="539" spans="1:43" x14ac:dyDescent="0.3">
      <c r="A539" s="11">
        <f t="shared" si="18"/>
        <v>537</v>
      </c>
      <c r="B539" s="5" t="s">
        <v>1675</v>
      </c>
      <c r="C539" t="s">
        <v>894</v>
      </c>
      <c r="D539" s="24" t="s">
        <v>857</v>
      </c>
      <c r="E539" s="24" t="str">
        <f>IFERROR(VLOOKUP(D539,Dropdown!A:B,2,0),D539)</f>
        <v>Purav</v>
      </c>
      <c r="F539" s="6">
        <v>45839</v>
      </c>
      <c r="G539" s="6" t="str">
        <f>TEXT(F539, "MMM-YY")</f>
        <v>Jul-25</v>
      </c>
      <c r="H539" t="s">
        <v>521</v>
      </c>
      <c r="I539" s="25">
        <v>94.45</v>
      </c>
      <c r="J539" s="4">
        <v>3000</v>
      </c>
      <c r="K539" t="s">
        <v>896</v>
      </c>
      <c r="L539" s="4" t="str">
        <f>VLOOKUP(K539, 'Items Master'!A:E,5,0)</f>
        <v>OPAL</v>
      </c>
      <c r="M539" s="4" t="str">
        <f>VLOOKUP(K539, 'Items Master'!A:D,4,0)</f>
        <v>HDPE</v>
      </c>
      <c r="N539" s="4" t="s">
        <v>49</v>
      </c>
      <c r="O539" t="s">
        <v>1298</v>
      </c>
      <c r="Q539" s="6">
        <v>45838</v>
      </c>
      <c r="R539" s="6" t="str">
        <f>TEXT(Q539, "MMM-YY")</f>
        <v>Jun-25</v>
      </c>
      <c r="U539" t="s">
        <v>1605</v>
      </c>
      <c r="X539" s="25">
        <v>95.25</v>
      </c>
      <c r="Y539" s="25" t="s">
        <v>1303</v>
      </c>
      <c r="Z539" s="25" t="s">
        <v>1306</v>
      </c>
      <c r="AB539" s="8">
        <v>-0.9</v>
      </c>
      <c r="AH539" s="8">
        <v>0.1</v>
      </c>
      <c r="AN539" s="9">
        <f t="shared" si="17"/>
        <v>-0.8</v>
      </c>
      <c r="AO539" s="8"/>
      <c r="AP539" s="9">
        <f>I539-W539-X539-AN539</f>
        <v>2.886579864025407E-15</v>
      </c>
      <c r="AQ539" t="s">
        <v>1316</v>
      </c>
    </row>
    <row r="540" spans="1:43" x14ac:dyDescent="0.3">
      <c r="A540" s="11">
        <f t="shared" si="18"/>
        <v>538</v>
      </c>
      <c r="B540" s="5" t="s">
        <v>1675</v>
      </c>
      <c r="C540" t="s">
        <v>894</v>
      </c>
      <c r="D540" s="24" t="s">
        <v>857</v>
      </c>
      <c r="E540" s="24" t="str">
        <f>IFERROR(VLOOKUP(D540,Dropdown!A:B,2,0),D540)</f>
        <v>Purav</v>
      </c>
      <c r="F540" s="6">
        <v>45839</v>
      </c>
      <c r="G540" s="6" t="str">
        <f>TEXT(F540, "MMM-YY")</f>
        <v>Jul-25</v>
      </c>
      <c r="H540" t="s">
        <v>522</v>
      </c>
      <c r="I540" s="25">
        <v>94.45</v>
      </c>
      <c r="J540" s="4">
        <v>7000</v>
      </c>
      <c r="K540" t="s">
        <v>896</v>
      </c>
      <c r="L540" s="4" t="str">
        <f>VLOOKUP(K540, 'Items Master'!A:E,5,0)</f>
        <v>OPAL</v>
      </c>
      <c r="M540" s="4" t="str">
        <f>VLOOKUP(K540, 'Items Master'!A:D,4,0)</f>
        <v>HDPE</v>
      </c>
      <c r="N540" s="4" t="s">
        <v>49</v>
      </c>
      <c r="O540" t="s">
        <v>1298</v>
      </c>
      <c r="Q540" s="6">
        <v>45838</v>
      </c>
      <c r="R540" s="6" t="str">
        <f>TEXT(Q540, "MMM-YY")</f>
        <v>Jun-25</v>
      </c>
      <c r="U540" t="s">
        <v>1605</v>
      </c>
      <c r="X540" s="25">
        <v>95.25</v>
      </c>
      <c r="Y540" s="25" t="s">
        <v>1303</v>
      </c>
      <c r="Z540" s="25" t="s">
        <v>1306</v>
      </c>
      <c r="AB540" s="8">
        <v>-0.9</v>
      </c>
      <c r="AH540" s="8">
        <v>0.1</v>
      </c>
      <c r="AN540" s="9">
        <f t="shared" si="17"/>
        <v>-0.8</v>
      </c>
      <c r="AO540" s="8"/>
      <c r="AP540" s="9">
        <f>I540-W540-X540-AN540</f>
        <v>2.886579864025407E-15</v>
      </c>
      <c r="AQ540" t="s">
        <v>1316</v>
      </c>
    </row>
    <row r="541" spans="1:43" x14ac:dyDescent="0.3">
      <c r="A541" s="11">
        <f t="shared" si="18"/>
        <v>539</v>
      </c>
      <c r="B541" s="5" t="s">
        <v>1675</v>
      </c>
      <c r="C541" t="s">
        <v>894</v>
      </c>
      <c r="D541" s="24" t="s">
        <v>860</v>
      </c>
      <c r="E541" s="24" t="str">
        <f>IFERROR(VLOOKUP(D541,Dropdown!A:B,2,0),D541)</f>
        <v>VINAY PLASTICS</v>
      </c>
      <c r="F541" s="6">
        <v>45840</v>
      </c>
      <c r="G541" s="6" t="str">
        <f>TEXT(F541, "MMM-YY")</f>
        <v>Jul-25</v>
      </c>
      <c r="H541" t="s">
        <v>523</v>
      </c>
      <c r="I541" s="25">
        <v>93</v>
      </c>
      <c r="J541" s="4">
        <v>12000</v>
      </c>
      <c r="K541" t="s">
        <v>927</v>
      </c>
      <c r="L541" s="4" t="str">
        <f>VLOOKUP(K541, 'Items Master'!A:E,5,0)</f>
        <v>RIL</v>
      </c>
      <c r="M541" s="4" t="str">
        <f>VLOOKUP(K541, 'Items Master'!A:D,4,0)</f>
        <v>HDPE</v>
      </c>
      <c r="N541" s="4" t="s">
        <v>24</v>
      </c>
      <c r="Q541" s="6">
        <v>45840</v>
      </c>
      <c r="R541" s="6" t="str">
        <f>TEXT(Q541, "MMM-YY")</f>
        <v>Jul-25</v>
      </c>
      <c r="W541" s="25">
        <v>93</v>
      </c>
      <c r="Y541"/>
      <c r="Z541"/>
      <c r="AB541"/>
      <c r="AC541"/>
      <c r="AD541"/>
      <c r="AE541"/>
      <c r="AF541"/>
      <c r="AG541"/>
      <c r="AH541"/>
      <c r="AI541"/>
      <c r="AJ541"/>
      <c r="AK541"/>
      <c r="AL541"/>
      <c r="AM541"/>
      <c r="AN541" s="9">
        <f t="shared" si="17"/>
        <v>0</v>
      </c>
      <c r="AO541" s="8"/>
      <c r="AP541" s="9">
        <f>I541-W541-X541-AN541</f>
        <v>0</v>
      </c>
      <c r="AQ541" t="s">
        <v>1316</v>
      </c>
    </row>
    <row r="542" spans="1:43" x14ac:dyDescent="0.3">
      <c r="A542" s="11">
        <f t="shared" si="18"/>
        <v>540</v>
      </c>
      <c r="B542" s="5" t="s">
        <v>1675</v>
      </c>
      <c r="C542" t="s">
        <v>893</v>
      </c>
      <c r="D542" s="24" t="s">
        <v>824</v>
      </c>
      <c r="E542" s="24" t="str">
        <f>IFERROR(VLOOKUP(D542,Dropdown!A:B,2,0),D542)</f>
        <v>Paragon</v>
      </c>
      <c r="F542" s="6">
        <v>45840</v>
      </c>
      <c r="G542" s="6" t="str">
        <f>TEXT(F542, "MMM-YY")</f>
        <v>Jul-25</v>
      </c>
      <c r="H542" t="s">
        <v>524</v>
      </c>
      <c r="I542" s="25">
        <v>110.38</v>
      </c>
      <c r="J542" s="4">
        <v>425</v>
      </c>
      <c r="K542" t="s">
        <v>934</v>
      </c>
      <c r="L542" s="4" t="str">
        <f>VLOOKUP(K542, 'Items Master'!A:E,5,0)</f>
        <v>RIL</v>
      </c>
      <c r="M542" s="4" t="str">
        <f>VLOOKUP(K542, 'Items Master'!A:D,4,0)</f>
        <v>PP RCP</v>
      </c>
      <c r="N542" s="4" t="s">
        <v>49</v>
      </c>
      <c r="Q542" s="6">
        <v>45840</v>
      </c>
      <c r="R542" s="6" t="str">
        <f>TEXT(Q542, "MMM-YY")</f>
        <v>Jul-25</v>
      </c>
      <c r="X542" s="25">
        <v>110.38</v>
      </c>
      <c r="Y542" s="25" t="s">
        <v>1303</v>
      </c>
      <c r="Z542" s="25" t="s">
        <v>1305</v>
      </c>
      <c r="AB542"/>
      <c r="AC542"/>
      <c r="AD542"/>
      <c r="AE542"/>
      <c r="AF542"/>
      <c r="AG542"/>
      <c r="AH542"/>
      <c r="AI542"/>
      <c r="AJ542"/>
      <c r="AK542"/>
      <c r="AL542"/>
      <c r="AM542"/>
      <c r="AN542" s="9">
        <f t="shared" si="17"/>
        <v>0</v>
      </c>
      <c r="AO542" s="8"/>
      <c r="AP542" s="9">
        <f>I542-W542-X542-AN542</f>
        <v>0</v>
      </c>
      <c r="AQ542" t="s">
        <v>1324</v>
      </c>
    </row>
    <row r="543" spans="1:43" x14ac:dyDescent="0.3">
      <c r="A543" s="11">
        <f t="shared" si="18"/>
        <v>541</v>
      </c>
      <c r="B543" s="5" t="s">
        <v>1675</v>
      </c>
      <c r="C543" t="s">
        <v>893</v>
      </c>
      <c r="D543" s="24" t="s">
        <v>824</v>
      </c>
      <c r="E543" s="24" t="str">
        <f>IFERROR(VLOOKUP(D543,Dropdown!A:B,2,0),D543)</f>
        <v>Paragon</v>
      </c>
      <c r="F543" s="6">
        <v>45840</v>
      </c>
      <c r="G543" s="6" t="str">
        <f>TEXT(F543, "MMM-YY")</f>
        <v>Jul-25</v>
      </c>
      <c r="H543" t="s">
        <v>524</v>
      </c>
      <c r="I543" s="25">
        <v>101.08</v>
      </c>
      <c r="J543" s="4">
        <v>500</v>
      </c>
      <c r="K543" t="s">
        <v>992</v>
      </c>
      <c r="L543" s="4" t="str">
        <f>VLOOKUP(K543, 'Items Master'!A:E,5,0)</f>
        <v>RIL</v>
      </c>
      <c r="M543" s="4" t="str">
        <f>VLOOKUP(K543, 'Items Master'!A:D,4,0)</f>
        <v>PP</v>
      </c>
      <c r="N543" s="4" t="s">
        <v>49</v>
      </c>
      <c r="Q543" s="6">
        <v>45840</v>
      </c>
      <c r="R543" s="6" t="str">
        <f>TEXT(Q543, "MMM-YY")</f>
        <v>Jul-25</v>
      </c>
      <c r="X543" s="25">
        <v>101.08</v>
      </c>
      <c r="Y543" s="25" t="s">
        <v>1303</v>
      </c>
      <c r="Z543" s="25" t="s">
        <v>1305</v>
      </c>
      <c r="AB543"/>
      <c r="AC543"/>
      <c r="AD543"/>
      <c r="AE543"/>
      <c r="AF543"/>
      <c r="AG543"/>
      <c r="AH543"/>
      <c r="AI543"/>
      <c r="AJ543"/>
      <c r="AK543"/>
      <c r="AL543"/>
      <c r="AM543"/>
      <c r="AN543" s="9">
        <f t="shared" si="17"/>
        <v>0</v>
      </c>
      <c r="AO543" s="8"/>
      <c r="AP543" s="9">
        <f>I543-W543-X543-AN543</f>
        <v>0</v>
      </c>
      <c r="AQ543" t="s">
        <v>1324</v>
      </c>
    </row>
    <row r="544" spans="1:43" x14ac:dyDescent="0.3">
      <c r="A544" s="11">
        <f t="shared" si="18"/>
        <v>542</v>
      </c>
      <c r="B544" s="5" t="s">
        <v>1675</v>
      </c>
      <c r="C544" t="s">
        <v>893</v>
      </c>
      <c r="D544" s="24" t="s">
        <v>824</v>
      </c>
      <c r="E544" s="24" t="str">
        <f>IFERROR(VLOOKUP(D544,Dropdown!A:B,2,0),D544)</f>
        <v>Paragon</v>
      </c>
      <c r="F544" s="6">
        <v>45840</v>
      </c>
      <c r="G544" s="6" t="str">
        <f>TEXT(F544, "MMM-YY")</f>
        <v>Jul-25</v>
      </c>
      <c r="H544" t="s">
        <v>524</v>
      </c>
      <c r="I544" s="25">
        <v>107.37</v>
      </c>
      <c r="J544" s="4">
        <v>125</v>
      </c>
      <c r="K544" t="s">
        <v>944</v>
      </c>
      <c r="L544" s="4" t="str">
        <f>VLOOKUP(K544, 'Items Master'!A:E,5,0)</f>
        <v>RIL</v>
      </c>
      <c r="M544" s="4" t="str">
        <f>VLOOKUP(K544, 'Items Master'!A:D,4,0)</f>
        <v>PP ICP</v>
      </c>
      <c r="N544" s="4" t="s">
        <v>49</v>
      </c>
      <c r="Q544" s="6">
        <v>45840</v>
      </c>
      <c r="R544" s="6" t="str">
        <f>TEXT(Q544, "MMM-YY")</f>
        <v>Jul-25</v>
      </c>
      <c r="X544" s="25">
        <v>107.37</v>
      </c>
      <c r="Y544" s="25" t="s">
        <v>1303</v>
      </c>
      <c r="Z544" s="25" t="s">
        <v>1305</v>
      </c>
      <c r="AB544"/>
      <c r="AC544"/>
      <c r="AD544"/>
      <c r="AE544"/>
      <c r="AF544"/>
      <c r="AG544"/>
      <c r="AH544"/>
      <c r="AI544"/>
      <c r="AJ544"/>
      <c r="AK544"/>
      <c r="AL544"/>
      <c r="AM544"/>
      <c r="AN544" s="9">
        <f t="shared" si="17"/>
        <v>0</v>
      </c>
      <c r="AO544" s="8"/>
      <c r="AP544" s="9">
        <f>I544-W544-X544-AN544</f>
        <v>0</v>
      </c>
      <c r="AQ544" t="s">
        <v>1324</v>
      </c>
    </row>
    <row r="545" spans="1:43" x14ac:dyDescent="0.3">
      <c r="A545" s="11">
        <f t="shared" si="18"/>
        <v>543</v>
      </c>
      <c r="B545" s="5" t="s">
        <v>1675</v>
      </c>
      <c r="C545" t="s">
        <v>893</v>
      </c>
      <c r="D545" s="24" t="s">
        <v>824</v>
      </c>
      <c r="E545" s="24" t="str">
        <f>IFERROR(VLOOKUP(D545,Dropdown!A:B,2,0),D545)</f>
        <v>Paragon</v>
      </c>
      <c r="F545" s="6">
        <v>45841</v>
      </c>
      <c r="G545" s="6" t="str">
        <f>TEXT(F545, "MMM-YY")</f>
        <v>Jul-25</v>
      </c>
      <c r="H545">
        <v>1973</v>
      </c>
      <c r="I545" s="25">
        <v>99.71</v>
      </c>
      <c r="J545" s="4">
        <v>1000</v>
      </c>
      <c r="K545" t="s">
        <v>968</v>
      </c>
      <c r="L545" s="4" t="str">
        <f>VLOOKUP(K545, 'Items Master'!A:E,5,0)</f>
        <v>RIL</v>
      </c>
      <c r="M545" s="4" t="str">
        <f>VLOOKUP(K545, 'Items Master'!A:D,4,0)</f>
        <v>PP</v>
      </c>
      <c r="N545" s="4" t="s">
        <v>49</v>
      </c>
      <c r="Q545" s="6">
        <v>45841</v>
      </c>
      <c r="R545" s="6" t="str">
        <f>TEXT(Q545, "MMM-YY")</f>
        <v>Jul-25</v>
      </c>
      <c r="X545" s="25">
        <v>99.72</v>
      </c>
      <c r="Y545" s="25" t="s">
        <v>1303</v>
      </c>
      <c r="Z545" s="25" t="s">
        <v>1305</v>
      </c>
      <c r="AB545"/>
      <c r="AC545"/>
      <c r="AD545"/>
      <c r="AE545"/>
      <c r="AF545"/>
      <c r="AG545"/>
      <c r="AH545"/>
      <c r="AI545"/>
      <c r="AJ545"/>
      <c r="AK545"/>
      <c r="AL545"/>
      <c r="AM545"/>
      <c r="AN545" s="9">
        <f t="shared" si="17"/>
        <v>0</v>
      </c>
      <c r="AO545" s="8"/>
      <c r="AP545" s="9">
        <f>I545-W545-X545-AN545</f>
        <v>-1.0000000000005116E-2</v>
      </c>
      <c r="AQ545" t="s">
        <v>1324</v>
      </c>
    </row>
    <row r="546" spans="1:43" x14ac:dyDescent="0.3">
      <c r="A546" s="11">
        <f t="shared" si="18"/>
        <v>544</v>
      </c>
      <c r="B546" s="5" t="s">
        <v>1675</v>
      </c>
      <c r="C546" t="s">
        <v>893</v>
      </c>
      <c r="D546" s="24" t="s">
        <v>824</v>
      </c>
      <c r="E546" s="24" t="str">
        <f>IFERROR(VLOOKUP(D546,Dropdown!A:B,2,0),D546)</f>
        <v>Paragon</v>
      </c>
      <c r="F546" s="6">
        <v>45842</v>
      </c>
      <c r="G546" s="6" t="str">
        <f>TEXT(F546, "MMM-YY")</f>
        <v>Jul-25</v>
      </c>
      <c r="H546" t="s">
        <v>525</v>
      </c>
      <c r="I546" s="25">
        <v>99.71</v>
      </c>
      <c r="J546" s="4">
        <v>4000</v>
      </c>
      <c r="K546" t="s">
        <v>968</v>
      </c>
      <c r="L546" s="4" t="str">
        <f>VLOOKUP(K546, 'Items Master'!A:E,5,0)</f>
        <v>RIL</v>
      </c>
      <c r="M546" s="4" t="str">
        <f>VLOOKUP(K546, 'Items Master'!A:D,4,0)</f>
        <v>PP</v>
      </c>
      <c r="N546" s="4" t="s">
        <v>49</v>
      </c>
      <c r="Q546" s="6">
        <v>45842</v>
      </c>
      <c r="R546" s="6" t="str">
        <f>TEXT(Q546, "MMM-YY")</f>
        <v>Jul-25</v>
      </c>
      <c r="X546" s="25">
        <v>99.72</v>
      </c>
      <c r="Y546" s="25" t="s">
        <v>1303</v>
      </c>
      <c r="Z546" s="25" t="s">
        <v>1305</v>
      </c>
      <c r="AB546"/>
      <c r="AC546"/>
      <c r="AD546"/>
      <c r="AE546"/>
      <c r="AF546"/>
      <c r="AG546"/>
      <c r="AH546"/>
      <c r="AI546"/>
      <c r="AJ546"/>
      <c r="AK546"/>
      <c r="AL546"/>
      <c r="AM546"/>
      <c r="AN546" s="9">
        <f t="shared" si="17"/>
        <v>0</v>
      </c>
      <c r="AO546" s="8"/>
      <c r="AP546" s="9">
        <f>I546-W546-X546-AN546</f>
        <v>-1.0000000000005116E-2</v>
      </c>
      <c r="AQ546" t="s">
        <v>1324</v>
      </c>
    </row>
    <row r="547" spans="1:43" x14ac:dyDescent="0.3">
      <c r="A547" s="11">
        <f t="shared" si="18"/>
        <v>545</v>
      </c>
      <c r="B547" s="5" t="s">
        <v>1675</v>
      </c>
      <c r="C547" t="s">
        <v>893</v>
      </c>
      <c r="D547" s="24" t="s">
        <v>824</v>
      </c>
      <c r="E547" s="24" t="str">
        <f>IFERROR(VLOOKUP(D547,Dropdown!A:B,2,0),D547)</f>
        <v>Paragon</v>
      </c>
      <c r="F547" s="6">
        <v>45842</v>
      </c>
      <c r="G547" s="6" t="str">
        <f>TEXT(F547, "MMM-YY")</f>
        <v>Jul-25</v>
      </c>
      <c r="H547" t="s">
        <v>525</v>
      </c>
      <c r="I547" s="25">
        <v>102.18</v>
      </c>
      <c r="J547" s="4">
        <v>5000</v>
      </c>
      <c r="K547" t="s">
        <v>912</v>
      </c>
      <c r="L547" s="4" t="str">
        <f>VLOOKUP(K547, 'Items Master'!A:E,5,0)</f>
        <v>RIL</v>
      </c>
      <c r="M547" s="4" t="str">
        <f>VLOOKUP(K547, 'Items Master'!A:D,4,0)</f>
        <v>PP</v>
      </c>
      <c r="N547" s="4" t="s">
        <v>49</v>
      </c>
      <c r="Q547" s="6">
        <v>45842</v>
      </c>
      <c r="R547" s="6" t="str">
        <f>TEXT(Q547, "MMM-YY")</f>
        <v>Jul-25</v>
      </c>
      <c r="X547" s="25">
        <v>103.29</v>
      </c>
      <c r="Y547" s="25" t="s">
        <v>1303</v>
      </c>
      <c r="Z547" s="25" t="s">
        <v>1305</v>
      </c>
      <c r="AB547"/>
      <c r="AC547"/>
      <c r="AD547"/>
      <c r="AE547"/>
      <c r="AF547"/>
      <c r="AG547"/>
      <c r="AH547"/>
      <c r="AI547"/>
      <c r="AJ547"/>
      <c r="AK547"/>
      <c r="AL547"/>
      <c r="AM547"/>
      <c r="AN547" s="9">
        <f t="shared" si="17"/>
        <v>0</v>
      </c>
      <c r="AO547" s="8"/>
      <c r="AP547" s="9">
        <f>I547-W547-X547-AN547</f>
        <v>-1.1099999999999994</v>
      </c>
      <c r="AQ547" t="s">
        <v>1324</v>
      </c>
    </row>
    <row r="548" spans="1:43" x14ac:dyDescent="0.3">
      <c r="A548" s="11">
        <f t="shared" si="18"/>
        <v>546</v>
      </c>
      <c r="B548" s="5" t="s">
        <v>1675</v>
      </c>
      <c r="C548" t="s">
        <v>894</v>
      </c>
      <c r="D548" s="24" t="s">
        <v>847</v>
      </c>
      <c r="E548" s="24" t="str">
        <f>IFERROR(VLOOKUP(D548,Dropdown!A:B,2,0),D548)</f>
        <v>K V N IMPEX PVT LTD</v>
      </c>
      <c r="F548" s="6">
        <v>45842</v>
      </c>
      <c r="G548" s="6" t="str">
        <f>TEXT(F548, "MMM-YY")</f>
        <v>Jul-25</v>
      </c>
      <c r="H548" t="s">
        <v>526</v>
      </c>
      <c r="I548" s="25">
        <v>98</v>
      </c>
      <c r="J548" s="4">
        <v>16000</v>
      </c>
      <c r="K548" t="s">
        <v>933</v>
      </c>
      <c r="L548" s="4" t="str">
        <f>VLOOKUP(K548, 'Items Master'!A:E,5,0)</f>
        <v>BOROUGE</v>
      </c>
      <c r="M548" s="4" t="str">
        <f>VLOOKUP(K548, 'Items Master'!A:D,4,0)</f>
        <v>PP</v>
      </c>
      <c r="N548" s="4" t="s">
        <v>24</v>
      </c>
      <c r="Q548" s="6">
        <v>45842</v>
      </c>
      <c r="R548" s="6" t="str">
        <f>TEXT(Q548, "MMM-YY")</f>
        <v>Jul-25</v>
      </c>
      <c r="W548" s="25">
        <v>98</v>
      </c>
      <c r="Y548"/>
      <c r="Z548"/>
      <c r="AB548"/>
      <c r="AC548"/>
      <c r="AD548"/>
      <c r="AE548"/>
      <c r="AF548"/>
      <c r="AG548"/>
      <c r="AH548"/>
      <c r="AI548"/>
      <c r="AJ548"/>
      <c r="AK548"/>
      <c r="AL548"/>
      <c r="AM548"/>
      <c r="AN548" s="9">
        <f t="shared" si="17"/>
        <v>0</v>
      </c>
      <c r="AO548" s="8"/>
      <c r="AP548" s="9">
        <f>I548-W548-X548-AN548</f>
        <v>0</v>
      </c>
      <c r="AQ548" t="s">
        <v>1316</v>
      </c>
    </row>
    <row r="549" spans="1:43" x14ac:dyDescent="0.3">
      <c r="A549" s="11">
        <f t="shared" si="18"/>
        <v>547</v>
      </c>
      <c r="B549" s="5" t="s">
        <v>1675</v>
      </c>
      <c r="C549" t="s">
        <v>894</v>
      </c>
      <c r="D549" s="24" t="s">
        <v>879</v>
      </c>
      <c r="E549" s="24" t="str">
        <f>IFERROR(VLOOKUP(D549,Dropdown!A:B,2,0),D549)</f>
        <v>RAM-NATH AND COMPANY PRIVATE LIMITED</v>
      </c>
      <c r="F549" s="6">
        <v>45842</v>
      </c>
      <c r="G549" s="6" t="str">
        <f>TEXT(F549, "MMM-YY")</f>
        <v>Jul-25</v>
      </c>
      <c r="H549" t="s">
        <v>527</v>
      </c>
      <c r="I549" s="25">
        <v>69.5</v>
      </c>
      <c r="J549" s="4">
        <v>12000</v>
      </c>
      <c r="K549" t="s">
        <v>936</v>
      </c>
      <c r="L549" s="4" t="str">
        <f>VLOOKUP(K549, 'Items Master'!A:E,5,0)</f>
        <v>FORMOSA</v>
      </c>
      <c r="M549" s="4" t="str">
        <f>VLOOKUP(K549, 'Items Master'!A:D,4,0)</f>
        <v>PVC</v>
      </c>
      <c r="N549" s="4" t="s">
        <v>24</v>
      </c>
      <c r="Q549" s="6">
        <v>45842</v>
      </c>
      <c r="R549" s="6" t="str">
        <f>TEXT(Q549, "MMM-YY")</f>
        <v>Jul-25</v>
      </c>
      <c r="W549" s="25">
        <v>69.5</v>
      </c>
      <c r="Y549"/>
      <c r="Z549"/>
      <c r="AB549"/>
      <c r="AC549"/>
      <c r="AD549"/>
      <c r="AE549"/>
      <c r="AF549"/>
      <c r="AG549"/>
      <c r="AH549"/>
      <c r="AI549"/>
      <c r="AJ549"/>
      <c r="AK549"/>
      <c r="AL549"/>
      <c r="AM549"/>
      <c r="AN549" s="9">
        <f t="shared" si="17"/>
        <v>0</v>
      </c>
      <c r="AO549" s="8"/>
      <c r="AP549" s="9">
        <f>I549-W549-X549-AN549</f>
        <v>0</v>
      </c>
      <c r="AQ549" t="s">
        <v>1316</v>
      </c>
    </row>
    <row r="550" spans="1:43" x14ac:dyDescent="0.3">
      <c r="A550" s="11">
        <f t="shared" si="18"/>
        <v>548</v>
      </c>
      <c r="B550" s="5" t="s">
        <v>1675</v>
      </c>
      <c r="C550" t="s">
        <v>893</v>
      </c>
      <c r="D550" s="24" t="s">
        <v>858</v>
      </c>
      <c r="E550" s="24" t="str">
        <f>IFERROR(VLOOKUP(D550,Dropdown!A:B,2,0),D550)</f>
        <v>PRISHA POLYTECH LLP</v>
      </c>
      <c r="F550" s="6">
        <v>45842</v>
      </c>
      <c r="G550" s="6" t="str">
        <f>TEXT(F550, "MMM-YY")</f>
        <v>Jul-25</v>
      </c>
      <c r="H550" t="s">
        <v>528</v>
      </c>
      <c r="I550" s="25">
        <v>96.6</v>
      </c>
      <c r="J550" s="4">
        <v>5000</v>
      </c>
      <c r="K550" t="s">
        <v>905</v>
      </c>
      <c r="L550" s="4" t="str">
        <f>VLOOKUP(K550, 'Items Master'!A:E,5,0)</f>
        <v>SINOPEC</v>
      </c>
      <c r="M550" s="4" t="str">
        <f>VLOOKUP(K550, 'Items Master'!A:D,4,0)</f>
        <v>PP</v>
      </c>
      <c r="N550" s="4" t="s">
        <v>24</v>
      </c>
      <c r="Q550" s="6">
        <v>45842</v>
      </c>
      <c r="R550" s="6" t="str">
        <f>TEXT(Q550, "MMM-YY")</f>
        <v>Jul-25</v>
      </c>
      <c r="W550" s="25">
        <v>96.6</v>
      </c>
      <c r="Y550"/>
      <c r="Z550"/>
      <c r="AB550"/>
      <c r="AC550"/>
      <c r="AD550"/>
      <c r="AE550"/>
      <c r="AF550"/>
      <c r="AG550"/>
      <c r="AH550"/>
      <c r="AI550"/>
      <c r="AJ550"/>
      <c r="AK550"/>
      <c r="AL550"/>
      <c r="AM550"/>
      <c r="AN550" s="9">
        <f t="shared" si="17"/>
        <v>0</v>
      </c>
      <c r="AO550" s="8"/>
      <c r="AP550" s="9">
        <f>I550-W550-X550-AN550</f>
        <v>0</v>
      </c>
      <c r="AQ550" t="s">
        <v>1316</v>
      </c>
    </row>
    <row r="551" spans="1:43" x14ac:dyDescent="0.3">
      <c r="A551" s="11">
        <f t="shared" si="18"/>
        <v>549</v>
      </c>
      <c r="B551" s="5" t="s">
        <v>1675</v>
      </c>
      <c r="C551" t="s">
        <v>894</v>
      </c>
      <c r="D551" s="24" t="s">
        <v>855</v>
      </c>
      <c r="E551" s="24" t="str">
        <f>IFERROR(VLOOKUP(D551,Dropdown!A:B,2,0),D551)</f>
        <v>TEGRAL INDIA PRIVATE LIMITED</v>
      </c>
      <c r="F551" s="6">
        <v>45842</v>
      </c>
      <c r="G551" s="6" t="str">
        <f>TEXT(F551, "MMM-YY")</f>
        <v>Jul-25</v>
      </c>
      <c r="H551" t="s">
        <v>529</v>
      </c>
      <c r="I551" s="25">
        <v>99.11</v>
      </c>
      <c r="J551" s="4">
        <v>16000</v>
      </c>
      <c r="K551" t="s">
        <v>909</v>
      </c>
      <c r="L551" s="4" t="str">
        <f>VLOOKUP(K551, 'Items Master'!A:E,5,0)</f>
        <v>LUBAN</v>
      </c>
      <c r="M551" s="4" t="str">
        <f>VLOOKUP(K551, 'Items Master'!A:D,4,0)</f>
        <v>HDPE</v>
      </c>
      <c r="N551" s="4" t="s">
        <v>24</v>
      </c>
      <c r="Q551" s="6">
        <v>45842</v>
      </c>
      <c r="R551" s="6" t="str">
        <f>TEXT(Q551, "MMM-YY")</f>
        <v>Jul-25</v>
      </c>
      <c r="W551" s="25">
        <v>99.11</v>
      </c>
      <c r="Y551"/>
      <c r="Z551"/>
      <c r="AB551"/>
      <c r="AC551"/>
      <c r="AD551"/>
      <c r="AE551"/>
      <c r="AF551"/>
      <c r="AG551"/>
      <c r="AH551"/>
      <c r="AI551"/>
      <c r="AJ551"/>
      <c r="AK551"/>
      <c r="AL551"/>
      <c r="AM551"/>
      <c r="AN551" s="9">
        <f t="shared" si="17"/>
        <v>0</v>
      </c>
      <c r="AO551" s="8"/>
      <c r="AP551" s="9">
        <f>I551-W551-X551-AN551</f>
        <v>0</v>
      </c>
      <c r="AQ551" t="s">
        <v>1316</v>
      </c>
    </row>
    <row r="552" spans="1:43" x14ac:dyDescent="0.3">
      <c r="A552" s="11">
        <f t="shared" si="18"/>
        <v>550</v>
      </c>
      <c r="B552" s="5" t="s">
        <v>1675</v>
      </c>
      <c r="C552" t="s">
        <v>893</v>
      </c>
      <c r="D552" s="24" t="s">
        <v>824</v>
      </c>
      <c r="E552" s="24" t="str">
        <f>IFERROR(VLOOKUP(D552,Dropdown!A:B,2,0),D552)</f>
        <v>Paragon</v>
      </c>
      <c r="F552" s="6">
        <v>45843</v>
      </c>
      <c r="G552" s="6" t="str">
        <f>TEXT(F552, "MMM-YY")</f>
        <v>Jul-25</v>
      </c>
      <c r="H552" t="s">
        <v>530</v>
      </c>
      <c r="I552" s="25">
        <v>110.38</v>
      </c>
      <c r="J552" s="4">
        <v>750</v>
      </c>
      <c r="K552" t="s">
        <v>934</v>
      </c>
      <c r="L552" s="4" t="str">
        <f>VLOOKUP(K552, 'Items Master'!A:E,5,0)</f>
        <v>RIL</v>
      </c>
      <c r="M552" s="4" t="str">
        <f>VLOOKUP(K552, 'Items Master'!A:D,4,0)</f>
        <v>PP RCP</v>
      </c>
      <c r="N552" s="4" t="s">
        <v>49</v>
      </c>
      <c r="Q552" s="6">
        <v>45843</v>
      </c>
      <c r="R552" s="6" t="str">
        <f>TEXT(Q552, "MMM-YY")</f>
        <v>Jul-25</v>
      </c>
      <c r="X552" s="25">
        <v>110.38</v>
      </c>
      <c r="AB552"/>
      <c r="AC552"/>
      <c r="AD552"/>
      <c r="AE552"/>
      <c r="AF552"/>
      <c r="AG552"/>
      <c r="AH552"/>
      <c r="AI552"/>
      <c r="AJ552"/>
      <c r="AK552"/>
      <c r="AL552"/>
      <c r="AM552"/>
      <c r="AN552" s="9">
        <f t="shared" si="17"/>
        <v>0</v>
      </c>
      <c r="AO552" s="8"/>
      <c r="AP552" s="9">
        <f>I552-W552-X552-AN552</f>
        <v>0</v>
      </c>
      <c r="AQ552" t="s">
        <v>1324</v>
      </c>
    </row>
    <row r="553" spans="1:43" x14ac:dyDescent="0.3">
      <c r="A553" s="11">
        <f t="shared" si="18"/>
        <v>551</v>
      </c>
      <c r="B553" s="5" t="s">
        <v>1675</v>
      </c>
      <c r="C553" t="s">
        <v>893</v>
      </c>
      <c r="D553" s="24" t="s">
        <v>824</v>
      </c>
      <c r="E553" s="24" t="str">
        <f>IFERROR(VLOOKUP(D553,Dropdown!A:B,2,0),D553)</f>
        <v>Paragon</v>
      </c>
      <c r="F553" s="6">
        <v>45843</v>
      </c>
      <c r="G553" s="6" t="str">
        <f>TEXT(F553, "MMM-YY")</f>
        <v>Jul-25</v>
      </c>
      <c r="H553" t="s">
        <v>530</v>
      </c>
      <c r="I553" s="25">
        <v>101.08</v>
      </c>
      <c r="J553" s="4">
        <v>750</v>
      </c>
      <c r="K553" t="s">
        <v>992</v>
      </c>
      <c r="L553" s="4" t="str">
        <f>VLOOKUP(K553, 'Items Master'!A:E,5,0)</f>
        <v>RIL</v>
      </c>
      <c r="M553" s="4" t="str">
        <f>VLOOKUP(K553, 'Items Master'!A:D,4,0)</f>
        <v>PP</v>
      </c>
      <c r="N553" s="4" t="s">
        <v>49</v>
      </c>
      <c r="Q553" s="6">
        <v>45843</v>
      </c>
      <c r="R553" s="6" t="str">
        <f>TEXT(Q553, "MMM-YY")</f>
        <v>Jul-25</v>
      </c>
      <c r="X553" s="25">
        <v>101.08</v>
      </c>
      <c r="AB553"/>
      <c r="AC553"/>
      <c r="AD553"/>
      <c r="AE553"/>
      <c r="AF553"/>
      <c r="AG553"/>
      <c r="AH553"/>
      <c r="AI553"/>
      <c r="AJ553"/>
      <c r="AK553"/>
      <c r="AL553"/>
      <c r="AM553"/>
      <c r="AN553" s="9">
        <f t="shared" si="17"/>
        <v>0</v>
      </c>
      <c r="AO553" s="8"/>
      <c r="AP553" s="9">
        <f>I553-W553-X553-AN553</f>
        <v>0</v>
      </c>
      <c r="AQ553" t="s">
        <v>1324</v>
      </c>
    </row>
    <row r="554" spans="1:43" x14ac:dyDescent="0.3">
      <c r="A554" s="11">
        <f t="shared" si="18"/>
        <v>552</v>
      </c>
      <c r="B554" s="5" t="s">
        <v>1675</v>
      </c>
      <c r="C554" t="s">
        <v>893</v>
      </c>
      <c r="D554" s="24" t="s">
        <v>48</v>
      </c>
      <c r="E554" s="24" t="str">
        <f>IFERROR(VLOOKUP(D554,Dropdown!A:B,2,0),D554)</f>
        <v>CVPL</v>
      </c>
      <c r="F554" s="6">
        <v>45843</v>
      </c>
      <c r="G554" s="6" t="str">
        <f>TEXT(F554, "MMM-YY")</f>
        <v>Jul-25</v>
      </c>
      <c r="H554" t="s">
        <v>531</v>
      </c>
      <c r="I554" s="25">
        <v>108</v>
      </c>
      <c r="J554" s="4">
        <v>2500</v>
      </c>
      <c r="K554" t="s">
        <v>993</v>
      </c>
      <c r="L554" s="4" t="str">
        <f>VLOOKUP(K554, 'Items Master'!A:E,5,0)</f>
        <v>HMEL</v>
      </c>
      <c r="M554" s="4" t="str">
        <f>VLOOKUP(K554, 'Items Master'!A:D,4,0)</f>
        <v>LLDPE</v>
      </c>
      <c r="N554" s="4" t="s">
        <v>24</v>
      </c>
      <c r="Q554" s="6">
        <v>45843</v>
      </c>
      <c r="R554" s="6" t="str">
        <f>TEXT(Q554, "MMM-YY")</f>
        <v>Jul-25</v>
      </c>
      <c r="W554" s="25">
        <v>108</v>
      </c>
      <c r="AB554"/>
      <c r="AC554"/>
      <c r="AD554"/>
      <c r="AE554"/>
      <c r="AF554"/>
      <c r="AG554"/>
      <c r="AH554"/>
      <c r="AI554"/>
      <c r="AJ554"/>
      <c r="AK554"/>
      <c r="AL554"/>
      <c r="AM554"/>
      <c r="AN554" s="9">
        <f t="shared" si="17"/>
        <v>0</v>
      </c>
      <c r="AO554" s="8"/>
      <c r="AP554" s="9">
        <f>I554-W554-X554-AN554</f>
        <v>0</v>
      </c>
      <c r="AQ554" t="s">
        <v>1316</v>
      </c>
    </row>
    <row r="555" spans="1:43" x14ac:dyDescent="0.3">
      <c r="A555" s="11">
        <f t="shared" si="18"/>
        <v>553</v>
      </c>
      <c r="B555" s="5" t="s">
        <v>1675</v>
      </c>
      <c r="C555" t="s">
        <v>893</v>
      </c>
      <c r="D555" s="24" t="s">
        <v>48</v>
      </c>
      <c r="E555" s="24" t="str">
        <f>IFERROR(VLOOKUP(D555,Dropdown!A:B,2,0),D555)</f>
        <v>CVPL</v>
      </c>
      <c r="F555" s="6">
        <v>45843</v>
      </c>
      <c r="G555" s="6" t="str">
        <f>TEXT(F555, "MMM-YY")</f>
        <v>Jul-25</v>
      </c>
      <c r="H555" t="s">
        <v>532</v>
      </c>
      <c r="I555" s="25">
        <v>99.99</v>
      </c>
      <c r="J555" s="4">
        <v>2500</v>
      </c>
      <c r="K555" t="s">
        <v>911</v>
      </c>
      <c r="L555" s="4" t="str">
        <f>VLOOKUP(K555, 'Items Master'!A:E,5,0)</f>
        <v>BCPL</v>
      </c>
      <c r="M555" s="4" t="str">
        <f>VLOOKUP(K555, 'Items Master'!A:D,4,0)</f>
        <v>LLDPE</v>
      </c>
      <c r="N555" s="4" t="s">
        <v>49</v>
      </c>
      <c r="Q555" s="6">
        <v>45843</v>
      </c>
      <c r="R555" s="6" t="str">
        <f>TEXT(Q555, "MMM-YY")</f>
        <v>Jul-25</v>
      </c>
      <c r="AB555"/>
      <c r="AC555"/>
      <c r="AD555"/>
      <c r="AE555"/>
      <c r="AF555"/>
      <c r="AG555"/>
      <c r="AH555"/>
      <c r="AI555"/>
      <c r="AJ555"/>
      <c r="AK555"/>
      <c r="AL555"/>
      <c r="AM555"/>
      <c r="AN555" s="9">
        <f t="shared" si="17"/>
        <v>0</v>
      </c>
      <c r="AO555" s="8"/>
      <c r="AP555" s="9">
        <f>I555-W555-X555-AN555</f>
        <v>99.99</v>
      </c>
      <c r="AQ555" t="s">
        <v>1324</v>
      </c>
    </row>
    <row r="556" spans="1:43" x14ac:dyDescent="0.3">
      <c r="A556" s="11">
        <f t="shared" si="18"/>
        <v>554</v>
      </c>
      <c r="B556" s="5" t="s">
        <v>1675</v>
      </c>
      <c r="C556" t="s">
        <v>893</v>
      </c>
      <c r="D556" s="24" t="s">
        <v>48</v>
      </c>
      <c r="E556" s="24" t="str">
        <f>IFERROR(VLOOKUP(D556,Dropdown!A:B,2,0),D556)</f>
        <v>CVPL</v>
      </c>
      <c r="F556" s="6">
        <v>45843</v>
      </c>
      <c r="G556" s="6" t="str">
        <f>TEXT(F556, "MMM-YY")</f>
        <v>Jul-25</v>
      </c>
      <c r="H556" t="s">
        <v>533</v>
      </c>
      <c r="I556" s="25">
        <v>98.49</v>
      </c>
      <c r="J556" s="4">
        <v>10000</v>
      </c>
      <c r="K556" t="s">
        <v>903</v>
      </c>
      <c r="L556" s="4" t="str">
        <f>VLOOKUP(K556, 'Items Master'!A:E,5,0)</f>
        <v>GAIL</v>
      </c>
      <c r="M556" s="4" t="str">
        <f>VLOOKUP(K556, 'Items Master'!A:D,4,0)</f>
        <v>LLDPE</v>
      </c>
      <c r="N556" s="4" t="s">
        <v>49</v>
      </c>
      <c r="Q556" s="6">
        <v>45838</v>
      </c>
      <c r="R556" s="6" t="str">
        <f>TEXT(Q556, "MMM-YY")</f>
        <v>Jun-25</v>
      </c>
      <c r="AB556"/>
      <c r="AC556"/>
      <c r="AD556"/>
      <c r="AE556"/>
      <c r="AF556"/>
      <c r="AG556"/>
      <c r="AH556"/>
      <c r="AI556"/>
      <c r="AJ556"/>
      <c r="AK556"/>
      <c r="AL556"/>
      <c r="AM556"/>
      <c r="AN556" s="9">
        <f t="shared" si="17"/>
        <v>0</v>
      </c>
      <c r="AO556" s="8"/>
      <c r="AP556" s="9">
        <f>I556-W556-X556-AN556</f>
        <v>98.49</v>
      </c>
      <c r="AQ556" t="s">
        <v>1324</v>
      </c>
    </row>
    <row r="557" spans="1:43" x14ac:dyDescent="0.3">
      <c r="A557" s="11">
        <f t="shared" si="18"/>
        <v>555</v>
      </c>
      <c r="B557" s="5" t="s">
        <v>1675</v>
      </c>
      <c r="C557" t="s">
        <v>893</v>
      </c>
      <c r="D557" s="24" t="s">
        <v>824</v>
      </c>
      <c r="E557" s="24" t="str">
        <f>IFERROR(VLOOKUP(D557,Dropdown!A:B,2,0),D557)</f>
        <v>Paragon</v>
      </c>
      <c r="F557" s="6">
        <v>45845</v>
      </c>
      <c r="G557" s="6" t="str">
        <f>TEXT(F557, "MMM-YY")</f>
        <v>Jul-25</v>
      </c>
      <c r="H557" t="s">
        <v>534</v>
      </c>
      <c r="I557" s="25">
        <v>118.77</v>
      </c>
      <c r="J557" s="4">
        <v>2500</v>
      </c>
      <c r="K557" t="s">
        <v>895</v>
      </c>
      <c r="L557" s="4" t="str">
        <f>VLOOKUP(K557, 'Items Master'!A:E,5,0)</f>
        <v>RIL</v>
      </c>
      <c r="M557" s="4" t="str">
        <f>VLOOKUP(K557, 'Items Master'!A:D,4,0)</f>
        <v>LDPE</v>
      </c>
      <c r="N557" s="4" t="s">
        <v>24</v>
      </c>
      <c r="Q557" s="6">
        <v>45845</v>
      </c>
      <c r="R557" s="6" t="str">
        <f>TEXT(Q557, "MMM-YY")</f>
        <v>Jul-25</v>
      </c>
      <c r="W557" s="25">
        <v>118.77</v>
      </c>
      <c r="Y557"/>
      <c r="Z557"/>
      <c r="AB557"/>
      <c r="AC557"/>
      <c r="AD557"/>
      <c r="AE557"/>
      <c r="AF557"/>
      <c r="AG557"/>
      <c r="AH557"/>
      <c r="AI557"/>
      <c r="AJ557"/>
      <c r="AK557"/>
      <c r="AL557"/>
      <c r="AM557"/>
      <c r="AN557" s="9">
        <f t="shared" si="17"/>
        <v>0</v>
      </c>
      <c r="AO557" s="8"/>
      <c r="AP557" s="9">
        <f>I557-W557-X557-AN557</f>
        <v>0</v>
      </c>
      <c r="AQ557" t="s">
        <v>1316</v>
      </c>
    </row>
    <row r="558" spans="1:43" x14ac:dyDescent="0.3">
      <c r="A558" s="11">
        <f t="shared" si="18"/>
        <v>556</v>
      </c>
      <c r="B558" s="5" t="s">
        <v>1675</v>
      </c>
      <c r="C558" t="s">
        <v>893</v>
      </c>
      <c r="D558" s="24" t="s">
        <v>857</v>
      </c>
      <c r="E558" s="24" t="str">
        <f>IFERROR(VLOOKUP(D558,Dropdown!A:B,2,0),D558)</f>
        <v>Purav</v>
      </c>
      <c r="F558" s="6">
        <v>45845</v>
      </c>
      <c r="G558" s="6" t="str">
        <f>TEXT(F558, "MMM-YY")</f>
        <v>Jul-25</v>
      </c>
      <c r="H558" t="s">
        <v>535</v>
      </c>
      <c r="I558" s="25">
        <v>96.5</v>
      </c>
      <c r="J558" s="4">
        <v>12000</v>
      </c>
      <c r="K558" t="s">
        <v>935</v>
      </c>
      <c r="L558" s="4" t="str">
        <f>VLOOKUP(K558, 'Items Master'!A:E,5,0)</f>
        <v>OPAL</v>
      </c>
      <c r="M558" s="4" t="str">
        <f>VLOOKUP(K558, 'Items Master'!A:D,4,0)</f>
        <v>HDPE</v>
      </c>
      <c r="N558" s="4" t="s">
        <v>49</v>
      </c>
      <c r="O558" t="s">
        <v>1298</v>
      </c>
      <c r="Q558" s="6">
        <v>45845</v>
      </c>
      <c r="R558" s="6" t="str">
        <f>TEXT(Q558, "MMM-YY")</f>
        <v>Jul-25</v>
      </c>
      <c r="U558" t="s">
        <v>1605</v>
      </c>
      <c r="X558" s="25">
        <v>97.28</v>
      </c>
      <c r="AB558" s="8">
        <v>-0.9</v>
      </c>
      <c r="AH558" s="8">
        <v>0.1</v>
      </c>
      <c r="AK558" s="8">
        <v>0.02</v>
      </c>
      <c r="AN558" s="9">
        <f t="shared" si="17"/>
        <v>-0.78</v>
      </c>
      <c r="AO558" s="8"/>
      <c r="AP558" s="9">
        <f>I558-W558-X558-AN558</f>
        <v>-1.1102230246251565E-15</v>
      </c>
      <c r="AQ558" t="s">
        <v>1316</v>
      </c>
    </row>
    <row r="559" spans="1:43" x14ac:dyDescent="0.3">
      <c r="A559" s="11">
        <f t="shared" si="18"/>
        <v>557</v>
      </c>
      <c r="B559" s="5" t="s">
        <v>1675</v>
      </c>
      <c r="C559" t="s">
        <v>893</v>
      </c>
      <c r="D559" s="24" t="s">
        <v>48</v>
      </c>
      <c r="E559" s="24" t="str">
        <f>IFERROR(VLOOKUP(D559,Dropdown!A:B,2,0),D559)</f>
        <v>CVPL</v>
      </c>
      <c r="F559" s="6">
        <v>45845</v>
      </c>
      <c r="G559" s="6" t="str">
        <f>TEXT(F559, "MMM-YY")</f>
        <v>Jul-25</v>
      </c>
      <c r="H559" t="s">
        <v>536</v>
      </c>
      <c r="I559" s="25">
        <v>99.19</v>
      </c>
      <c r="J559" s="4">
        <v>2000</v>
      </c>
      <c r="K559" t="s">
        <v>974</v>
      </c>
      <c r="L559" s="4" t="str">
        <f>VLOOKUP(K559, 'Items Master'!A:E,5,0)</f>
        <v>GAIL</v>
      </c>
      <c r="M559" s="4" t="str">
        <f>VLOOKUP(K559, 'Items Master'!A:D,4,0)</f>
        <v>LLDPE</v>
      </c>
      <c r="N559" s="4" t="s">
        <v>49</v>
      </c>
      <c r="Q559" s="6">
        <v>45838</v>
      </c>
      <c r="R559" s="6" t="str">
        <f>TEXT(Q559, "MMM-YY")</f>
        <v>Jun-25</v>
      </c>
      <c r="AB559"/>
      <c r="AC559"/>
      <c r="AD559"/>
      <c r="AE559"/>
      <c r="AF559"/>
      <c r="AG559"/>
      <c r="AH559"/>
      <c r="AI559"/>
      <c r="AJ559"/>
      <c r="AK559"/>
      <c r="AL559"/>
      <c r="AM559"/>
      <c r="AN559" s="9">
        <f t="shared" si="17"/>
        <v>0</v>
      </c>
      <c r="AO559" s="8"/>
      <c r="AP559" s="9">
        <f>I559-W559-X559-AN559</f>
        <v>99.19</v>
      </c>
      <c r="AQ559" t="s">
        <v>1324</v>
      </c>
    </row>
    <row r="560" spans="1:43" x14ac:dyDescent="0.3">
      <c r="A560" s="11">
        <f t="shared" si="18"/>
        <v>558</v>
      </c>
      <c r="B560" s="5" t="s">
        <v>1675</v>
      </c>
      <c r="C560" t="s">
        <v>894</v>
      </c>
      <c r="D560" s="24" t="s">
        <v>860</v>
      </c>
      <c r="E560" s="24" t="str">
        <f>IFERROR(VLOOKUP(D560,Dropdown!A:B,2,0),D560)</f>
        <v>VINAY PLASTICS</v>
      </c>
      <c r="F560" s="6">
        <v>45845</v>
      </c>
      <c r="G560" s="6" t="str">
        <f>TEXT(F560, "MMM-YY")</f>
        <v>Jul-25</v>
      </c>
      <c r="H560" t="s">
        <v>537</v>
      </c>
      <c r="I560" s="25">
        <v>96</v>
      </c>
      <c r="J560" s="4">
        <v>16000</v>
      </c>
      <c r="K560" t="s">
        <v>915</v>
      </c>
      <c r="L560" s="4" t="str">
        <f>VLOOKUP(K560, 'Items Master'!A:E,5,0)</f>
        <v>RIL</v>
      </c>
      <c r="M560" s="4" t="str">
        <f>VLOOKUP(K560, 'Items Master'!A:D,4,0)</f>
        <v>LLDPE</v>
      </c>
      <c r="N560" s="4" t="s">
        <v>24</v>
      </c>
      <c r="Q560" s="6">
        <v>45845</v>
      </c>
      <c r="R560" s="6" t="str">
        <f>TEXT(Q560, "MMM-YY")</f>
        <v>Jul-25</v>
      </c>
      <c r="W560" s="25">
        <v>96</v>
      </c>
      <c r="Y560"/>
      <c r="Z560"/>
      <c r="AB560"/>
      <c r="AC560"/>
      <c r="AD560"/>
      <c r="AE560"/>
      <c r="AF560"/>
      <c r="AG560"/>
      <c r="AH560"/>
      <c r="AI560"/>
      <c r="AJ560"/>
      <c r="AK560"/>
      <c r="AL560"/>
      <c r="AM560"/>
      <c r="AN560" s="9">
        <f t="shared" si="17"/>
        <v>0</v>
      </c>
      <c r="AO560" s="8"/>
      <c r="AP560" s="9">
        <f>I560-W560-X560-AN560</f>
        <v>0</v>
      </c>
      <c r="AQ560" t="s">
        <v>1316</v>
      </c>
    </row>
    <row r="561" spans="1:43" x14ac:dyDescent="0.3">
      <c r="A561" s="11">
        <f t="shared" si="18"/>
        <v>559</v>
      </c>
      <c r="B561" s="5" t="s">
        <v>1675</v>
      </c>
      <c r="C561" t="s">
        <v>893</v>
      </c>
      <c r="D561" s="24" t="s">
        <v>48</v>
      </c>
      <c r="E561" s="24" t="str">
        <f>IFERROR(VLOOKUP(D561,Dropdown!A:B,2,0),D561)</f>
        <v>CVPL</v>
      </c>
      <c r="F561" s="6">
        <v>45845</v>
      </c>
      <c r="G561" s="6" t="str">
        <f>TEXT(F561, "MMM-YY")</f>
        <v>Jul-25</v>
      </c>
      <c r="H561" t="s">
        <v>538</v>
      </c>
      <c r="I561" s="25">
        <v>99.19</v>
      </c>
      <c r="J561" s="4">
        <v>2500</v>
      </c>
      <c r="K561" t="s">
        <v>974</v>
      </c>
      <c r="L561" s="4" t="str">
        <f>VLOOKUP(K561, 'Items Master'!A:E,5,0)</f>
        <v>GAIL</v>
      </c>
      <c r="M561" s="4" t="str">
        <f>VLOOKUP(K561, 'Items Master'!A:D,4,0)</f>
        <v>LLDPE</v>
      </c>
      <c r="N561" s="4" t="s">
        <v>49</v>
      </c>
      <c r="Q561" s="6">
        <v>45838</v>
      </c>
      <c r="R561" s="6" t="str">
        <f>TEXT(Q561, "MMM-YY")</f>
        <v>Jun-25</v>
      </c>
      <c r="AB561"/>
      <c r="AC561"/>
      <c r="AD561"/>
      <c r="AE561"/>
      <c r="AF561"/>
      <c r="AG561"/>
      <c r="AH561"/>
      <c r="AI561"/>
      <c r="AJ561"/>
      <c r="AK561"/>
      <c r="AL561"/>
      <c r="AM561"/>
      <c r="AN561" s="9">
        <f t="shared" si="17"/>
        <v>0</v>
      </c>
      <c r="AO561" s="8"/>
      <c r="AP561" s="9">
        <f>I561-W561-X561-AN561</f>
        <v>99.19</v>
      </c>
      <c r="AQ561" t="s">
        <v>1324</v>
      </c>
    </row>
    <row r="562" spans="1:43" x14ac:dyDescent="0.3">
      <c r="A562" s="11">
        <f t="shared" si="18"/>
        <v>560</v>
      </c>
      <c r="B562" s="5" t="s">
        <v>1675</v>
      </c>
      <c r="C562" t="s">
        <v>893</v>
      </c>
      <c r="D562" s="24" t="s">
        <v>872</v>
      </c>
      <c r="E562" s="24" t="str">
        <f>IFERROR(VLOOKUP(D562,Dropdown!A:B,2,0),D562)</f>
        <v>Value</v>
      </c>
      <c r="F562" s="6">
        <v>45846</v>
      </c>
      <c r="G562" s="6" t="str">
        <f>TEXT(F562, "MMM-YY")</f>
        <v>Jul-25</v>
      </c>
      <c r="H562" t="s">
        <v>539</v>
      </c>
      <c r="I562" s="25">
        <v>118.77</v>
      </c>
      <c r="J562" s="4">
        <v>10000</v>
      </c>
      <c r="K562" t="s">
        <v>895</v>
      </c>
      <c r="L562" s="4" t="str">
        <f>VLOOKUP(K562, 'Items Master'!A:E,5,0)</f>
        <v>RIL</v>
      </c>
      <c r="M562" s="4" t="str">
        <f>VLOOKUP(K562, 'Items Master'!A:D,4,0)</f>
        <v>LDPE</v>
      </c>
      <c r="N562" s="4" t="s">
        <v>49</v>
      </c>
      <c r="Q562" s="6">
        <v>45846</v>
      </c>
      <c r="R562" s="6" t="str">
        <f>TEXT(Q562, "MMM-YY")</f>
        <v>Jul-25</v>
      </c>
      <c r="U562" t="s">
        <v>1605</v>
      </c>
      <c r="X562" s="25">
        <v>118.77</v>
      </c>
      <c r="Y562" s="25" t="s">
        <v>1310</v>
      </c>
      <c r="Z562" s="25" t="s">
        <v>1305</v>
      </c>
      <c r="AB562"/>
      <c r="AC562"/>
      <c r="AD562"/>
      <c r="AE562"/>
      <c r="AF562"/>
      <c r="AG562"/>
      <c r="AH562"/>
      <c r="AI562"/>
      <c r="AJ562"/>
      <c r="AK562"/>
      <c r="AL562"/>
      <c r="AM562"/>
      <c r="AN562" s="9">
        <f t="shared" si="17"/>
        <v>0</v>
      </c>
      <c r="AO562" s="8"/>
      <c r="AP562" s="9">
        <f>I562-W562-X562-AN562</f>
        <v>0</v>
      </c>
      <c r="AQ562" t="s">
        <v>1316</v>
      </c>
    </row>
    <row r="563" spans="1:43" x14ac:dyDescent="0.3">
      <c r="A563" s="11">
        <f t="shared" si="18"/>
        <v>561</v>
      </c>
      <c r="B563" s="5" t="s">
        <v>1675</v>
      </c>
      <c r="C563" t="s">
        <v>893</v>
      </c>
      <c r="D563" s="24" t="s">
        <v>857</v>
      </c>
      <c r="E563" s="24" t="str">
        <f>IFERROR(VLOOKUP(D563,Dropdown!A:B,2,0),D563)</f>
        <v>Purav</v>
      </c>
      <c r="F563" s="6">
        <v>45846</v>
      </c>
      <c r="G563" s="6" t="str">
        <f>TEXT(F563, "MMM-YY")</f>
        <v>Jul-25</v>
      </c>
      <c r="H563" t="s">
        <v>540</v>
      </c>
      <c r="I563" s="25">
        <v>98</v>
      </c>
      <c r="J563" s="4">
        <v>10000</v>
      </c>
      <c r="K563" t="s">
        <v>17</v>
      </c>
      <c r="L563" s="4" t="str">
        <f>VLOOKUP(K563, 'Items Master'!A:E,5,0)</f>
        <v>OPAL</v>
      </c>
      <c r="M563" s="4" t="str">
        <f>VLOOKUP(K563, 'Items Master'!A:D,4,0)</f>
        <v>LLDPE</v>
      </c>
      <c r="N563" s="4" t="s">
        <v>49</v>
      </c>
      <c r="O563" t="s">
        <v>1298</v>
      </c>
      <c r="Q563" s="6">
        <v>45846</v>
      </c>
      <c r="R563" s="6" t="str">
        <f>TEXT(Q563, "MMM-YY")</f>
        <v>Jul-25</v>
      </c>
      <c r="U563" t="s">
        <v>1605</v>
      </c>
      <c r="X563" s="25">
        <v>98.8</v>
      </c>
      <c r="Y563" s="25" t="s">
        <v>1303</v>
      </c>
      <c r="Z563" s="25" t="s">
        <v>1306</v>
      </c>
      <c r="AB563" s="8">
        <v>-0.9</v>
      </c>
      <c r="AH563" s="8">
        <v>0.1</v>
      </c>
      <c r="AN563" s="9">
        <f t="shared" si="17"/>
        <v>-0.8</v>
      </c>
      <c r="AO563" s="8"/>
      <c r="AP563" s="9">
        <f>I563-W563-X563-AN563</f>
        <v>2.886579864025407E-15</v>
      </c>
      <c r="AQ563" t="s">
        <v>1316</v>
      </c>
    </row>
    <row r="564" spans="1:43" x14ac:dyDescent="0.3">
      <c r="A564" s="11">
        <f t="shared" si="18"/>
        <v>562</v>
      </c>
      <c r="B564" s="5" t="s">
        <v>1675</v>
      </c>
      <c r="C564" t="s">
        <v>893</v>
      </c>
      <c r="D564" s="24" t="s">
        <v>48</v>
      </c>
      <c r="E564" s="24" t="str">
        <f>IFERROR(VLOOKUP(D564,Dropdown!A:B,2,0),D564)</f>
        <v>CVPL</v>
      </c>
      <c r="F564" s="6">
        <v>45846</v>
      </c>
      <c r="G564" s="6" t="str">
        <f>TEXT(F564, "MMM-YY")</f>
        <v>Jul-25</v>
      </c>
      <c r="H564" t="s">
        <v>541</v>
      </c>
      <c r="I564" s="25">
        <v>99.99</v>
      </c>
      <c r="J564" s="4">
        <v>3000</v>
      </c>
      <c r="K564" t="s">
        <v>903</v>
      </c>
      <c r="L564" s="4" t="str">
        <f>VLOOKUP(K564, 'Items Master'!A:E,5,0)</f>
        <v>GAIL</v>
      </c>
      <c r="M564" s="4" t="str">
        <f>VLOOKUP(K564, 'Items Master'!A:D,4,0)</f>
        <v>LLDPE</v>
      </c>
      <c r="N564" s="4" t="s">
        <v>49</v>
      </c>
      <c r="Q564" s="6">
        <v>45846</v>
      </c>
      <c r="R564" s="6" t="str">
        <f>TEXT(Q564, "MMM-YY")</f>
        <v>Jul-25</v>
      </c>
      <c r="AB564"/>
      <c r="AC564"/>
      <c r="AD564"/>
      <c r="AE564"/>
      <c r="AF564"/>
      <c r="AG564"/>
      <c r="AH564"/>
      <c r="AI564"/>
      <c r="AJ564"/>
      <c r="AK564"/>
      <c r="AL564"/>
      <c r="AM564"/>
      <c r="AN564" s="9">
        <f t="shared" si="17"/>
        <v>0</v>
      </c>
      <c r="AO564" s="8"/>
      <c r="AP564" s="9">
        <f>I564-W564-X564-AN564</f>
        <v>99.99</v>
      </c>
      <c r="AQ564" t="s">
        <v>1324</v>
      </c>
    </row>
    <row r="565" spans="1:43" x14ac:dyDescent="0.3">
      <c r="A565" s="11">
        <f t="shared" si="18"/>
        <v>563</v>
      </c>
      <c r="B565" s="5" t="s">
        <v>1675</v>
      </c>
      <c r="C565" t="s">
        <v>893</v>
      </c>
      <c r="D565" s="24" t="s">
        <v>48</v>
      </c>
      <c r="E565" s="24" t="str">
        <f>IFERROR(VLOOKUP(D565,Dropdown!A:B,2,0),D565)</f>
        <v>CVPL</v>
      </c>
      <c r="F565" s="6">
        <v>45846</v>
      </c>
      <c r="G565" s="6" t="str">
        <f>TEXT(F565, "MMM-YY")</f>
        <v>Jul-25</v>
      </c>
      <c r="H565" t="s">
        <v>542</v>
      </c>
      <c r="I565" s="25">
        <v>99.99</v>
      </c>
      <c r="J565" s="4">
        <v>2000</v>
      </c>
      <c r="K565" t="s">
        <v>903</v>
      </c>
      <c r="L565" s="4" t="str">
        <f>VLOOKUP(K565, 'Items Master'!A:E,5,0)</f>
        <v>GAIL</v>
      </c>
      <c r="M565" s="4" t="str">
        <f>VLOOKUP(K565, 'Items Master'!A:D,4,0)</f>
        <v>LLDPE</v>
      </c>
      <c r="N565" s="4" t="s">
        <v>49</v>
      </c>
      <c r="Q565" s="6">
        <v>45846</v>
      </c>
      <c r="R565" s="6" t="str">
        <f>TEXT(Q565, "MMM-YY")</f>
        <v>Jul-25</v>
      </c>
      <c r="AB565"/>
      <c r="AC565"/>
      <c r="AD565"/>
      <c r="AE565"/>
      <c r="AF565"/>
      <c r="AG565"/>
      <c r="AH565"/>
      <c r="AI565"/>
      <c r="AJ565"/>
      <c r="AK565"/>
      <c r="AL565"/>
      <c r="AM565"/>
      <c r="AN565" s="9">
        <f t="shared" si="17"/>
        <v>0</v>
      </c>
      <c r="AO565" s="8"/>
      <c r="AP565" s="9">
        <f>I565-W565-X565-AN565</f>
        <v>99.99</v>
      </c>
      <c r="AQ565" t="s">
        <v>1324</v>
      </c>
    </row>
    <row r="566" spans="1:43" x14ac:dyDescent="0.3">
      <c r="A566" s="11">
        <f t="shared" si="18"/>
        <v>564</v>
      </c>
      <c r="B566" s="5" t="s">
        <v>1675</v>
      </c>
      <c r="C566" t="s">
        <v>893</v>
      </c>
      <c r="D566" s="24" t="s">
        <v>48</v>
      </c>
      <c r="E566" s="24" t="str">
        <f>IFERROR(VLOOKUP(D566,Dropdown!A:B,2,0),D566)</f>
        <v>CVPL</v>
      </c>
      <c r="F566" s="6">
        <v>45846</v>
      </c>
      <c r="G566" s="6" t="str">
        <f>TEXT(F566, "MMM-YY")</f>
        <v>Jul-25</v>
      </c>
      <c r="H566" t="s">
        <v>543</v>
      </c>
      <c r="I566" s="25">
        <v>99.19</v>
      </c>
      <c r="J566" s="4">
        <v>500</v>
      </c>
      <c r="K566" t="s">
        <v>974</v>
      </c>
      <c r="L566" s="4" t="str">
        <f>VLOOKUP(K566, 'Items Master'!A:E,5,0)</f>
        <v>GAIL</v>
      </c>
      <c r="M566" s="4" t="str">
        <f>VLOOKUP(K566, 'Items Master'!A:D,4,0)</f>
        <v>LLDPE</v>
      </c>
      <c r="N566" s="4" t="s">
        <v>49</v>
      </c>
      <c r="Q566" s="6">
        <v>45838</v>
      </c>
      <c r="R566" s="6" t="str">
        <f>TEXT(Q566, "MMM-YY")</f>
        <v>Jun-25</v>
      </c>
      <c r="AB566"/>
      <c r="AC566"/>
      <c r="AD566"/>
      <c r="AE566"/>
      <c r="AF566"/>
      <c r="AG566"/>
      <c r="AH566"/>
      <c r="AI566"/>
      <c r="AJ566"/>
      <c r="AK566"/>
      <c r="AL566"/>
      <c r="AM566"/>
      <c r="AN566" s="9">
        <f t="shared" si="17"/>
        <v>0</v>
      </c>
      <c r="AO566" s="8"/>
      <c r="AP566" s="9">
        <f>I566-W566-X566-AN566</f>
        <v>99.19</v>
      </c>
      <c r="AQ566" t="s">
        <v>1324</v>
      </c>
    </row>
    <row r="567" spans="1:43" x14ac:dyDescent="0.3">
      <c r="A567" s="11">
        <f t="shared" si="18"/>
        <v>565</v>
      </c>
      <c r="B567" s="5" t="s">
        <v>1675</v>
      </c>
      <c r="C567" t="s">
        <v>894</v>
      </c>
      <c r="D567" s="24" t="s">
        <v>857</v>
      </c>
      <c r="E567" s="24" t="str">
        <f>IFERROR(VLOOKUP(D567,Dropdown!A:B,2,0),D567)</f>
        <v>Purav</v>
      </c>
      <c r="F567" s="6">
        <v>45846</v>
      </c>
      <c r="G567" s="6" t="str">
        <f>TEXT(F567, "MMM-YY")</f>
        <v>Jul-25</v>
      </c>
      <c r="H567" t="s">
        <v>544</v>
      </c>
      <c r="I567" s="25">
        <v>96.45</v>
      </c>
      <c r="J567" s="4">
        <v>12000</v>
      </c>
      <c r="K567" t="s">
        <v>896</v>
      </c>
      <c r="L567" s="4" t="str">
        <f>VLOOKUP(K567, 'Items Master'!A:E,5,0)</f>
        <v>OPAL</v>
      </c>
      <c r="M567" s="4" t="str">
        <f>VLOOKUP(K567, 'Items Master'!A:D,4,0)</f>
        <v>HDPE</v>
      </c>
      <c r="N567" s="4" t="s">
        <v>49</v>
      </c>
      <c r="O567" t="s">
        <v>1298</v>
      </c>
      <c r="Q567" s="6">
        <v>45846</v>
      </c>
      <c r="R567" s="6" t="str">
        <f>TEXT(Q567, "MMM-YY")</f>
        <v>Jul-25</v>
      </c>
      <c r="U567" t="s">
        <v>1605</v>
      </c>
      <c r="X567" s="25">
        <v>97.25</v>
      </c>
      <c r="Y567" s="25" t="s">
        <v>1303</v>
      </c>
      <c r="Z567" s="25" t="s">
        <v>1306</v>
      </c>
      <c r="AB567" s="8">
        <v>-0.9</v>
      </c>
      <c r="AH567" s="8">
        <v>0.1</v>
      </c>
      <c r="AN567" s="9">
        <f t="shared" si="17"/>
        <v>-0.8</v>
      </c>
      <c r="AO567" s="8"/>
      <c r="AP567" s="9">
        <f>I567-W567-X567-AN567</f>
        <v>2.886579864025407E-15</v>
      </c>
      <c r="AQ567" t="s">
        <v>1316</v>
      </c>
    </row>
    <row r="568" spans="1:43" x14ac:dyDescent="0.3">
      <c r="A568" s="11">
        <f t="shared" si="18"/>
        <v>566</v>
      </c>
      <c r="B568" s="5" t="s">
        <v>1675</v>
      </c>
      <c r="C568" t="s">
        <v>893</v>
      </c>
      <c r="D568" s="24" t="s">
        <v>858</v>
      </c>
      <c r="E568" s="24" t="str">
        <f>IFERROR(VLOOKUP(D568,Dropdown!A:B,2,0),D568)</f>
        <v>PRISHA POLYTECH LLP</v>
      </c>
      <c r="F568" s="6">
        <v>45847</v>
      </c>
      <c r="G568" s="6" t="str">
        <f>TEXT(F568, "MMM-YY")</f>
        <v>Jul-25</v>
      </c>
      <c r="H568" t="s">
        <v>545</v>
      </c>
      <c r="I568" s="25">
        <v>96.5</v>
      </c>
      <c r="J568" s="4">
        <v>3000</v>
      </c>
      <c r="K568" t="s">
        <v>905</v>
      </c>
      <c r="L568" s="4" t="str">
        <f>VLOOKUP(K568, 'Items Master'!A:E,5,0)</f>
        <v>SINOPEC</v>
      </c>
      <c r="M568" s="4" t="str">
        <f>VLOOKUP(K568, 'Items Master'!A:D,4,0)</f>
        <v>PP</v>
      </c>
      <c r="N568" s="4" t="s">
        <v>24</v>
      </c>
      <c r="Q568" s="6">
        <v>45847</v>
      </c>
      <c r="R568" s="6" t="str">
        <f>TEXT(Q568, "MMM-YY")</f>
        <v>Jul-25</v>
      </c>
      <c r="W568" s="25">
        <v>96.5</v>
      </c>
      <c r="Y568"/>
      <c r="Z568"/>
      <c r="AB568"/>
      <c r="AC568"/>
      <c r="AD568"/>
      <c r="AE568"/>
      <c r="AF568"/>
      <c r="AG568"/>
      <c r="AH568"/>
      <c r="AI568"/>
      <c r="AJ568"/>
      <c r="AK568"/>
      <c r="AL568"/>
      <c r="AM568"/>
      <c r="AN568" s="9">
        <f t="shared" si="17"/>
        <v>0</v>
      </c>
      <c r="AO568" s="8"/>
      <c r="AP568" s="9">
        <f>I568-W568-X568-AN568</f>
        <v>0</v>
      </c>
      <c r="AQ568" t="s">
        <v>1316</v>
      </c>
    </row>
    <row r="569" spans="1:43" x14ac:dyDescent="0.3">
      <c r="A569" s="11">
        <f t="shared" si="18"/>
        <v>567</v>
      </c>
      <c r="B569" s="5" t="s">
        <v>1675</v>
      </c>
      <c r="C569" t="s">
        <v>893</v>
      </c>
      <c r="D569" s="24" t="s">
        <v>48</v>
      </c>
      <c r="E569" s="24" t="str">
        <f>IFERROR(VLOOKUP(D569,Dropdown!A:B,2,0),D569)</f>
        <v>CVPL</v>
      </c>
      <c r="F569" s="6">
        <v>45847</v>
      </c>
      <c r="G569" s="6" t="str">
        <f>TEXT(F569, "MMM-YY")</f>
        <v>Jul-25</v>
      </c>
      <c r="H569" t="s">
        <v>546</v>
      </c>
      <c r="I569" s="25">
        <v>99.99</v>
      </c>
      <c r="J569" s="4">
        <v>3000</v>
      </c>
      <c r="K569" t="s">
        <v>903</v>
      </c>
      <c r="L569" s="4" t="str">
        <f>VLOOKUP(K569, 'Items Master'!A:E,5,0)</f>
        <v>GAIL</v>
      </c>
      <c r="M569" s="4" t="str">
        <f>VLOOKUP(K569, 'Items Master'!A:D,4,0)</f>
        <v>LLDPE</v>
      </c>
      <c r="N569" s="4" t="s">
        <v>49</v>
      </c>
      <c r="Q569" s="6">
        <v>45847</v>
      </c>
      <c r="R569" s="6" t="str">
        <f>TEXT(Q569, "MMM-YY")</f>
        <v>Jul-25</v>
      </c>
      <c r="X569" s="25">
        <v>99.99</v>
      </c>
      <c r="Y569" s="25" t="s">
        <v>1304</v>
      </c>
      <c r="Z569" s="25" t="s">
        <v>1305</v>
      </c>
      <c r="AB569"/>
      <c r="AC569"/>
      <c r="AD569"/>
      <c r="AE569"/>
      <c r="AF569"/>
      <c r="AG569"/>
      <c r="AH569"/>
      <c r="AI569"/>
      <c r="AJ569"/>
      <c r="AK569"/>
      <c r="AL569"/>
      <c r="AM569"/>
      <c r="AN569" s="9">
        <f t="shared" si="17"/>
        <v>0</v>
      </c>
      <c r="AO569" s="8"/>
      <c r="AP569" s="9">
        <f>I569-W569-X569-AN569</f>
        <v>0</v>
      </c>
      <c r="AQ569" t="s">
        <v>1324</v>
      </c>
    </row>
    <row r="570" spans="1:43" x14ac:dyDescent="0.3">
      <c r="A570" s="11">
        <f t="shared" si="18"/>
        <v>568</v>
      </c>
      <c r="B570" s="5" t="s">
        <v>1675</v>
      </c>
      <c r="C570" t="s">
        <v>893</v>
      </c>
      <c r="D570" s="24" t="s">
        <v>48</v>
      </c>
      <c r="E570" s="24" t="str">
        <f>IFERROR(VLOOKUP(D570,Dropdown!A:B,2,0),D570)</f>
        <v>CVPL</v>
      </c>
      <c r="F570" s="6">
        <v>45847</v>
      </c>
      <c r="G570" s="6" t="str">
        <f>TEXT(F570, "MMM-YY")</f>
        <v>Jul-25</v>
      </c>
      <c r="H570" t="s">
        <v>546</v>
      </c>
      <c r="I570" s="25">
        <v>118.25</v>
      </c>
      <c r="J570" s="4">
        <v>500</v>
      </c>
      <c r="K570" t="s">
        <v>953</v>
      </c>
      <c r="L570" s="4" t="str">
        <f>VLOOKUP(K570, 'Items Master'!A:E,5,0)</f>
        <v>LOTRENE</v>
      </c>
      <c r="M570" s="4" t="str">
        <f>VLOOKUP(K570, 'Items Master'!A:D,4,0)</f>
        <v>LDPE</v>
      </c>
      <c r="N570" s="4" t="s">
        <v>24</v>
      </c>
      <c r="Q570" s="6">
        <v>45847</v>
      </c>
      <c r="R570" s="6" t="str">
        <f>TEXT(Q570, "MMM-YY")</f>
        <v>Jul-25</v>
      </c>
      <c r="W570" s="25">
        <v>118.25</v>
      </c>
      <c r="Y570"/>
      <c r="Z570"/>
      <c r="AB570"/>
      <c r="AC570"/>
      <c r="AD570"/>
      <c r="AE570"/>
      <c r="AF570"/>
      <c r="AG570"/>
      <c r="AH570"/>
      <c r="AI570"/>
      <c r="AJ570"/>
      <c r="AK570"/>
      <c r="AL570"/>
      <c r="AM570"/>
      <c r="AN570" s="9">
        <f t="shared" si="17"/>
        <v>0</v>
      </c>
      <c r="AO570" s="8"/>
      <c r="AP570" s="9">
        <f>I570-W570-X570-AN570</f>
        <v>0</v>
      </c>
      <c r="AQ570" t="s">
        <v>1316</v>
      </c>
    </row>
    <row r="571" spans="1:43" x14ac:dyDescent="0.3">
      <c r="A571" s="11">
        <f t="shared" si="18"/>
        <v>569</v>
      </c>
      <c r="B571" s="5" t="s">
        <v>1675</v>
      </c>
      <c r="C571" t="s">
        <v>893</v>
      </c>
      <c r="D571" s="24" t="s">
        <v>840</v>
      </c>
      <c r="E571" s="24" t="str">
        <f>IFERROR(VLOOKUP(D571,Dropdown!A:B,2,0),D571)</f>
        <v>LPB Plastic Private Limited</v>
      </c>
      <c r="F571" s="6">
        <v>45847</v>
      </c>
      <c r="G571" s="6" t="str">
        <f>TEXT(F571, "MMM-YY")</f>
        <v>Jul-25</v>
      </c>
      <c r="H571" t="s">
        <v>547</v>
      </c>
      <c r="I571" s="25">
        <v>98</v>
      </c>
      <c r="J571" s="4">
        <v>10000</v>
      </c>
      <c r="K571" t="s">
        <v>914</v>
      </c>
      <c r="L571" s="4" t="str">
        <f>VLOOKUP(K571, 'Items Master'!A:E,5,0)</f>
        <v>HMEL</v>
      </c>
      <c r="M571" s="4" t="str">
        <f>VLOOKUP(K571, 'Items Master'!A:D,4,0)</f>
        <v>LLDPE</v>
      </c>
      <c r="N571" s="4" t="s">
        <v>24</v>
      </c>
      <c r="Q571" s="6">
        <v>45847</v>
      </c>
      <c r="R571" s="6" t="str">
        <f>TEXT(Q571, "MMM-YY")</f>
        <v>Jul-25</v>
      </c>
      <c r="W571" s="25">
        <v>98</v>
      </c>
      <c r="Y571"/>
      <c r="Z571"/>
      <c r="AB571"/>
      <c r="AC571"/>
      <c r="AD571"/>
      <c r="AE571"/>
      <c r="AF571"/>
      <c r="AG571"/>
      <c r="AH571"/>
      <c r="AI571"/>
      <c r="AJ571"/>
      <c r="AK571"/>
      <c r="AL571"/>
      <c r="AM571"/>
      <c r="AN571" s="9">
        <f t="shared" si="17"/>
        <v>0</v>
      </c>
      <c r="AO571" s="8"/>
      <c r="AP571" s="9">
        <f>I571-W571-X571-AN571</f>
        <v>0</v>
      </c>
      <c r="AQ571" t="s">
        <v>1316</v>
      </c>
    </row>
    <row r="572" spans="1:43" x14ac:dyDescent="0.3">
      <c r="A572" s="11">
        <f t="shared" si="18"/>
        <v>570</v>
      </c>
      <c r="B572" s="5" t="s">
        <v>1675</v>
      </c>
      <c r="C572" t="s">
        <v>893</v>
      </c>
      <c r="D572" s="24" t="s">
        <v>838</v>
      </c>
      <c r="E572" s="24" t="str">
        <f>IFERROR(VLOOKUP(D572,Dropdown!A:B,2,0),D572)</f>
        <v>Treenity</v>
      </c>
      <c r="F572" s="6">
        <v>45847</v>
      </c>
      <c r="G572" s="6" t="str">
        <f>TEXT(F572, "MMM-YY")</f>
        <v>Jul-25</v>
      </c>
      <c r="H572" t="s">
        <v>147</v>
      </c>
      <c r="I572" s="25">
        <v>102.7</v>
      </c>
      <c r="J572" s="4">
        <v>15000</v>
      </c>
      <c r="K572" t="s">
        <v>901</v>
      </c>
      <c r="L572" s="4" t="str">
        <f>VLOOKUP(K572, 'Items Master'!A:E,5,0)</f>
        <v>MRPL</v>
      </c>
      <c r="M572" s="4" t="str">
        <f>VLOOKUP(K572, 'Items Master'!A:D,4,0)</f>
        <v>PP</v>
      </c>
      <c r="N572" s="4" t="s">
        <v>49</v>
      </c>
      <c r="Q572" s="6">
        <v>45847</v>
      </c>
      <c r="R572" s="6" t="str">
        <f>TEXT(Q572, "MMM-YY")</f>
        <v>Jul-25</v>
      </c>
      <c r="X572" s="25">
        <v>100.95</v>
      </c>
      <c r="Y572" t="s">
        <v>1304</v>
      </c>
      <c r="Z572" t="s">
        <v>1305</v>
      </c>
      <c r="AB572"/>
      <c r="AC572"/>
      <c r="AD572"/>
      <c r="AE572"/>
      <c r="AF572"/>
      <c r="AG572"/>
      <c r="AH572"/>
      <c r="AI572">
        <v>1.75</v>
      </c>
      <c r="AJ572"/>
      <c r="AK572"/>
      <c r="AL572"/>
      <c r="AM572"/>
      <c r="AN572" s="9">
        <f t="shared" si="17"/>
        <v>1.75</v>
      </c>
      <c r="AO572" s="8"/>
      <c r="AP572" s="9">
        <f>I572-W572-X572-AN572</f>
        <v>0</v>
      </c>
      <c r="AQ572" t="s">
        <v>1316</v>
      </c>
    </row>
    <row r="573" spans="1:43" x14ac:dyDescent="0.3">
      <c r="A573" s="11">
        <f t="shared" si="18"/>
        <v>571</v>
      </c>
      <c r="B573" s="5" t="s">
        <v>1675</v>
      </c>
      <c r="C573" t="s">
        <v>893</v>
      </c>
      <c r="D573" s="24" t="s">
        <v>838</v>
      </c>
      <c r="E573" s="24" t="str">
        <f>IFERROR(VLOOKUP(D573,Dropdown!A:B,2,0),D573)</f>
        <v>Treenity</v>
      </c>
      <c r="F573" s="6">
        <v>45847</v>
      </c>
      <c r="G573" s="6" t="str">
        <f>TEXT(F573, "MMM-YY")</f>
        <v>Jul-25</v>
      </c>
      <c r="H573" t="s">
        <v>147</v>
      </c>
      <c r="I573" s="25">
        <v>101.1</v>
      </c>
      <c r="J573" s="4">
        <v>10000</v>
      </c>
      <c r="K573" t="s">
        <v>937</v>
      </c>
      <c r="L573" s="4" t="str">
        <f>VLOOKUP(K573, 'Items Master'!A:E,5,0)</f>
        <v>MRPL</v>
      </c>
      <c r="M573" s="4" t="str">
        <f>VLOOKUP(K573, 'Items Master'!A:D,4,0)</f>
        <v>PP</v>
      </c>
      <c r="N573" s="4" t="s">
        <v>49</v>
      </c>
      <c r="Q573" s="6">
        <v>45847</v>
      </c>
      <c r="R573" s="6" t="str">
        <f>TEXT(Q573, "MMM-YY")</f>
        <v>Jul-25</v>
      </c>
      <c r="X573" s="25">
        <v>99.35</v>
      </c>
      <c r="Y573" t="s">
        <v>1304</v>
      </c>
      <c r="Z573" t="s">
        <v>1305</v>
      </c>
      <c r="AB573"/>
      <c r="AC573"/>
      <c r="AD573"/>
      <c r="AE573"/>
      <c r="AF573"/>
      <c r="AG573"/>
      <c r="AH573"/>
      <c r="AI573">
        <v>1.75</v>
      </c>
      <c r="AJ573"/>
      <c r="AK573"/>
      <c r="AL573"/>
      <c r="AM573"/>
      <c r="AN573" s="9">
        <f t="shared" si="17"/>
        <v>1.75</v>
      </c>
      <c r="AO573" s="8"/>
      <c r="AP573" s="9">
        <f>I573-W573-X573-AN573</f>
        <v>0</v>
      </c>
      <c r="AQ573" t="s">
        <v>1316</v>
      </c>
    </row>
    <row r="574" spans="1:43" x14ac:dyDescent="0.3">
      <c r="A574" s="11">
        <f t="shared" si="18"/>
        <v>572</v>
      </c>
      <c r="B574" s="5" t="s">
        <v>1675</v>
      </c>
      <c r="C574" t="s">
        <v>893</v>
      </c>
      <c r="D574" s="24" t="s">
        <v>48</v>
      </c>
      <c r="E574" s="24" t="str">
        <f>IFERROR(VLOOKUP(D574,Dropdown!A:B,2,0),D574)</f>
        <v>CVPL</v>
      </c>
      <c r="F574" s="6">
        <v>45847</v>
      </c>
      <c r="G574" s="6" t="str">
        <f>TEXT(F574, "MMM-YY")</f>
        <v>Jul-25</v>
      </c>
      <c r="H574" t="s">
        <v>548</v>
      </c>
      <c r="I574" s="25">
        <v>99.99</v>
      </c>
      <c r="J574" s="4">
        <v>10000</v>
      </c>
      <c r="K574" t="s">
        <v>903</v>
      </c>
      <c r="L574" s="4" t="str">
        <f>VLOOKUP(K574, 'Items Master'!A:E,5,0)</f>
        <v>GAIL</v>
      </c>
      <c r="M574" s="4" t="str">
        <f>VLOOKUP(K574, 'Items Master'!A:D,4,0)</f>
        <v>LLDPE</v>
      </c>
      <c r="N574" s="4" t="s">
        <v>49</v>
      </c>
      <c r="Q574" s="6">
        <v>45847</v>
      </c>
      <c r="R574" s="6" t="str">
        <f>TEXT(Q574, "MMM-YY")</f>
        <v>Jul-25</v>
      </c>
      <c r="X574" s="25">
        <v>99.99</v>
      </c>
      <c r="AB574"/>
      <c r="AC574"/>
      <c r="AD574"/>
      <c r="AE574"/>
      <c r="AF574"/>
      <c r="AG574"/>
      <c r="AH574"/>
      <c r="AI574"/>
      <c r="AJ574"/>
      <c r="AK574"/>
      <c r="AL574"/>
      <c r="AM574"/>
      <c r="AN574" s="9">
        <f t="shared" si="17"/>
        <v>0</v>
      </c>
      <c r="AO574" s="8"/>
      <c r="AP574" s="9">
        <f>I574-W574-X574-AN574</f>
        <v>0</v>
      </c>
      <c r="AQ574" t="s">
        <v>1324</v>
      </c>
    </row>
    <row r="575" spans="1:43" x14ac:dyDescent="0.3">
      <c r="A575" s="11">
        <f t="shared" si="18"/>
        <v>573</v>
      </c>
      <c r="B575" s="5" t="s">
        <v>1675</v>
      </c>
      <c r="C575" t="s">
        <v>893</v>
      </c>
      <c r="D575" s="24" t="s">
        <v>48</v>
      </c>
      <c r="E575" s="24" t="str">
        <f>IFERROR(VLOOKUP(D575,Dropdown!A:B,2,0),D575)</f>
        <v>CVPL</v>
      </c>
      <c r="F575" s="6">
        <v>45847</v>
      </c>
      <c r="G575" s="6" t="str">
        <f>TEXT(F575, "MMM-YY")</f>
        <v>Jul-25</v>
      </c>
      <c r="H575" t="s">
        <v>549</v>
      </c>
      <c r="I575" s="25">
        <v>101.3</v>
      </c>
      <c r="J575" s="4">
        <v>13000</v>
      </c>
      <c r="K575" t="s">
        <v>899</v>
      </c>
      <c r="L575" s="4" t="str">
        <f>VLOOKUP(K575, 'Items Master'!A:E,5,0)</f>
        <v>MRPL</v>
      </c>
      <c r="M575" s="4" t="str">
        <f>VLOOKUP(K575, 'Items Master'!A:D,4,0)</f>
        <v>PP</v>
      </c>
      <c r="N575" s="4" t="s">
        <v>49</v>
      </c>
      <c r="Q575" s="6">
        <v>45847</v>
      </c>
      <c r="R575" s="6" t="str">
        <f>TEXT(Q575, "MMM-YY")</f>
        <v>Jul-25</v>
      </c>
      <c r="X575" s="25">
        <v>99.495999999999995</v>
      </c>
      <c r="AB575"/>
      <c r="AC575"/>
      <c r="AD575"/>
      <c r="AE575"/>
      <c r="AF575"/>
      <c r="AG575"/>
      <c r="AH575"/>
      <c r="AI575"/>
      <c r="AJ575"/>
      <c r="AK575"/>
      <c r="AL575"/>
      <c r="AM575"/>
      <c r="AN575" s="9">
        <f t="shared" si="17"/>
        <v>0</v>
      </c>
      <c r="AO575" s="8"/>
      <c r="AP575" s="9">
        <f>I575-W575-X575-AN575</f>
        <v>1.804000000000002</v>
      </c>
      <c r="AQ575" t="s">
        <v>1324</v>
      </c>
    </row>
    <row r="576" spans="1:43" x14ac:dyDescent="0.3">
      <c r="A576" s="11">
        <f t="shared" si="18"/>
        <v>574</v>
      </c>
      <c r="B576" s="5" t="s">
        <v>1675</v>
      </c>
      <c r="C576" t="s">
        <v>894</v>
      </c>
      <c r="D576" s="24" t="s">
        <v>857</v>
      </c>
      <c r="E576" s="24" t="str">
        <f>IFERROR(VLOOKUP(D576,Dropdown!A:B,2,0),D576)</f>
        <v>Purav</v>
      </c>
      <c r="F576" s="6">
        <v>45848</v>
      </c>
      <c r="G576" s="6" t="str">
        <f>TEXT(F576, "MMM-YY")</f>
        <v>Jul-25</v>
      </c>
      <c r="H576" t="s">
        <v>550</v>
      </c>
      <c r="I576" s="25">
        <v>97.95</v>
      </c>
      <c r="J576" s="4">
        <v>13000</v>
      </c>
      <c r="K576" t="s">
        <v>896</v>
      </c>
      <c r="L576" s="4" t="str">
        <f>VLOOKUP(K576, 'Items Master'!A:E,5,0)</f>
        <v>OPAL</v>
      </c>
      <c r="M576" s="4" t="str">
        <f>VLOOKUP(K576, 'Items Master'!A:D,4,0)</f>
        <v>HDPE</v>
      </c>
      <c r="N576" s="4" t="s">
        <v>49</v>
      </c>
      <c r="O576" t="s">
        <v>1298</v>
      </c>
      <c r="Q576" s="6">
        <v>45848</v>
      </c>
      <c r="R576" s="6" t="str">
        <f>TEXT(Q576, "MMM-YY")</f>
        <v>Jul-25</v>
      </c>
      <c r="U576" t="s">
        <v>1605</v>
      </c>
      <c r="X576" s="25">
        <v>98.75</v>
      </c>
      <c r="AB576" s="8">
        <v>-0.9</v>
      </c>
      <c r="AH576" s="8">
        <v>0.1</v>
      </c>
      <c r="AN576" s="9">
        <f t="shared" si="17"/>
        <v>-0.8</v>
      </c>
      <c r="AO576" s="8"/>
      <c r="AP576" s="9">
        <f>I576-W576-X576-AN576</f>
        <v>2.886579864025407E-15</v>
      </c>
      <c r="AQ576" t="s">
        <v>1316</v>
      </c>
    </row>
    <row r="577" spans="1:43" x14ac:dyDescent="0.3">
      <c r="A577" s="11">
        <f t="shared" si="18"/>
        <v>575</v>
      </c>
      <c r="B577" s="5" t="s">
        <v>1675</v>
      </c>
      <c r="C577" t="s">
        <v>893</v>
      </c>
      <c r="D577" s="24" t="s">
        <v>840</v>
      </c>
      <c r="E577" s="24" t="str">
        <f>IFERROR(VLOOKUP(D577,Dropdown!A:B,2,0),D577)</f>
        <v>LPB Plastic Private Limited</v>
      </c>
      <c r="F577" s="6">
        <v>45848</v>
      </c>
      <c r="G577" s="6" t="str">
        <f>TEXT(F577, "MMM-YY")</f>
        <v>Jul-25</v>
      </c>
      <c r="H577" t="s">
        <v>551</v>
      </c>
      <c r="I577" s="25">
        <v>99</v>
      </c>
      <c r="J577" s="4">
        <v>1000</v>
      </c>
      <c r="K577" t="s">
        <v>17</v>
      </c>
      <c r="L577" s="4" t="str">
        <f>VLOOKUP(K577, 'Items Master'!A:E,5,0)</f>
        <v>OPAL</v>
      </c>
      <c r="M577" s="4" t="str">
        <f>VLOOKUP(K577, 'Items Master'!A:D,4,0)</f>
        <v>LLDPE</v>
      </c>
      <c r="N577" s="4" t="s">
        <v>24</v>
      </c>
      <c r="Q577" s="6">
        <v>45848</v>
      </c>
      <c r="R577" s="6" t="str">
        <f>TEXT(Q577, "MMM-YY")</f>
        <v>Jul-25</v>
      </c>
      <c r="W577" s="25">
        <v>99</v>
      </c>
      <c r="Y577"/>
      <c r="Z577"/>
      <c r="AB577"/>
      <c r="AC577"/>
      <c r="AD577"/>
      <c r="AE577"/>
      <c r="AF577"/>
      <c r="AG577"/>
      <c r="AH577"/>
      <c r="AI577"/>
      <c r="AJ577"/>
      <c r="AK577"/>
      <c r="AL577"/>
      <c r="AM577"/>
      <c r="AN577" s="9">
        <f t="shared" si="17"/>
        <v>0</v>
      </c>
      <c r="AO577" s="8"/>
      <c r="AP577" s="9">
        <f>I577-W577-X577-AN577</f>
        <v>0</v>
      </c>
      <c r="AQ577" t="s">
        <v>1316</v>
      </c>
    </row>
    <row r="578" spans="1:43" x14ac:dyDescent="0.3">
      <c r="A578" s="11">
        <f t="shared" si="18"/>
        <v>576</v>
      </c>
      <c r="B578" s="5" t="s">
        <v>1675</v>
      </c>
      <c r="C578" t="s">
        <v>893</v>
      </c>
      <c r="D578" s="24" t="s">
        <v>840</v>
      </c>
      <c r="E578" s="24" t="str">
        <f>IFERROR(VLOOKUP(D578,Dropdown!A:B,2,0),D578)</f>
        <v>LPB Plastic Private Limited</v>
      </c>
      <c r="F578" s="6">
        <v>45848</v>
      </c>
      <c r="G578" s="6" t="str">
        <f>TEXT(F578, "MMM-YY")</f>
        <v>Jul-25</v>
      </c>
      <c r="H578" t="s">
        <v>552</v>
      </c>
      <c r="I578" s="25">
        <v>98</v>
      </c>
      <c r="J578" s="4">
        <v>1500</v>
      </c>
      <c r="K578" t="s">
        <v>914</v>
      </c>
      <c r="L578" s="4" t="str">
        <f>VLOOKUP(K578, 'Items Master'!A:E,5,0)</f>
        <v>HMEL</v>
      </c>
      <c r="M578" s="4" t="str">
        <f>VLOOKUP(K578, 'Items Master'!A:D,4,0)</f>
        <v>LLDPE</v>
      </c>
      <c r="N578" s="4" t="s">
        <v>24</v>
      </c>
      <c r="Q578" s="6">
        <v>45848</v>
      </c>
      <c r="R578" s="6" t="str">
        <f>TEXT(Q578, "MMM-YY")</f>
        <v>Jul-25</v>
      </c>
      <c r="W578" s="25">
        <v>98</v>
      </c>
      <c r="Y578"/>
      <c r="Z578"/>
      <c r="AB578"/>
      <c r="AC578"/>
      <c r="AD578"/>
      <c r="AE578"/>
      <c r="AF578"/>
      <c r="AG578"/>
      <c r="AH578"/>
      <c r="AI578"/>
      <c r="AJ578"/>
      <c r="AK578"/>
      <c r="AL578"/>
      <c r="AM578"/>
      <c r="AN578" s="9">
        <f t="shared" si="17"/>
        <v>0</v>
      </c>
      <c r="AO578" s="8"/>
      <c r="AP578" s="9">
        <f>I578-W578-X578-AN578</f>
        <v>0</v>
      </c>
      <c r="AQ578" t="s">
        <v>1316</v>
      </c>
    </row>
    <row r="579" spans="1:43" x14ac:dyDescent="0.3">
      <c r="A579" s="11">
        <f t="shared" si="18"/>
        <v>577</v>
      </c>
      <c r="B579" s="5" t="s">
        <v>1675</v>
      </c>
      <c r="C579" t="s">
        <v>893</v>
      </c>
      <c r="D579" s="24" t="s">
        <v>48</v>
      </c>
      <c r="E579" s="24" t="str">
        <f>IFERROR(VLOOKUP(D579,Dropdown!A:B,2,0),D579)</f>
        <v>CVPL</v>
      </c>
      <c r="F579" s="6">
        <v>45848</v>
      </c>
      <c r="G579" s="6" t="str">
        <f>TEXT(F579, "MMM-YY")</f>
        <v>Jul-25</v>
      </c>
      <c r="H579" t="s">
        <v>553</v>
      </c>
      <c r="I579" s="25">
        <v>118.25</v>
      </c>
      <c r="J579" s="4">
        <v>1000</v>
      </c>
      <c r="K579" t="s">
        <v>953</v>
      </c>
      <c r="L579" s="4" t="str">
        <f>VLOOKUP(K579, 'Items Master'!A:E,5,0)</f>
        <v>LOTRENE</v>
      </c>
      <c r="M579" s="4" t="str">
        <f>VLOOKUP(K579, 'Items Master'!A:D,4,0)</f>
        <v>LDPE</v>
      </c>
      <c r="N579" s="4" t="s">
        <v>24</v>
      </c>
      <c r="Q579" s="6">
        <v>45848</v>
      </c>
      <c r="R579" s="6" t="str">
        <f>TEXT(Q579, "MMM-YY")</f>
        <v>Jul-25</v>
      </c>
      <c r="W579" s="25">
        <v>118.25</v>
      </c>
      <c r="Y579"/>
      <c r="Z579"/>
      <c r="AB579"/>
      <c r="AC579"/>
      <c r="AD579"/>
      <c r="AE579"/>
      <c r="AF579"/>
      <c r="AG579"/>
      <c r="AH579"/>
      <c r="AI579"/>
      <c r="AJ579"/>
      <c r="AK579"/>
      <c r="AL579"/>
      <c r="AM579"/>
      <c r="AN579" s="9">
        <f t="shared" si="17"/>
        <v>0</v>
      </c>
      <c r="AO579" s="8"/>
      <c r="AP579" s="9">
        <f>I579-W579-X579-AN579</f>
        <v>0</v>
      </c>
      <c r="AQ579" t="s">
        <v>1316</v>
      </c>
    </row>
    <row r="580" spans="1:43" x14ac:dyDescent="0.3">
      <c r="A580" s="11">
        <f t="shared" si="18"/>
        <v>578</v>
      </c>
      <c r="B580" s="5" t="s">
        <v>1675</v>
      </c>
      <c r="C580" t="s">
        <v>893</v>
      </c>
      <c r="D580" s="24" t="s">
        <v>830</v>
      </c>
      <c r="E580" s="24" t="str">
        <f>IFERROR(VLOOKUP(D580,Dropdown!A:B,2,0),D580)</f>
        <v>BULK LIQUID SOLUTIONS PVT LTD</v>
      </c>
      <c r="F580" s="6">
        <v>45849</v>
      </c>
      <c r="G580" s="6" t="str">
        <f>TEXT(F580, "MMM-YY")</f>
        <v>Jul-25</v>
      </c>
      <c r="H580" t="s">
        <v>554</v>
      </c>
      <c r="I580" s="25">
        <v>119</v>
      </c>
      <c r="J580" s="4">
        <v>3000</v>
      </c>
      <c r="K580" t="s">
        <v>986</v>
      </c>
      <c r="L580" s="4" t="str">
        <f>VLOOKUP(K580, 'Items Master'!A:E,5,0)</f>
        <v>DOW</v>
      </c>
      <c r="M580" s="4" t="str">
        <f>VLOOKUP(K580, 'Items Master'!A:D,4,0)</f>
        <v>LDPE</v>
      </c>
      <c r="N580" s="4" t="s">
        <v>24</v>
      </c>
      <c r="Q580" s="6">
        <v>45849</v>
      </c>
      <c r="R580" s="6" t="str">
        <f>TEXT(Q580, "MMM-YY")</f>
        <v>Jul-25</v>
      </c>
      <c r="W580" s="25">
        <v>119</v>
      </c>
      <c r="Y580"/>
      <c r="Z580"/>
      <c r="AB580"/>
      <c r="AC580"/>
      <c r="AD580"/>
      <c r="AE580"/>
      <c r="AF580"/>
      <c r="AG580"/>
      <c r="AH580"/>
      <c r="AI580"/>
      <c r="AJ580"/>
      <c r="AK580"/>
      <c r="AL580"/>
      <c r="AM580"/>
      <c r="AN580" s="9">
        <f t="shared" ref="AN580:AN643" si="19">SUM(AB580:AM580)</f>
        <v>0</v>
      </c>
      <c r="AO580" s="8"/>
      <c r="AP580" s="9">
        <f>I580-W580-X580-AN580</f>
        <v>0</v>
      </c>
      <c r="AQ580" t="s">
        <v>1316</v>
      </c>
    </row>
    <row r="581" spans="1:43" x14ac:dyDescent="0.3">
      <c r="A581" s="11">
        <f t="shared" si="18"/>
        <v>579</v>
      </c>
      <c r="B581" s="5" t="s">
        <v>1675</v>
      </c>
      <c r="C581" t="s">
        <v>893</v>
      </c>
      <c r="D581" s="24" t="s">
        <v>875</v>
      </c>
      <c r="E581" s="24" t="str">
        <f>IFERROR(VLOOKUP(D581,Dropdown!A:B,2,0),D581)</f>
        <v>RAVAGO SHAH POLYMERS PRIVATE LIMITED</v>
      </c>
      <c r="F581" s="6">
        <v>45849</v>
      </c>
      <c r="G581" s="6" t="str">
        <f>TEXT(F581, "MMM-YY")</f>
        <v>Jul-25</v>
      </c>
      <c r="H581" t="s">
        <v>555</v>
      </c>
      <c r="I581" s="25">
        <v>110</v>
      </c>
      <c r="J581" s="4">
        <v>25</v>
      </c>
      <c r="K581" t="s">
        <v>994</v>
      </c>
      <c r="L581" s="4" t="str">
        <f>VLOOKUP(K581, 'Items Master'!A:E,5,0)</f>
        <v>TAIRISAN</v>
      </c>
      <c r="M581" s="4" t="str">
        <f>VLOOKUP(K581, 'Items Master'!A:D,4,0)</f>
        <v>SAN</v>
      </c>
      <c r="N581" s="4" t="s">
        <v>24</v>
      </c>
      <c r="Q581" s="6">
        <v>45849</v>
      </c>
      <c r="R581" s="6" t="str">
        <f>TEXT(Q581, "MMM-YY")</f>
        <v>Jul-25</v>
      </c>
      <c r="W581" s="25">
        <v>110</v>
      </c>
      <c r="Y581"/>
      <c r="Z581"/>
      <c r="AB581"/>
      <c r="AC581"/>
      <c r="AD581"/>
      <c r="AE581"/>
      <c r="AF581"/>
      <c r="AG581"/>
      <c r="AH581"/>
      <c r="AI581"/>
      <c r="AJ581"/>
      <c r="AK581"/>
      <c r="AL581"/>
      <c r="AM581"/>
      <c r="AN581" s="9">
        <f t="shared" si="19"/>
        <v>0</v>
      </c>
      <c r="AO581" s="8"/>
      <c r="AP581" s="9">
        <f>I581-W581-X581-AN581</f>
        <v>0</v>
      </c>
      <c r="AQ581" t="s">
        <v>1316</v>
      </c>
    </row>
    <row r="582" spans="1:43" x14ac:dyDescent="0.3">
      <c r="A582" s="11">
        <f t="shared" si="18"/>
        <v>580</v>
      </c>
      <c r="B582" s="5" t="s">
        <v>1675</v>
      </c>
      <c r="C582" t="s">
        <v>893</v>
      </c>
      <c r="D582" s="24" t="s">
        <v>830</v>
      </c>
      <c r="E582" s="24" t="str">
        <f>IFERROR(VLOOKUP(D582,Dropdown!A:B,2,0),D582)</f>
        <v>BULK LIQUID SOLUTIONS PVT LTD</v>
      </c>
      <c r="F582" s="6">
        <v>45850</v>
      </c>
      <c r="G582" s="6" t="str">
        <f>TEXT(F582, "MMM-YY")</f>
        <v>Jul-25</v>
      </c>
      <c r="H582" t="s">
        <v>556</v>
      </c>
      <c r="I582" s="25">
        <v>119</v>
      </c>
      <c r="J582" s="4">
        <v>12000</v>
      </c>
      <c r="K582" t="s">
        <v>986</v>
      </c>
      <c r="L582" s="4" t="str">
        <f>VLOOKUP(K582, 'Items Master'!A:E,5,0)</f>
        <v>DOW</v>
      </c>
      <c r="M582" s="4" t="str">
        <f>VLOOKUP(K582, 'Items Master'!A:D,4,0)</f>
        <v>LDPE</v>
      </c>
      <c r="N582" s="4" t="s">
        <v>24</v>
      </c>
      <c r="Q582" s="6">
        <v>45850</v>
      </c>
      <c r="R582" s="6" t="str">
        <f>TEXT(Q582, "MMM-YY")</f>
        <v>Jul-25</v>
      </c>
      <c r="W582" s="25">
        <v>119</v>
      </c>
      <c r="Y582"/>
      <c r="Z582"/>
      <c r="AB582"/>
      <c r="AC582"/>
      <c r="AD582"/>
      <c r="AE582"/>
      <c r="AF582"/>
      <c r="AG582"/>
      <c r="AH582"/>
      <c r="AI582"/>
      <c r="AJ582"/>
      <c r="AK582"/>
      <c r="AL582"/>
      <c r="AM582"/>
      <c r="AN582" s="9">
        <f t="shared" si="19"/>
        <v>0</v>
      </c>
      <c r="AO582" s="8"/>
      <c r="AP582" s="9">
        <f>I582-W582-X582-AN582</f>
        <v>0</v>
      </c>
      <c r="AQ582" t="s">
        <v>1316</v>
      </c>
    </row>
    <row r="583" spans="1:43" x14ac:dyDescent="0.3">
      <c r="A583" s="11">
        <f t="shared" ref="A583:A646" si="20">A582+1</f>
        <v>581</v>
      </c>
      <c r="B583" s="5" t="s">
        <v>1675</v>
      </c>
      <c r="C583" t="s">
        <v>893</v>
      </c>
      <c r="D583" s="24" t="s">
        <v>858</v>
      </c>
      <c r="E583" s="24" t="str">
        <f>IFERROR(VLOOKUP(D583,Dropdown!A:B,2,0),D583)</f>
        <v>PRISHA POLYTECH LLP</v>
      </c>
      <c r="F583" s="6">
        <v>45850</v>
      </c>
      <c r="G583" s="6" t="str">
        <f>TEXT(F583, "MMM-YY")</f>
        <v>Jul-25</v>
      </c>
      <c r="H583" t="s">
        <v>557</v>
      </c>
      <c r="I583" s="25">
        <v>97</v>
      </c>
      <c r="J583" s="4">
        <v>5000</v>
      </c>
      <c r="K583" t="s">
        <v>905</v>
      </c>
      <c r="L583" s="4" t="str">
        <f>VLOOKUP(K583, 'Items Master'!A:E,5,0)</f>
        <v>SINOPEC</v>
      </c>
      <c r="M583" s="4" t="str">
        <f>VLOOKUP(K583, 'Items Master'!A:D,4,0)</f>
        <v>PP</v>
      </c>
      <c r="N583" s="4" t="s">
        <v>24</v>
      </c>
      <c r="Q583" s="6">
        <v>45850</v>
      </c>
      <c r="R583" s="6" t="str">
        <f>TEXT(Q583, "MMM-YY")</f>
        <v>Jul-25</v>
      </c>
      <c r="W583" s="25">
        <v>97</v>
      </c>
      <c r="Y583"/>
      <c r="Z583"/>
      <c r="AB583"/>
      <c r="AC583"/>
      <c r="AD583"/>
      <c r="AE583"/>
      <c r="AF583"/>
      <c r="AG583"/>
      <c r="AH583"/>
      <c r="AI583"/>
      <c r="AJ583"/>
      <c r="AK583"/>
      <c r="AL583"/>
      <c r="AM583"/>
      <c r="AN583" s="9">
        <f t="shared" si="19"/>
        <v>0</v>
      </c>
      <c r="AO583" s="8"/>
      <c r="AP583" s="9">
        <f>I583-W583-X583-AN583</f>
        <v>0</v>
      </c>
      <c r="AQ583" t="s">
        <v>1316</v>
      </c>
    </row>
    <row r="584" spans="1:43" x14ac:dyDescent="0.3">
      <c r="A584" s="11">
        <f t="shared" si="20"/>
        <v>582</v>
      </c>
      <c r="B584" s="5" t="s">
        <v>1675</v>
      </c>
      <c r="C584" t="s">
        <v>893</v>
      </c>
      <c r="D584" s="24" t="s">
        <v>48</v>
      </c>
      <c r="E584" s="24" t="str">
        <f>IFERROR(VLOOKUP(D584,Dropdown!A:B,2,0),D584)</f>
        <v>CVPL</v>
      </c>
      <c r="F584" s="6">
        <v>45850</v>
      </c>
      <c r="G584" s="6" t="str">
        <f>TEXT(F584, "MMM-YY")</f>
        <v>Jul-25</v>
      </c>
      <c r="H584" t="s">
        <v>558</v>
      </c>
      <c r="I584" s="25">
        <v>100.25</v>
      </c>
      <c r="J584" s="4">
        <v>1000</v>
      </c>
      <c r="K584" t="s">
        <v>910</v>
      </c>
      <c r="L584" s="4" t="str">
        <f>VLOOKUP(K584, 'Items Master'!A:E,5,0)</f>
        <v>RIL</v>
      </c>
      <c r="M584" s="4" t="str">
        <f>VLOOKUP(K584, 'Items Master'!A:D,4,0)</f>
        <v>PP</v>
      </c>
      <c r="N584" s="4" t="s">
        <v>24</v>
      </c>
      <c r="Q584" s="6">
        <v>45850</v>
      </c>
      <c r="R584" s="6" t="str">
        <f>TEXT(Q584, "MMM-YY")</f>
        <v>Jul-25</v>
      </c>
      <c r="W584" s="25">
        <v>100.25</v>
      </c>
      <c r="Y584"/>
      <c r="Z584"/>
      <c r="AB584"/>
      <c r="AC584"/>
      <c r="AD584"/>
      <c r="AE584"/>
      <c r="AF584"/>
      <c r="AG584"/>
      <c r="AH584"/>
      <c r="AI584"/>
      <c r="AJ584"/>
      <c r="AK584"/>
      <c r="AL584"/>
      <c r="AM584"/>
      <c r="AN584" s="9">
        <f t="shared" si="19"/>
        <v>0</v>
      </c>
      <c r="AO584" s="8"/>
      <c r="AP584" s="9">
        <f>I584-W584-X584-AN584</f>
        <v>0</v>
      </c>
      <c r="AQ584" t="s">
        <v>1316</v>
      </c>
    </row>
    <row r="585" spans="1:43" x14ac:dyDescent="0.3">
      <c r="A585" s="11">
        <f t="shared" si="20"/>
        <v>583</v>
      </c>
      <c r="B585" s="5" t="s">
        <v>1675</v>
      </c>
      <c r="C585" t="s">
        <v>893</v>
      </c>
      <c r="D585" s="24" t="s">
        <v>880</v>
      </c>
      <c r="E585" s="24" t="str">
        <f>IFERROR(VLOOKUP(D585,Dropdown!A:B,2,0),D585)</f>
        <v>ORGANIC INDUSTRIES  PRIVATE LIMITED</v>
      </c>
      <c r="F585" s="6">
        <v>45850</v>
      </c>
      <c r="G585" s="6" t="str">
        <f>TEXT(F585, "MMM-YY")</f>
        <v>Jul-25</v>
      </c>
      <c r="H585" t="s">
        <v>559</v>
      </c>
      <c r="I585" s="25">
        <v>0.39</v>
      </c>
      <c r="J585" s="4">
        <v>75000</v>
      </c>
      <c r="K585" t="s">
        <v>995</v>
      </c>
      <c r="L585" s="4" t="str">
        <f>VLOOKUP(K585, 'Items Master'!A:E,5,0)</f>
        <v>MD</v>
      </c>
      <c r="M585" s="4" t="str">
        <f>VLOOKUP(K585, 'Items Master'!A:D,4,0)</f>
        <v>PET Closure</v>
      </c>
      <c r="N585" s="4" t="s">
        <v>24</v>
      </c>
      <c r="Q585" s="6">
        <v>45850</v>
      </c>
      <c r="R585" s="6" t="str">
        <f>TEXT(Q585, "MMM-YY")</f>
        <v>Jul-25</v>
      </c>
      <c r="W585" s="25">
        <v>0.39</v>
      </c>
      <c r="Y585"/>
      <c r="Z585"/>
      <c r="AB585"/>
      <c r="AC585"/>
      <c r="AD585"/>
      <c r="AE585"/>
      <c r="AF585"/>
      <c r="AG585"/>
      <c r="AH585"/>
      <c r="AI585"/>
      <c r="AJ585"/>
      <c r="AK585"/>
      <c r="AL585"/>
      <c r="AM585"/>
      <c r="AN585" s="9">
        <f t="shared" si="19"/>
        <v>0</v>
      </c>
      <c r="AO585" s="8"/>
      <c r="AP585" s="9">
        <f>I585-W585-X585-AN585</f>
        <v>0</v>
      </c>
      <c r="AQ585" t="s">
        <v>1316</v>
      </c>
    </row>
    <row r="586" spans="1:43" x14ac:dyDescent="0.3">
      <c r="A586" s="11">
        <f t="shared" si="20"/>
        <v>584</v>
      </c>
      <c r="B586" s="5" t="s">
        <v>1675</v>
      </c>
      <c r="C586" t="s">
        <v>893</v>
      </c>
      <c r="D586" s="24" t="s">
        <v>880</v>
      </c>
      <c r="E586" s="24" t="str">
        <f>IFERROR(VLOOKUP(D586,Dropdown!A:B,2,0),D586)</f>
        <v>ORGANIC INDUSTRIES  PRIVATE LIMITED</v>
      </c>
      <c r="F586" s="6">
        <v>45850</v>
      </c>
      <c r="G586" s="6" t="str">
        <f>TEXT(F586, "MMM-YY")</f>
        <v>Jul-25</v>
      </c>
      <c r="H586" t="s">
        <v>559</v>
      </c>
      <c r="I586" s="25">
        <v>0.39</v>
      </c>
      <c r="J586" s="4">
        <v>25000</v>
      </c>
      <c r="K586" t="s">
        <v>996</v>
      </c>
      <c r="L586" s="4" t="str">
        <f>VLOOKUP(K586, 'Items Master'!A:E,5,0)</f>
        <v>MD</v>
      </c>
      <c r="M586" s="4" t="str">
        <f>VLOOKUP(K586, 'Items Master'!A:D,4,0)</f>
        <v>PET Closure</v>
      </c>
      <c r="N586" s="4" t="s">
        <v>24</v>
      </c>
      <c r="Q586" s="6">
        <v>45850</v>
      </c>
      <c r="R586" s="6" t="str">
        <f>TEXT(Q586, "MMM-YY")</f>
        <v>Jul-25</v>
      </c>
      <c r="W586" s="25">
        <v>0.39</v>
      </c>
      <c r="Y586"/>
      <c r="Z586"/>
      <c r="AB586"/>
      <c r="AC586"/>
      <c r="AD586"/>
      <c r="AE586"/>
      <c r="AF586"/>
      <c r="AG586"/>
      <c r="AH586"/>
      <c r="AI586"/>
      <c r="AJ586"/>
      <c r="AK586"/>
      <c r="AL586"/>
      <c r="AM586"/>
      <c r="AN586" s="9">
        <f t="shared" si="19"/>
        <v>0</v>
      </c>
      <c r="AO586" s="8"/>
      <c r="AP586" s="9">
        <f>I586-W586-X586-AN586</f>
        <v>0</v>
      </c>
      <c r="AQ586" t="s">
        <v>1316</v>
      </c>
    </row>
    <row r="587" spans="1:43" x14ac:dyDescent="0.3">
      <c r="A587" s="11">
        <f t="shared" si="20"/>
        <v>585</v>
      </c>
      <c r="B587" s="5" t="s">
        <v>1675</v>
      </c>
      <c r="C587" t="s">
        <v>893</v>
      </c>
      <c r="D587" s="24" t="s">
        <v>48</v>
      </c>
      <c r="E587" s="24" t="str">
        <f>IFERROR(VLOOKUP(D587,Dropdown!A:B,2,0),D587)</f>
        <v>CVPL</v>
      </c>
      <c r="F587" s="6">
        <v>45852</v>
      </c>
      <c r="G587" s="6" t="str">
        <f>TEXT(F587, "MMM-YY")</f>
        <v>Jul-25</v>
      </c>
      <c r="H587" t="s">
        <v>560</v>
      </c>
      <c r="I587" s="25">
        <v>98</v>
      </c>
      <c r="J587" s="4">
        <v>2500</v>
      </c>
      <c r="K587" t="s">
        <v>997</v>
      </c>
      <c r="L587" s="4" t="str">
        <f>VLOOKUP(K587, 'Items Master'!A:E,5,0)</f>
        <v>MARLEX</v>
      </c>
      <c r="M587" s="4" t="str">
        <f>VLOOKUP(K587, 'Items Master'!A:D,4,0)</f>
        <v>HDPE</v>
      </c>
      <c r="N587" s="4" t="s">
        <v>24</v>
      </c>
      <c r="Q587" s="6">
        <v>45852</v>
      </c>
      <c r="R587" s="6" t="str">
        <f>TEXT(Q587, "MMM-YY")</f>
        <v>Jul-25</v>
      </c>
      <c r="W587" s="25">
        <v>98</v>
      </c>
      <c r="Y587"/>
      <c r="Z587"/>
      <c r="AB587"/>
      <c r="AC587"/>
      <c r="AD587"/>
      <c r="AE587"/>
      <c r="AF587"/>
      <c r="AG587"/>
      <c r="AH587"/>
      <c r="AI587"/>
      <c r="AJ587"/>
      <c r="AK587"/>
      <c r="AL587"/>
      <c r="AM587"/>
      <c r="AN587" s="9">
        <f t="shared" si="19"/>
        <v>0</v>
      </c>
      <c r="AO587" s="8"/>
      <c r="AP587" s="9">
        <f>I587-W587-X587-AN587</f>
        <v>0</v>
      </c>
      <c r="AQ587" t="s">
        <v>1316</v>
      </c>
    </row>
    <row r="588" spans="1:43" x14ac:dyDescent="0.3">
      <c r="A588" s="11">
        <f t="shared" si="20"/>
        <v>586</v>
      </c>
      <c r="B588" s="5" t="s">
        <v>1675</v>
      </c>
      <c r="C588" t="s">
        <v>893</v>
      </c>
      <c r="D588" s="24" t="s">
        <v>854</v>
      </c>
      <c r="E588" s="24" t="str">
        <f>IFERROR(VLOOKUP(D588,Dropdown!A:B,2,0),D588)</f>
        <v>GOTAWAT INDUSTRIES</v>
      </c>
      <c r="F588" s="6">
        <v>45852</v>
      </c>
      <c r="G588" s="6" t="str">
        <f>TEXT(F588, "MMM-YY")</f>
        <v>Jul-25</v>
      </c>
      <c r="H588" t="s">
        <v>561</v>
      </c>
      <c r="I588" s="25">
        <v>96.25</v>
      </c>
      <c r="J588" s="4">
        <v>3400</v>
      </c>
      <c r="K588" t="s">
        <v>910</v>
      </c>
      <c r="L588" s="4" t="str">
        <f>VLOOKUP(K588, 'Items Master'!A:E,5,0)</f>
        <v>RIL</v>
      </c>
      <c r="M588" s="4" t="str">
        <f>VLOOKUP(K588, 'Items Master'!A:D,4,0)</f>
        <v>PP</v>
      </c>
      <c r="N588" s="4" t="s">
        <v>24</v>
      </c>
      <c r="Q588" s="6">
        <v>45852</v>
      </c>
      <c r="R588" s="6" t="str">
        <f>TEXT(Q588, "MMM-YY")</f>
        <v>Jul-25</v>
      </c>
      <c r="W588" s="25">
        <v>96.25</v>
      </c>
      <c r="Y588"/>
      <c r="Z588"/>
      <c r="AB588"/>
      <c r="AC588"/>
      <c r="AD588"/>
      <c r="AE588"/>
      <c r="AF588"/>
      <c r="AG588"/>
      <c r="AH588"/>
      <c r="AI588"/>
      <c r="AJ588"/>
      <c r="AK588"/>
      <c r="AL588"/>
      <c r="AM588"/>
      <c r="AN588" s="9">
        <f t="shared" si="19"/>
        <v>0</v>
      </c>
      <c r="AO588" s="8"/>
      <c r="AP588" s="9">
        <f>I588-W588-X588-AN588</f>
        <v>0</v>
      </c>
      <c r="AQ588" t="s">
        <v>1316</v>
      </c>
    </row>
    <row r="589" spans="1:43" x14ac:dyDescent="0.3">
      <c r="A589" s="11">
        <f t="shared" si="20"/>
        <v>587</v>
      </c>
      <c r="B589" s="5" t="s">
        <v>1675</v>
      </c>
      <c r="C589" t="s">
        <v>893</v>
      </c>
      <c r="D589" s="24" t="s">
        <v>824</v>
      </c>
      <c r="E589" s="24" t="str">
        <f>IFERROR(VLOOKUP(D589,Dropdown!A:B,2,0),D589)</f>
        <v>Paragon</v>
      </c>
      <c r="F589" s="6">
        <v>45852</v>
      </c>
      <c r="G589" s="6" t="str">
        <f>TEXT(F589, "MMM-YY")</f>
        <v>Jul-25</v>
      </c>
      <c r="H589" t="s">
        <v>562</v>
      </c>
      <c r="I589" s="25">
        <v>104.89</v>
      </c>
      <c r="J589" s="4">
        <v>2000</v>
      </c>
      <c r="K589" t="s">
        <v>916</v>
      </c>
      <c r="L589" s="4" t="str">
        <f>VLOOKUP(K589, 'Items Master'!A:E,5,0)</f>
        <v>RIL</v>
      </c>
      <c r="M589" s="4" t="str">
        <f>VLOOKUP(K589, 'Items Master'!A:D,4,0)</f>
        <v>PP</v>
      </c>
      <c r="N589" s="4" t="s">
        <v>49</v>
      </c>
      <c r="Q589" s="6">
        <v>45852</v>
      </c>
      <c r="R589" s="6" t="str">
        <f>TEXT(Q589, "MMM-YY")</f>
        <v>Jul-25</v>
      </c>
      <c r="X589" s="25">
        <v>104.89</v>
      </c>
      <c r="AB589"/>
      <c r="AC589"/>
      <c r="AD589"/>
      <c r="AE589"/>
      <c r="AF589"/>
      <c r="AG589"/>
      <c r="AH589"/>
      <c r="AI589"/>
      <c r="AJ589"/>
      <c r="AK589"/>
      <c r="AL589"/>
      <c r="AM589"/>
      <c r="AN589" s="9">
        <f t="shared" si="19"/>
        <v>0</v>
      </c>
      <c r="AO589" s="8"/>
      <c r="AP589" s="9">
        <f>I589-W589-X589-AN589</f>
        <v>0</v>
      </c>
      <c r="AQ589" t="s">
        <v>1324</v>
      </c>
    </row>
    <row r="590" spans="1:43" x14ac:dyDescent="0.3">
      <c r="A590" s="11">
        <f t="shared" si="20"/>
        <v>588</v>
      </c>
      <c r="B590" s="5" t="s">
        <v>1675</v>
      </c>
      <c r="C590" t="s">
        <v>893</v>
      </c>
      <c r="D590" s="24" t="s">
        <v>824</v>
      </c>
      <c r="E590" s="24" t="str">
        <f>IFERROR(VLOOKUP(D590,Dropdown!A:B,2,0),D590)</f>
        <v>Paragon</v>
      </c>
      <c r="F590" s="6">
        <v>45852</v>
      </c>
      <c r="G590" s="6" t="str">
        <f>TEXT(F590, "MMM-YY")</f>
        <v>Jul-25</v>
      </c>
      <c r="H590" t="s">
        <v>562</v>
      </c>
      <c r="I590" s="25">
        <v>129.69999999999999</v>
      </c>
      <c r="J590" s="4">
        <v>500</v>
      </c>
      <c r="K590" t="s">
        <v>967</v>
      </c>
      <c r="L590" s="4" t="str">
        <f>VLOOKUP(K590, 'Items Master'!A:E,5,0)</f>
        <v>RIL</v>
      </c>
      <c r="M590" s="4" t="str">
        <f>VLOOKUP(K590, 'Items Master'!A:D,4,0)</f>
        <v>LDPE</v>
      </c>
      <c r="N590" s="4" t="s">
        <v>24</v>
      </c>
      <c r="Q590" s="6">
        <v>45852</v>
      </c>
      <c r="R590" s="6" t="str">
        <f>TEXT(Q590, "MMM-YY")</f>
        <v>Jul-25</v>
      </c>
      <c r="W590" s="25">
        <v>129.69999999999999</v>
      </c>
      <c r="Y590"/>
      <c r="Z590"/>
      <c r="AB590"/>
      <c r="AC590"/>
      <c r="AD590"/>
      <c r="AE590"/>
      <c r="AF590"/>
      <c r="AG590"/>
      <c r="AH590"/>
      <c r="AI590"/>
      <c r="AJ590"/>
      <c r="AK590"/>
      <c r="AL590"/>
      <c r="AM590"/>
      <c r="AN590" s="9">
        <f t="shared" si="19"/>
        <v>0</v>
      </c>
      <c r="AO590" s="8"/>
      <c r="AP590" s="9">
        <f>I590-W590-X590-AN590</f>
        <v>0</v>
      </c>
      <c r="AQ590" t="s">
        <v>1316</v>
      </c>
    </row>
    <row r="591" spans="1:43" x14ac:dyDescent="0.3">
      <c r="A591" s="11">
        <f t="shared" si="20"/>
        <v>589</v>
      </c>
      <c r="B591" s="5" t="s">
        <v>1675</v>
      </c>
      <c r="C591" t="s">
        <v>893</v>
      </c>
      <c r="D591" s="24" t="s">
        <v>825</v>
      </c>
      <c r="E591" s="24" t="str">
        <f>IFERROR(VLOOKUP(D591,Dropdown!A:B,2,0),D591)</f>
        <v>HARISHREE POLYMERS PRIVATE LIMITED</v>
      </c>
      <c r="F591" s="6">
        <v>45853</v>
      </c>
      <c r="G591" s="6" t="str">
        <f>TEXT(F591, "MMM-YY")</f>
        <v>Jul-25</v>
      </c>
      <c r="H591" t="s">
        <v>563</v>
      </c>
      <c r="I591" s="25">
        <v>97.5</v>
      </c>
      <c r="J591" s="4">
        <v>10000</v>
      </c>
      <c r="K591" t="s">
        <v>997</v>
      </c>
      <c r="L591" s="4" t="str">
        <f>VLOOKUP(K591, 'Items Master'!A:E,5,0)</f>
        <v>MARLEX</v>
      </c>
      <c r="M591" s="4" t="str">
        <f>VLOOKUP(K591, 'Items Master'!A:D,4,0)</f>
        <v>HDPE</v>
      </c>
      <c r="N591" s="4" t="s">
        <v>24</v>
      </c>
      <c r="Q591" s="6">
        <v>45853</v>
      </c>
      <c r="R591" s="6" t="str">
        <f>TEXT(Q591, "MMM-YY")</f>
        <v>Jul-25</v>
      </c>
      <c r="W591" s="25">
        <v>97.5</v>
      </c>
      <c r="Y591"/>
      <c r="Z591"/>
      <c r="AB591"/>
      <c r="AC591"/>
      <c r="AD591"/>
      <c r="AE591"/>
      <c r="AF591"/>
      <c r="AG591"/>
      <c r="AH591"/>
      <c r="AI591"/>
      <c r="AJ591"/>
      <c r="AK591"/>
      <c r="AL591"/>
      <c r="AM591"/>
      <c r="AN591" s="9">
        <f t="shared" si="19"/>
        <v>0</v>
      </c>
      <c r="AO591" s="8"/>
      <c r="AP591" s="9">
        <f>I591-W591-X591-AN591</f>
        <v>0</v>
      </c>
      <c r="AQ591" t="s">
        <v>1316</v>
      </c>
    </row>
    <row r="592" spans="1:43" x14ac:dyDescent="0.3">
      <c r="A592" s="11">
        <f t="shared" si="20"/>
        <v>590</v>
      </c>
      <c r="B592" s="5" t="s">
        <v>1675</v>
      </c>
      <c r="C592" t="s">
        <v>893</v>
      </c>
      <c r="D592" s="24" t="s">
        <v>825</v>
      </c>
      <c r="E592" s="24" t="str">
        <f>IFERROR(VLOOKUP(D592,Dropdown!A:B,2,0),D592)</f>
        <v>HARISHREE POLYMERS PRIVATE LIMITED</v>
      </c>
      <c r="F592" s="6">
        <v>45853</v>
      </c>
      <c r="G592" s="6" t="str">
        <f>TEXT(F592, "MMM-YY")</f>
        <v>Jul-25</v>
      </c>
      <c r="H592" t="s">
        <v>564</v>
      </c>
      <c r="I592" s="25">
        <v>97.5</v>
      </c>
      <c r="J592" s="4">
        <v>1000</v>
      </c>
      <c r="K592" t="s">
        <v>997</v>
      </c>
      <c r="L592" s="4" t="str">
        <f>VLOOKUP(K592, 'Items Master'!A:E,5,0)</f>
        <v>MARLEX</v>
      </c>
      <c r="M592" s="4" t="str">
        <f>VLOOKUP(K592, 'Items Master'!A:D,4,0)</f>
        <v>HDPE</v>
      </c>
      <c r="N592" s="4" t="s">
        <v>24</v>
      </c>
      <c r="Q592" s="6">
        <v>45853</v>
      </c>
      <c r="R592" s="6" t="str">
        <f>TEXT(Q592, "MMM-YY")</f>
        <v>Jul-25</v>
      </c>
      <c r="W592" s="25">
        <v>97.5</v>
      </c>
      <c r="Y592"/>
      <c r="Z592"/>
      <c r="AB592"/>
      <c r="AC592"/>
      <c r="AD592"/>
      <c r="AE592"/>
      <c r="AF592"/>
      <c r="AG592"/>
      <c r="AH592"/>
      <c r="AI592"/>
      <c r="AJ592"/>
      <c r="AK592"/>
      <c r="AL592"/>
      <c r="AM592"/>
      <c r="AN592" s="9">
        <f t="shared" si="19"/>
        <v>0</v>
      </c>
      <c r="AO592" s="8"/>
      <c r="AP592" s="9">
        <f>I592-W592-X592-AN592</f>
        <v>0</v>
      </c>
      <c r="AQ592" t="s">
        <v>1316</v>
      </c>
    </row>
    <row r="593" spans="1:43" x14ac:dyDescent="0.3">
      <c r="A593" s="11">
        <f t="shared" si="20"/>
        <v>591</v>
      </c>
      <c r="B593" s="5" t="s">
        <v>1675</v>
      </c>
      <c r="C593" t="s">
        <v>893</v>
      </c>
      <c r="D593" s="24" t="s">
        <v>48</v>
      </c>
      <c r="E593" s="24" t="str">
        <f>IFERROR(VLOOKUP(D593,Dropdown!A:B,2,0),D593)</f>
        <v>CVPL</v>
      </c>
      <c r="F593" s="6">
        <v>45853</v>
      </c>
      <c r="G593" s="6" t="str">
        <f>TEXT(F593, "MMM-YY")</f>
        <v>Jul-25</v>
      </c>
      <c r="H593" t="s">
        <v>565</v>
      </c>
      <c r="I593" s="25">
        <v>99.42</v>
      </c>
      <c r="J593" s="4">
        <v>750</v>
      </c>
      <c r="K593" t="s">
        <v>1279</v>
      </c>
      <c r="L593" s="4" t="str">
        <f>VLOOKUP(K593, 'Items Master'!A:E,5,0)</f>
        <v>GAIL</v>
      </c>
      <c r="M593" s="4" t="str">
        <f>VLOOKUP(K593, 'Items Master'!A:D,4,0)</f>
        <v>HDPE</v>
      </c>
      <c r="N593" s="4" t="s">
        <v>49</v>
      </c>
      <c r="Q593" s="6">
        <v>45853</v>
      </c>
      <c r="R593" s="6" t="str">
        <f>TEXT(Q593, "MMM-YY")</f>
        <v>Jul-25</v>
      </c>
      <c r="X593" s="25">
        <v>97.915999999999997</v>
      </c>
      <c r="AB593"/>
      <c r="AC593"/>
      <c r="AD593"/>
      <c r="AE593"/>
      <c r="AF593"/>
      <c r="AG593"/>
      <c r="AH593"/>
      <c r="AI593"/>
      <c r="AJ593"/>
      <c r="AK593"/>
      <c r="AL593"/>
      <c r="AM593"/>
      <c r="AN593" s="9">
        <f t="shared" si="19"/>
        <v>0</v>
      </c>
      <c r="AO593" s="8"/>
      <c r="AP593" s="9">
        <f>I593-W593-X593-AN593</f>
        <v>1.5040000000000049</v>
      </c>
      <c r="AQ593" t="s">
        <v>1324</v>
      </c>
    </row>
    <row r="594" spans="1:43" x14ac:dyDescent="0.3">
      <c r="A594" s="11">
        <f t="shared" si="20"/>
        <v>592</v>
      </c>
      <c r="B594" s="5" t="s">
        <v>1675</v>
      </c>
      <c r="C594" t="s">
        <v>893</v>
      </c>
      <c r="D594" s="24" t="s">
        <v>48</v>
      </c>
      <c r="E594" s="24" t="str">
        <f>IFERROR(VLOOKUP(D594,Dropdown!A:B,2,0),D594)</f>
        <v>CVPL</v>
      </c>
      <c r="F594" s="6">
        <v>45853</v>
      </c>
      <c r="G594" s="6" t="str">
        <f>TEXT(F594, "MMM-YY")</f>
        <v>Jul-25</v>
      </c>
      <c r="H594" t="s">
        <v>566</v>
      </c>
      <c r="I594" s="25">
        <v>99.99</v>
      </c>
      <c r="J594" s="4">
        <v>3500</v>
      </c>
      <c r="K594" t="s">
        <v>903</v>
      </c>
      <c r="L594" s="4" t="str">
        <f>VLOOKUP(K594, 'Items Master'!A:E,5,0)</f>
        <v>GAIL</v>
      </c>
      <c r="M594" s="4" t="str">
        <f>VLOOKUP(K594, 'Items Master'!A:D,4,0)</f>
        <v>LLDPE</v>
      </c>
      <c r="N594" s="4" t="s">
        <v>49</v>
      </c>
      <c r="Q594" s="6">
        <v>45853</v>
      </c>
      <c r="R594" s="6" t="str">
        <f>TEXT(Q594, "MMM-YY")</f>
        <v>Jul-25</v>
      </c>
      <c r="X594" s="25">
        <v>99.986000000000004</v>
      </c>
      <c r="AB594"/>
      <c r="AC594"/>
      <c r="AD594"/>
      <c r="AE594"/>
      <c r="AF594"/>
      <c r="AG594"/>
      <c r="AH594"/>
      <c r="AI594"/>
      <c r="AJ594"/>
      <c r="AK594"/>
      <c r="AL594"/>
      <c r="AM594"/>
      <c r="AN594" s="9">
        <f t="shared" si="19"/>
        <v>0</v>
      </c>
      <c r="AO594" s="8"/>
      <c r="AP594" s="9">
        <f>I594-W594-X594-AN594</f>
        <v>3.9999999999906777E-3</v>
      </c>
      <c r="AQ594" t="s">
        <v>1324</v>
      </c>
    </row>
    <row r="595" spans="1:43" x14ac:dyDescent="0.3">
      <c r="A595" s="11">
        <f t="shared" si="20"/>
        <v>593</v>
      </c>
      <c r="B595" s="5" t="s">
        <v>1675</v>
      </c>
      <c r="C595" t="s">
        <v>893</v>
      </c>
      <c r="D595" s="24" t="s">
        <v>857</v>
      </c>
      <c r="E595" s="24" t="str">
        <f>IFERROR(VLOOKUP(D595,Dropdown!A:B,2,0),D595)</f>
        <v>Purav</v>
      </c>
      <c r="F595" s="6">
        <v>45853</v>
      </c>
      <c r="G595" s="6" t="str">
        <f>TEXT(F595, "MMM-YY")</f>
        <v>Jul-25</v>
      </c>
      <c r="H595" t="s">
        <v>567</v>
      </c>
      <c r="I595" s="25">
        <v>98</v>
      </c>
      <c r="J595" s="4">
        <v>10000</v>
      </c>
      <c r="K595" t="s">
        <v>17</v>
      </c>
      <c r="L595" s="4" t="str">
        <f>VLOOKUP(K595, 'Items Master'!A:E,5,0)</f>
        <v>OPAL</v>
      </c>
      <c r="M595" s="4" t="str">
        <f>VLOOKUP(K595, 'Items Master'!A:D,4,0)</f>
        <v>LLDPE</v>
      </c>
      <c r="N595" s="4" t="s">
        <v>49</v>
      </c>
      <c r="O595" t="s">
        <v>1298</v>
      </c>
      <c r="Q595" s="6">
        <v>45853</v>
      </c>
      <c r="R595" s="6" t="str">
        <f>TEXT(Q595, "MMM-YY")</f>
        <v>Jul-25</v>
      </c>
      <c r="U595" t="s">
        <v>1605</v>
      </c>
      <c r="X595" s="25">
        <v>98.8</v>
      </c>
      <c r="Y595" s="25" t="s">
        <v>1303</v>
      </c>
      <c r="Z595" s="25" t="s">
        <v>1306</v>
      </c>
      <c r="AB595" s="8">
        <v>-0.9</v>
      </c>
      <c r="AH595" s="8">
        <v>0.1</v>
      </c>
      <c r="AN595" s="9">
        <f t="shared" si="19"/>
        <v>-0.8</v>
      </c>
      <c r="AO595" s="8"/>
      <c r="AP595" s="9">
        <f>I595-W595-X595-AN595</f>
        <v>2.886579864025407E-15</v>
      </c>
      <c r="AQ595" t="s">
        <v>1316</v>
      </c>
    </row>
    <row r="596" spans="1:43" x14ac:dyDescent="0.3">
      <c r="A596" s="11">
        <f t="shared" si="20"/>
        <v>594</v>
      </c>
      <c r="B596" s="5" t="s">
        <v>1675</v>
      </c>
      <c r="C596" t="s">
        <v>894</v>
      </c>
      <c r="D596" s="24" t="s">
        <v>857</v>
      </c>
      <c r="E596" s="24" t="str">
        <f>IFERROR(VLOOKUP(D596,Dropdown!A:B,2,0),D596)</f>
        <v>Purav</v>
      </c>
      <c r="F596" s="6">
        <v>45854</v>
      </c>
      <c r="G596" s="6" t="str">
        <f>TEXT(F596, "MMM-YY")</f>
        <v>Jul-25</v>
      </c>
      <c r="H596" t="s">
        <v>568</v>
      </c>
      <c r="I596" s="25">
        <v>98</v>
      </c>
      <c r="J596" s="4">
        <v>11000</v>
      </c>
      <c r="K596" t="s">
        <v>17</v>
      </c>
      <c r="L596" s="4" t="str">
        <f>VLOOKUP(K596, 'Items Master'!A:E,5,0)</f>
        <v>OPAL</v>
      </c>
      <c r="M596" s="4" t="str">
        <f>VLOOKUP(K596, 'Items Master'!A:D,4,0)</f>
        <v>LLDPE</v>
      </c>
      <c r="N596" s="4" t="s">
        <v>49</v>
      </c>
      <c r="O596" t="s">
        <v>1298</v>
      </c>
      <c r="Q596" s="6">
        <v>45854</v>
      </c>
      <c r="R596" s="6" t="str">
        <f>TEXT(Q596, "MMM-YY")</f>
        <v>Jul-25</v>
      </c>
      <c r="U596" t="s">
        <v>1605</v>
      </c>
      <c r="X596" s="25">
        <v>98.8</v>
      </c>
      <c r="Y596" s="25" t="s">
        <v>1303</v>
      </c>
      <c r="Z596" s="25" t="s">
        <v>1306</v>
      </c>
      <c r="AB596" s="8">
        <v>-0.9</v>
      </c>
      <c r="AH596" s="8">
        <v>0.1</v>
      </c>
      <c r="AN596" s="9">
        <f t="shared" si="19"/>
        <v>-0.8</v>
      </c>
      <c r="AO596" s="8"/>
      <c r="AP596" s="9">
        <f>I596-W596-X596-AN596</f>
        <v>2.886579864025407E-15</v>
      </c>
      <c r="AQ596" t="s">
        <v>1316</v>
      </c>
    </row>
    <row r="597" spans="1:43" x14ac:dyDescent="0.3">
      <c r="A597" s="11">
        <f t="shared" si="20"/>
        <v>595</v>
      </c>
      <c r="B597" s="5" t="s">
        <v>1675</v>
      </c>
      <c r="C597" t="s">
        <v>894</v>
      </c>
      <c r="D597" s="24" t="s">
        <v>857</v>
      </c>
      <c r="E597" s="24" t="str">
        <f>IFERROR(VLOOKUP(D597,Dropdown!A:B,2,0),D597)</f>
        <v>Purav</v>
      </c>
      <c r="F597" s="6">
        <v>45854</v>
      </c>
      <c r="G597" s="6" t="str">
        <f>TEXT(F597, "MMM-YY")</f>
        <v>Jul-25</v>
      </c>
      <c r="H597" t="s">
        <v>569</v>
      </c>
      <c r="I597" s="25">
        <v>97.5</v>
      </c>
      <c r="J597" s="4">
        <v>1000</v>
      </c>
      <c r="K597" t="s">
        <v>991</v>
      </c>
      <c r="L597" s="4" t="str">
        <f>VLOOKUP(K597, 'Items Master'!A:E,5,0)</f>
        <v>OPAL</v>
      </c>
      <c r="M597" s="4" t="str">
        <f>VLOOKUP(K597, 'Items Master'!A:D,4,0)</f>
        <v>HDPE</v>
      </c>
      <c r="N597" s="4" t="s">
        <v>49</v>
      </c>
      <c r="O597" t="s">
        <v>1298</v>
      </c>
      <c r="Q597" s="6">
        <v>45854</v>
      </c>
      <c r="R597" s="6" t="str">
        <f>TEXT(Q597, "MMM-YY")</f>
        <v>Jul-25</v>
      </c>
      <c r="U597" t="s">
        <v>1605</v>
      </c>
      <c r="X597" s="25">
        <v>98.29</v>
      </c>
      <c r="Y597" s="25" t="s">
        <v>1303</v>
      </c>
      <c r="Z597" s="25" t="s">
        <v>1306</v>
      </c>
      <c r="AB597" s="8">
        <v>-0.9</v>
      </c>
      <c r="AH597" s="8">
        <v>0.1</v>
      </c>
      <c r="AK597" s="8">
        <v>0.01</v>
      </c>
      <c r="AN597" s="9">
        <f t="shared" si="19"/>
        <v>-0.79</v>
      </c>
      <c r="AO597" s="8"/>
      <c r="AP597" s="9">
        <f>I597-W597-X597-AN597</f>
        <v>-6.2172489379008766E-15</v>
      </c>
      <c r="AQ597" t="s">
        <v>1316</v>
      </c>
    </row>
    <row r="598" spans="1:43" x14ac:dyDescent="0.3">
      <c r="A598" s="11">
        <f t="shared" si="20"/>
        <v>596</v>
      </c>
      <c r="B598" s="5" t="s">
        <v>1675</v>
      </c>
      <c r="C598" t="s">
        <v>893</v>
      </c>
      <c r="D598" s="24" t="s">
        <v>48</v>
      </c>
      <c r="E598" s="24" t="str">
        <f>IFERROR(VLOOKUP(D598,Dropdown!A:B,2,0),D598)</f>
        <v>CVPL</v>
      </c>
      <c r="F598" s="6">
        <v>45854</v>
      </c>
      <c r="G598" s="6" t="str">
        <f>TEXT(F598, "MMM-YY")</f>
        <v>Jul-25</v>
      </c>
      <c r="H598" t="s">
        <v>570</v>
      </c>
      <c r="I598" s="25">
        <v>101.15</v>
      </c>
      <c r="J598" s="4">
        <v>2500</v>
      </c>
      <c r="K598" t="s">
        <v>937</v>
      </c>
      <c r="L598" s="4" t="str">
        <f>VLOOKUP(K598, 'Items Master'!A:E,5,0)</f>
        <v>MRPL</v>
      </c>
      <c r="M598" s="4" t="str">
        <f>VLOOKUP(K598, 'Items Master'!A:D,4,0)</f>
        <v>PP</v>
      </c>
      <c r="N598" s="4" t="s">
        <v>49</v>
      </c>
      <c r="Q598" s="6">
        <v>45854</v>
      </c>
      <c r="R598" s="6" t="str">
        <f>TEXT(Q598, "MMM-YY")</f>
        <v>Jul-25</v>
      </c>
      <c r="X598" s="25">
        <v>99.346000000000004</v>
      </c>
      <c r="Z598" s="25" t="s">
        <v>1305</v>
      </c>
      <c r="AB598"/>
      <c r="AC598"/>
      <c r="AD598"/>
      <c r="AE598"/>
      <c r="AF598"/>
      <c r="AG598"/>
      <c r="AH598"/>
      <c r="AI598"/>
      <c r="AJ598"/>
      <c r="AK598"/>
      <c r="AL598"/>
      <c r="AM598"/>
      <c r="AN598" s="9">
        <f t="shared" si="19"/>
        <v>0</v>
      </c>
      <c r="AO598" s="8"/>
      <c r="AP598" s="9">
        <f>I598-W598-X598-AN598</f>
        <v>1.804000000000002</v>
      </c>
      <c r="AQ598" t="s">
        <v>1324</v>
      </c>
    </row>
    <row r="599" spans="1:43" x14ac:dyDescent="0.3">
      <c r="A599" s="11">
        <f t="shared" si="20"/>
        <v>597</v>
      </c>
      <c r="B599" s="5" t="s">
        <v>1675</v>
      </c>
      <c r="C599" t="s">
        <v>893</v>
      </c>
      <c r="D599" s="24" t="s">
        <v>857</v>
      </c>
      <c r="E599" s="24" t="str">
        <f>IFERROR(VLOOKUP(D599,Dropdown!A:B,2,0),D599)</f>
        <v>Purav</v>
      </c>
      <c r="F599" s="6">
        <v>45854</v>
      </c>
      <c r="G599" s="6" t="str">
        <f>TEXT(F599, "MMM-YY")</f>
        <v>Jul-25</v>
      </c>
      <c r="H599" t="s">
        <v>571</v>
      </c>
      <c r="I599" s="25">
        <v>97.99</v>
      </c>
      <c r="J599" s="4">
        <v>10000</v>
      </c>
      <c r="K599" t="s">
        <v>17</v>
      </c>
      <c r="L599" s="4" t="str">
        <f>VLOOKUP(K599, 'Items Master'!A:E,5,0)</f>
        <v>OPAL</v>
      </c>
      <c r="M599" s="4" t="str">
        <f>VLOOKUP(K599, 'Items Master'!A:D,4,0)</f>
        <v>LLDPE</v>
      </c>
      <c r="N599" s="4" t="s">
        <v>49</v>
      </c>
      <c r="O599" t="s">
        <v>1298</v>
      </c>
      <c r="Q599" s="6">
        <v>45854</v>
      </c>
      <c r="R599" s="6" t="str">
        <f>TEXT(Q599, "MMM-YY")</f>
        <v>Jul-25</v>
      </c>
      <c r="U599" t="s">
        <v>1605</v>
      </c>
      <c r="X599" s="25">
        <v>98.8</v>
      </c>
      <c r="Y599" s="25" t="s">
        <v>1303</v>
      </c>
      <c r="Z599" s="25" t="s">
        <v>1306</v>
      </c>
      <c r="AB599" s="8">
        <v>-0.9</v>
      </c>
      <c r="AH599" s="8">
        <v>0.1</v>
      </c>
      <c r="AK599" s="8">
        <v>-0.01</v>
      </c>
      <c r="AN599" s="9">
        <f t="shared" si="19"/>
        <v>-0.81</v>
      </c>
      <c r="AO599" s="8"/>
      <c r="AP599" s="9">
        <f>I599-W599-X599-AN599</f>
        <v>-2.2204460492503131E-15</v>
      </c>
      <c r="AQ599" t="s">
        <v>1316</v>
      </c>
    </row>
    <row r="600" spans="1:43" x14ac:dyDescent="0.3">
      <c r="A600" s="11">
        <f t="shared" si="20"/>
        <v>598</v>
      </c>
      <c r="B600" s="5" t="s">
        <v>1675</v>
      </c>
      <c r="C600" t="s">
        <v>893</v>
      </c>
      <c r="D600" s="24" t="s">
        <v>48</v>
      </c>
      <c r="E600" s="24" t="str">
        <f>IFERROR(VLOOKUP(D600,Dropdown!A:B,2,0),D600)</f>
        <v>CVPL</v>
      </c>
      <c r="F600" s="6">
        <v>45854</v>
      </c>
      <c r="G600" s="6" t="str">
        <f>TEXT(F600, "MMM-YY")</f>
        <v>Jul-25</v>
      </c>
      <c r="H600" t="s">
        <v>572</v>
      </c>
      <c r="I600" s="25">
        <v>97.57</v>
      </c>
      <c r="J600" s="4">
        <v>6000</v>
      </c>
      <c r="K600" t="s">
        <v>942</v>
      </c>
      <c r="L600" s="4" t="str">
        <f>VLOOKUP(K600, 'Items Master'!A:E,5,0)</f>
        <v>GAIL</v>
      </c>
      <c r="M600" s="4" t="str">
        <f>VLOOKUP(K600, 'Items Master'!A:D,4,0)</f>
        <v>HDPE</v>
      </c>
      <c r="N600" s="4" t="s">
        <v>49</v>
      </c>
      <c r="Q600" s="6">
        <v>45854</v>
      </c>
      <c r="R600" s="6" t="str">
        <f>TEXT(Q600, "MMM-YY")</f>
        <v>Jul-25</v>
      </c>
      <c r="X600" s="25">
        <v>97.07</v>
      </c>
      <c r="Z600" s="25" t="s">
        <v>1305</v>
      </c>
      <c r="AB600"/>
      <c r="AC600"/>
      <c r="AD600"/>
      <c r="AE600"/>
      <c r="AF600"/>
      <c r="AG600"/>
      <c r="AH600"/>
      <c r="AI600"/>
      <c r="AJ600"/>
      <c r="AK600"/>
      <c r="AL600"/>
      <c r="AM600"/>
      <c r="AN600" s="9">
        <f t="shared" si="19"/>
        <v>0</v>
      </c>
      <c r="AO600" s="8"/>
      <c r="AP600" s="9">
        <f>I600-W600-X600-AN600</f>
        <v>0.5</v>
      </c>
      <c r="AQ600" t="s">
        <v>1324</v>
      </c>
    </row>
    <row r="601" spans="1:43" x14ac:dyDescent="0.3">
      <c r="A601" s="11">
        <f t="shared" si="20"/>
        <v>599</v>
      </c>
      <c r="B601" s="5" t="s">
        <v>1675</v>
      </c>
      <c r="C601" t="s">
        <v>893</v>
      </c>
      <c r="D601" s="24" t="s">
        <v>48</v>
      </c>
      <c r="E601" s="24" t="str">
        <f>IFERROR(VLOOKUP(D601,Dropdown!A:B,2,0),D601)</f>
        <v>CVPL</v>
      </c>
      <c r="F601" s="6">
        <v>45854</v>
      </c>
      <c r="G601" s="6" t="str">
        <f>TEXT(F601, "MMM-YY")</f>
        <v>Jul-25</v>
      </c>
      <c r="H601" t="s">
        <v>573</v>
      </c>
      <c r="I601" s="25">
        <v>100.69</v>
      </c>
      <c r="J601" s="4">
        <v>6000</v>
      </c>
      <c r="K601" t="s">
        <v>974</v>
      </c>
      <c r="L601" s="4" t="str">
        <f>VLOOKUP(K601, 'Items Master'!A:E,5,0)</f>
        <v>GAIL</v>
      </c>
      <c r="M601" s="4" t="str">
        <f>VLOOKUP(K601, 'Items Master'!A:D,4,0)</f>
        <v>LLDPE</v>
      </c>
      <c r="N601" s="4" t="s">
        <v>49</v>
      </c>
      <c r="Q601" s="6">
        <v>45854</v>
      </c>
      <c r="R601" s="6" t="str">
        <f>TEXT(Q601, "MMM-YY")</f>
        <v>Jul-25</v>
      </c>
      <c r="X601" s="25">
        <v>100.19</v>
      </c>
      <c r="Z601" s="25" t="s">
        <v>1305</v>
      </c>
      <c r="AB601"/>
      <c r="AC601"/>
      <c r="AD601"/>
      <c r="AE601"/>
      <c r="AF601"/>
      <c r="AG601"/>
      <c r="AH601"/>
      <c r="AI601"/>
      <c r="AJ601"/>
      <c r="AK601"/>
      <c r="AL601"/>
      <c r="AM601"/>
      <c r="AN601" s="9">
        <f t="shared" si="19"/>
        <v>0</v>
      </c>
      <c r="AO601" s="8"/>
      <c r="AP601" s="9">
        <f>I601-W601-X601-AN601</f>
        <v>0.5</v>
      </c>
      <c r="AQ601" t="s">
        <v>1324</v>
      </c>
    </row>
    <row r="602" spans="1:43" x14ac:dyDescent="0.3">
      <c r="A602" s="11">
        <f t="shared" si="20"/>
        <v>600</v>
      </c>
      <c r="B602" s="5" t="s">
        <v>1675</v>
      </c>
      <c r="C602" t="s">
        <v>893</v>
      </c>
      <c r="D602" s="24" t="s">
        <v>844</v>
      </c>
      <c r="E602" s="24" t="str">
        <f>IFERROR(VLOOKUP(D602,Dropdown!A:B,2,0),D602)</f>
        <v>APEX TECHNO POLYMER PRIVATE LIMITED</v>
      </c>
      <c r="F602" s="6">
        <v>45854</v>
      </c>
      <c r="G602" s="6" t="str">
        <f>TEXT(F602, "MMM-YY")</f>
        <v>Jul-25</v>
      </c>
      <c r="H602" t="s">
        <v>574</v>
      </c>
      <c r="I602" s="25">
        <v>172</v>
      </c>
      <c r="J602" s="4">
        <v>1000</v>
      </c>
      <c r="K602" t="s">
        <v>969</v>
      </c>
      <c r="L602" s="4" t="str">
        <f>VLOOKUP(K602, 'Items Master'!A:E,5,0)</f>
        <v>RAVAGO</v>
      </c>
      <c r="M602" s="4" t="str">
        <f>VLOOKUP(K602, 'Items Master'!A:D,4,0)</f>
        <v>PBT</v>
      </c>
      <c r="N602" s="4" t="s">
        <v>24</v>
      </c>
      <c r="Q602" s="6">
        <v>45854</v>
      </c>
      <c r="R602" s="6" t="str">
        <f>TEXT(Q602, "MMM-YY")</f>
        <v>Jul-25</v>
      </c>
      <c r="W602" s="25">
        <v>172</v>
      </c>
      <c r="Y602"/>
      <c r="Z602"/>
      <c r="AB602"/>
      <c r="AC602"/>
      <c r="AD602"/>
      <c r="AE602"/>
      <c r="AF602"/>
      <c r="AG602"/>
      <c r="AH602"/>
      <c r="AI602"/>
      <c r="AJ602"/>
      <c r="AK602"/>
      <c r="AL602"/>
      <c r="AM602"/>
      <c r="AN602" s="9">
        <f t="shared" si="19"/>
        <v>0</v>
      </c>
      <c r="AO602" s="8"/>
      <c r="AP602" s="9">
        <f>I602-W602-X602-AN602</f>
        <v>0</v>
      </c>
      <c r="AQ602" t="s">
        <v>1316</v>
      </c>
    </row>
    <row r="603" spans="1:43" x14ac:dyDescent="0.3">
      <c r="A603" s="11">
        <f t="shared" si="20"/>
        <v>601</v>
      </c>
      <c r="B603" s="5" t="s">
        <v>1675</v>
      </c>
      <c r="C603" t="s">
        <v>893</v>
      </c>
      <c r="D603" s="24" t="s">
        <v>48</v>
      </c>
      <c r="E603" s="24" t="str">
        <f>IFERROR(VLOOKUP(D603,Dropdown!A:B,2,0),D603)</f>
        <v>CVPL</v>
      </c>
      <c r="F603" s="6">
        <v>45854</v>
      </c>
      <c r="G603" s="6" t="str">
        <f>TEXT(F603, "MMM-YY")</f>
        <v>Jul-25</v>
      </c>
      <c r="H603" t="s">
        <v>575</v>
      </c>
      <c r="I603" s="25">
        <v>99.99</v>
      </c>
      <c r="J603" s="4">
        <v>2500</v>
      </c>
      <c r="K603" t="s">
        <v>903</v>
      </c>
      <c r="L603" s="4" t="str">
        <f>VLOOKUP(K603, 'Items Master'!A:E,5,0)</f>
        <v>GAIL</v>
      </c>
      <c r="M603" s="4" t="str">
        <f>VLOOKUP(K603, 'Items Master'!A:D,4,0)</f>
        <v>LLDPE</v>
      </c>
      <c r="N603" s="4" t="s">
        <v>49</v>
      </c>
      <c r="Q603" s="6">
        <v>45854</v>
      </c>
      <c r="R603" s="6" t="str">
        <f>TEXT(Q603, "MMM-YY")</f>
        <v>Jul-25</v>
      </c>
      <c r="X603" s="25">
        <v>99.49</v>
      </c>
      <c r="Y603" s="25" t="s">
        <v>1304</v>
      </c>
      <c r="Z603" s="25" t="s">
        <v>1305</v>
      </c>
      <c r="AB603"/>
      <c r="AC603"/>
      <c r="AD603"/>
      <c r="AE603"/>
      <c r="AF603"/>
      <c r="AG603"/>
      <c r="AH603"/>
      <c r="AI603"/>
      <c r="AJ603"/>
      <c r="AK603"/>
      <c r="AL603"/>
      <c r="AM603"/>
      <c r="AN603" s="9">
        <f t="shared" si="19"/>
        <v>0</v>
      </c>
      <c r="AO603" s="8"/>
      <c r="AP603" s="9">
        <f>I603-W603-X603-AN603</f>
        <v>0.5</v>
      </c>
      <c r="AQ603" t="s">
        <v>1324</v>
      </c>
    </row>
    <row r="604" spans="1:43" x14ac:dyDescent="0.3">
      <c r="A604" s="11">
        <f t="shared" si="20"/>
        <v>602</v>
      </c>
      <c r="B604" s="5" t="s">
        <v>1675</v>
      </c>
      <c r="C604" t="s">
        <v>893</v>
      </c>
      <c r="D604" s="24" t="s">
        <v>824</v>
      </c>
      <c r="E604" s="24" t="str">
        <f>IFERROR(VLOOKUP(D604,Dropdown!A:B,2,0),D604)</f>
        <v>Paragon</v>
      </c>
      <c r="F604" s="6">
        <v>45855</v>
      </c>
      <c r="G604" s="6" t="str">
        <f>TEXT(F604, "MMM-YY")</f>
        <v>Jul-25</v>
      </c>
      <c r="H604" t="s">
        <v>576</v>
      </c>
      <c r="I604" s="25">
        <v>97.14</v>
      </c>
      <c r="J604" s="4">
        <v>100</v>
      </c>
      <c r="K604" t="s">
        <v>971</v>
      </c>
      <c r="L604" s="4" t="str">
        <f>VLOOKUP(K604, 'Items Master'!A:E,5,0)</f>
        <v>RIL</v>
      </c>
      <c r="M604" s="4" t="str">
        <f>VLOOKUP(K604, 'Items Master'!A:D,4,0)</f>
        <v>HDPE</v>
      </c>
      <c r="N604" s="4" t="s">
        <v>49</v>
      </c>
      <c r="Q604" s="6">
        <v>45855</v>
      </c>
      <c r="R604" s="6" t="str">
        <f>TEXT(Q604, "MMM-YY")</f>
        <v>Jul-25</v>
      </c>
      <c r="X604" s="25">
        <v>97.14</v>
      </c>
      <c r="Y604" s="25" t="s">
        <v>1303</v>
      </c>
      <c r="Z604" s="25" t="s">
        <v>1305</v>
      </c>
      <c r="AB604"/>
      <c r="AC604"/>
      <c r="AD604"/>
      <c r="AE604"/>
      <c r="AF604"/>
      <c r="AG604"/>
      <c r="AH604"/>
      <c r="AI604"/>
      <c r="AJ604"/>
      <c r="AK604"/>
      <c r="AL604"/>
      <c r="AM604"/>
      <c r="AN604" s="9">
        <f t="shared" si="19"/>
        <v>0</v>
      </c>
      <c r="AO604" s="8"/>
      <c r="AP604" s="9">
        <f>I604-W604-X604-AN604</f>
        <v>0</v>
      </c>
      <c r="AQ604" t="s">
        <v>1324</v>
      </c>
    </row>
    <row r="605" spans="1:43" x14ac:dyDescent="0.3">
      <c r="A605" s="11">
        <f t="shared" si="20"/>
        <v>603</v>
      </c>
      <c r="B605" s="5" t="s">
        <v>1675</v>
      </c>
      <c r="C605" t="s">
        <v>894</v>
      </c>
      <c r="D605" s="24" t="s">
        <v>857</v>
      </c>
      <c r="E605" s="24" t="str">
        <f>IFERROR(VLOOKUP(D605,Dropdown!A:B,2,0),D605)</f>
        <v>Purav</v>
      </c>
      <c r="F605" s="6">
        <v>45855</v>
      </c>
      <c r="G605" s="6" t="str">
        <f>TEXT(F605, "MMM-YY")</f>
        <v>Jul-25</v>
      </c>
      <c r="H605" t="s">
        <v>577</v>
      </c>
      <c r="I605" s="25">
        <v>97.95</v>
      </c>
      <c r="J605" s="4">
        <v>5000</v>
      </c>
      <c r="K605" t="s">
        <v>896</v>
      </c>
      <c r="L605" s="4" t="str">
        <f>VLOOKUP(K605, 'Items Master'!A:E,5,0)</f>
        <v>OPAL</v>
      </c>
      <c r="M605" s="4" t="str">
        <f>VLOOKUP(K605, 'Items Master'!A:D,4,0)</f>
        <v>HDPE</v>
      </c>
      <c r="N605" s="4" t="s">
        <v>49</v>
      </c>
      <c r="O605" t="s">
        <v>1298</v>
      </c>
      <c r="Q605" s="6">
        <v>45855</v>
      </c>
      <c r="R605" s="6" t="str">
        <f>TEXT(Q605, "MMM-YY")</f>
        <v>Jul-25</v>
      </c>
      <c r="U605" t="s">
        <v>1605</v>
      </c>
      <c r="X605" s="25">
        <v>98.75</v>
      </c>
      <c r="Y605" s="25" t="s">
        <v>1303</v>
      </c>
      <c r="Z605" s="25" t="s">
        <v>1306</v>
      </c>
      <c r="AB605" s="8">
        <v>-0.9</v>
      </c>
      <c r="AH605" s="8">
        <v>0.1</v>
      </c>
      <c r="AN605" s="9">
        <f t="shared" si="19"/>
        <v>-0.8</v>
      </c>
      <c r="AO605" s="8"/>
      <c r="AP605" s="9">
        <f>I605-W605-X605-AN605</f>
        <v>2.886579864025407E-15</v>
      </c>
      <c r="AQ605" t="s">
        <v>1316</v>
      </c>
    </row>
    <row r="606" spans="1:43" x14ac:dyDescent="0.3">
      <c r="A606" s="11">
        <f t="shared" si="20"/>
        <v>604</v>
      </c>
      <c r="B606" s="5" t="s">
        <v>1675</v>
      </c>
      <c r="C606" t="s">
        <v>893</v>
      </c>
      <c r="D606" s="24" t="s">
        <v>830</v>
      </c>
      <c r="E606" s="24" t="str">
        <f>IFERROR(VLOOKUP(D606,Dropdown!A:B,2,0),D606)</f>
        <v>BULK LIQUID SOLUTIONS PVT LTD</v>
      </c>
      <c r="F606" s="6">
        <v>45855</v>
      </c>
      <c r="G606" s="6" t="str">
        <f>TEXT(F606, "MMM-YY")</f>
        <v>Jul-25</v>
      </c>
      <c r="H606" t="s">
        <v>578</v>
      </c>
      <c r="I606" s="25">
        <v>92</v>
      </c>
      <c r="J606" s="4">
        <v>1200</v>
      </c>
      <c r="K606" t="s">
        <v>998</v>
      </c>
      <c r="L606" s="4" t="str">
        <f>VLOOKUP(K606, 'Items Master'!A:E,5,0)</f>
        <v>JINNENG</v>
      </c>
      <c r="M606" s="4" t="str">
        <f>VLOOKUP(K606, 'Items Master'!A:D,4,0)</f>
        <v>PP</v>
      </c>
      <c r="N606" s="4" t="s">
        <v>24</v>
      </c>
      <c r="Q606" s="6">
        <v>45855</v>
      </c>
      <c r="R606" s="6" t="str">
        <f>TEXT(Q606, "MMM-YY")</f>
        <v>Jul-25</v>
      </c>
      <c r="W606" s="25">
        <v>92</v>
      </c>
      <c r="Y606"/>
      <c r="Z606"/>
      <c r="AB606"/>
      <c r="AC606"/>
      <c r="AD606"/>
      <c r="AE606"/>
      <c r="AF606"/>
      <c r="AG606"/>
      <c r="AH606"/>
      <c r="AI606"/>
      <c r="AJ606"/>
      <c r="AK606"/>
      <c r="AL606"/>
      <c r="AM606"/>
      <c r="AN606" s="9">
        <f t="shared" si="19"/>
        <v>0</v>
      </c>
      <c r="AO606" s="8"/>
      <c r="AP606" s="9">
        <f>I606-W606-X606-AN606</f>
        <v>0</v>
      </c>
      <c r="AQ606" t="s">
        <v>1316</v>
      </c>
    </row>
    <row r="607" spans="1:43" x14ac:dyDescent="0.3">
      <c r="A607" s="11">
        <f t="shared" si="20"/>
        <v>605</v>
      </c>
      <c r="B607" s="5" t="s">
        <v>1675</v>
      </c>
      <c r="C607" t="s">
        <v>894</v>
      </c>
      <c r="D607" s="24" t="s">
        <v>881</v>
      </c>
      <c r="E607" s="24" t="str">
        <f>IFERROR(VLOOKUP(D607,Dropdown!A:B,2,0),D607)</f>
        <v>APSARA POLYMERS PVT LTD</v>
      </c>
      <c r="F607" s="6">
        <v>45855</v>
      </c>
      <c r="G607" s="6" t="str">
        <f>TEXT(F607, "MMM-YY")</f>
        <v>Jul-25</v>
      </c>
      <c r="H607" t="s">
        <v>579</v>
      </c>
      <c r="I607" s="25">
        <v>69</v>
      </c>
      <c r="J607" s="4">
        <v>24000</v>
      </c>
      <c r="K607" t="s">
        <v>999</v>
      </c>
      <c r="L607" s="4" t="str">
        <f>VLOOKUP(K607, 'Items Master'!A:E,5,0)</f>
        <v>HANWHA</v>
      </c>
      <c r="M607" s="4" t="str">
        <f>VLOOKUP(K607, 'Items Master'!A:D,4,0)</f>
        <v>PVC</v>
      </c>
      <c r="N607" s="4" t="s">
        <v>24</v>
      </c>
      <c r="Q607" s="6">
        <v>45855</v>
      </c>
      <c r="R607" s="6" t="str">
        <f>TEXT(Q607, "MMM-YY")</f>
        <v>Jul-25</v>
      </c>
      <c r="W607" s="25">
        <v>69</v>
      </c>
      <c r="Y607"/>
      <c r="Z607"/>
      <c r="AB607"/>
      <c r="AC607"/>
      <c r="AD607"/>
      <c r="AE607"/>
      <c r="AF607"/>
      <c r="AG607"/>
      <c r="AH607"/>
      <c r="AI607"/>
      <c r="AJ607"/>
      <c r="AK607"/>
      <c r="AL607"/>
      <c r="AM607"/>
      <c r="AN607" s="9">
        <f t="shared" si="19"/>
        <v>0</v>
      </c>
      <c r="AO607" s="8"/>
      <c r="AP607" s="9">
        <f>I607-W607-X607-AN607</f>
        <v>0</v>
      </c>
      <c r="AQ607" t="s">
        <v>1316</v>
      </c>
    </row>
    <row r="608" spans="1:43" x14ac:dyDescent="0.3">
      <c r="A608" s="11">
        <f t="shared" si="20"/>
        <v>606</v>
      </c>
      <c r="B608" s="5" t="s">
        <v>1675</v>
      </c>
      <c r="C608" t="s">
        <v>893</v>
      </c>
      <c r="D608" s="24" t="s">
        <v>864</v>
      </c>
      <c r="E608" s="24" t="str">
        <f>IFERROR(VLOOKUP(D608,Dropdown!A:B,2,0),D608)</f>
        <v>SVP</v>
      </c>
      <c r="F608" s="6">
        <v>45855</v>
      </c>
      <c r="G608" s="6" t="str">
        <f>TEXT(F608, "MMM-YY")</f>
        <v>Jul-25</v>
      </c>
      <c r="H608" t="s">
        <v>580</v>
      </c>
      <c r="I608" s="25">
        <v>101.48</v>
      </c>
      <c r="J608" s="4">
        <v>12000</v>
      </c>
      <c r="K608" t="s">
        <v>958</v>
      </c>
      <c r="L608" s="4" t="str">
        <f>VLOOKUP(K608, 'Items Master'!A:E,5,0)</f>
        <v>HMEL</v>
      </c>
      <c r="M608" s="4" t="str">
        <f>VLOOKUP(K608, 'Items Master'!A:D,4,0)</f>
        <v>PP</v>
      </c>
      <c r="N608" s="4" t="s">
        <v>49</v>
      </c>
      <c r="Q608" s="6">
        <v>45855</v>
      </c>
      <c r="R608" s="6" t="str">
        <f>TEXT(Q608, "MMM-YY")</f>
        <v>Jul-25</v>
      </c>
      <c r="X608" s="25">
        <v>102.98</v>
      </c>
      <c r="Y608" t="s">
        <v>1303</v>
      </c>
      <c r="Z608" t="s">
        <v>1305</v>
      </c>
      <c r="AB608" s="8">
        <v>-1.1000000000000001</v>
      </c>
      <c r="AC608" s="8">
        <v>-0.4</v>
      </c>
      <c r="AN608" s="9">
        <f t="shared" si="19"/>
        <v>-1.5</v>
      </c>
      <c r="AO608" s="8"/>
      <c r="AP608" s="9">
        <f>I608-W608-X608-AN608</f>
        <v>0</v>
      </c>
      <c r="AQ608" t="s">
        <v>1316</v>
      </c>
    </row>
    <row r="609" spans="1:43" x14ac:dyDescent="0.3">
      <c r="A609" s="11">
        <f t="shared" si="20"/>
        <v>607</v>
      </c>
      <c r="B609" s="5" t="s">
        <v>1675</v>
      </c>
      <c r="C609" t="s">
        <v>894</v>
      </c>
      <c r="D609" s="24" t="s">
        <v>874</v>
      </c>
      <c r="E609" s="24" t="str">
        <f>IFERROR(VLOOKUP(D609,Dropdown!A:B,2,0),D609)</f>
        <v>RAJATH CONSUMABLES</v>
      </c>
      <c r="F609" s="6">
        <v>45855</v>
      </c>
      <c r="G609" s="6" t="str">
        <f>TEXT(F609, "MMM-YY")</f>
        <v>Jul-25</v>
      </c>
      <c r="H609" t="s">
        <v>581</v>
      </c>
      <c r="I609" s="25">
        <v>71.25</v>
      </c>
      <c r="J609" s="4">
        <v>25000</v>
      </c>
      <c r="K609" t="s">
        <v>924</v>
      </c>
      <c r="L609" s="4" t="str">
        <f>VLOOKUP(K609, 'Items Master'!A:E,5,0)</f>
        <v>LG</v>
      </c>
      <c r="M609" s="4" t="str">
        <f>VLOOKUP(K609, 'Items Master'!A:D,4,0)</f>
        <v>PVC</v>
      </c>
      <c r="N609" s="4" t="s">
        <v>24</v>
      </c>
      <c r="Q609" s="6">
        <v>45855</v>
      </c>
      <c r="R609" s="6" t="str">
        <f>TEXT(Q609, "MMM-YY")</f>
        <v>Jul-25</v>
      </c>
      <c r="W609" s="25">
        <v>71.25</v>
      </c>
      <c r="Y609"/>
      <c r="Z609"/>
      <c r="AB609"/>
      <c r="AC609"/>
      <c r="AD609"/>
      <c r="AE609"/>
      <c r="AF609"/>
      <c r="AG609"/>
      <c r="AH609"/>
      <c r="AI609"/>
      <c r="AJ609"/>
      <c r="AK609"/>
      <c r="AL609"/>
      <c r="AM609"/>
      <c r="AN609" s="9">
        <f t="shared" si="19"/>
        <v>0</v>
      </c>
      <c r="AO609" s="8"/>
      <c r="AP609" s="9">
        <f>I609-W609-X609-AN609</f>
        <v>0</v>
      </c>
      <c r="AQ609" t="s">
        <v>1316</v>
      </c>
    </row>
    <row r="610" spans="1:43" x14ac:dyDescent="0.3">
      <c r="A610" s="11">
        <f t="shared" si="20"/>
        <v>608</v>
      </c>
      <c r="B610" s="5" t="s">
        <v>1675</v>
      </c>
      <c r="C610" t="s">
        <v>893</v>
      </c>
      <c r="D610" s="24" t="s">
        <v>858</v>
      </c>
      <c r="E610" s="24" t="str">
        <f>IFERROR(VLOOKUP(D610,Dropdown!A:B,2,0),D610)</f>
        <v>PRISHA POLYTECH LLP</v>
      </c>
      <c r="F610" s="6">
        <v>45856</v>
      </c>
      <c r="G610" s="6" t="str">
        <f>TEXT(F610, "MMM-YY")</f>
        <v>Jul-25</v>
      </c>
      <c r="H610" t="s">
        <v>582</v>
      </c>
      <c r="I610" s="25">
        <v>96.25</v>
      </c>
      <c r="J610" s="4">
        <v>3000</v>
      </c>
      <c r="K610" t="s">
        <v>905</v>
      </c>
      <c r="L610" s="4" t="str">
        <f>VLOOKUP(K610, 'Items Master'!A:E,5,0)</f>
        <v>SINOPEC</v>
      </c>
      <c r="M610" s="4" t="str">
        <f>VLOOKUP(K610, 'Items Master'!A:D,4,0)</f>
        <v>PP</v>
      </c>
      <c r="N610" s="4" t="s">
        <v>24</v>
      </c>
      <c r="Q610" s="6">
        <v>45856</v>
      </c>
      <c r="R610" s="6" t="str">
        <f>TEXT(Q610, "MMM-YY")</f>
        <v>Jul-25</v>
      </c>
      <c r="W610" s="25">
        <v>96.25</v>
      </c>
      <c r="Y610"/>
      <c r="Z610"/>
      <c r="AB610"/>
      <c r="AC610"/>
      <c r="AD610"/>
      <c r="AE610"/>
      <c r="AF610"/>
      <c r="AG610"/>
      <c r="AH610"/>
      <c r="AI610"/>
      <c r="AJ610"/>
      <c r="AK610"/>
      <c r="AL610"/>
      <c r="AM610"/>
      <c r="AN610" s="9">
        <f t="shared" si="19"/>
        <v>0</v>
      </c>
      <c r="AO610" s="8"/>
      <c r="AP610" s="9">
        <f>I610-W610-X610-AN610</f>
        <v>0</v>
      </c>
      <c r="AQ610" t="s">
        <v>1316</v>
      </c>
    </row>
    <row r="611" spans="1:43" x14ac:dyDescent="0.3">
      <c r="A611" s="11">
        <f t="shared" si="20"/>
        <v>609</v>
      </c>
      <c r="B611" s="5" t="s">
        <v>1675</v>
      </c>
      <c r="C611" t="s">
        <v>894</v>
      </c>
      <c r="D611" s="24" t="s">
        <v>837</v>
      </c>
      <c r="E611" s="24" t="str">
        <f>IFERROR(VLOOKUP(D611,Dropdown!A:B,2,0),D611)</f>
        <v>SYNTHETIC PACKERS LIMITED</v>
      </c>
      <c r="F611" s="6">
        <v>45856</v>
      </c>
      <c r="G611" s="6" t="str">
        <f>TEXT(F611, "MMM-YY")</f>
        <v>Jul-25</v>
      </c>
      <c r="H611" t="s">
        <v>583</v>
      </c>
      <c r="I611" s="25">
        <v>96</v>
      </c>
      <c r="J611" s="4">
        <v>24700</v>
      </c>
      <c r="K611" t="s">
        <v>906</v>
      </c>
      <c r="L611" s="4" t="str">
        <f>VLOOKUP(K611, 'Items Master'!A:E,5,0)</f>
        <v>EQUATE</v>
      </c>
      <c r="M611" s="4" t="str">
        <f>VLOOKUP(K611, 'Items Master'!A:D,4,0)</f>
        <v>HDPE</v>
      </c>
      <c r="N611" s="4" t="s">
        <v>24</v>
      </c>
      <c r="Q611" s="6">
        <v>45856</v>
      </c>
      <c r="R611" s="6" t="str">
        <f>TEXT(Q611, "MMM-YY")</f>
        <v>Jul-25</v>
      </c>
      <c r="W611" s="25">
        <v>96</v>
      </c>
      <c r="Y611"/>
      <c r="Z611"/>
      <c r="AB611"/>
      <c r="AC611"/>
      <c r="AD611"/>
      <c r="AE611"/>
      <c r="AF611"/>
      <c r="AG611"/>
      <c r="AH611"/>
      <c r="AI611"/>
      <c r="AJ611"/>
      <c r="AK611"/>
      <c r="AL611"/>
      <c r="AM611"/>
      <c r="AN611" s="9">
        <f t="shared" si="19"/>
        <v>0</v>
      </c>
      <c r="AO611" s="8"/>
      <c r="AP611" s="9">
        <f>I611-W611-X611-AN611</f>
        <v>0</v>
      </c>
      <c r="AQ611" t="s">
        <v>1316</v>
      </c>
    </row>
    <row r="612" spans="1:43" x14ac:dyDescent="0.3">
      <c r="A612" s="11">
        <f t="shared" si="20"/>
        <v>610</v>
      </c>
      <c r="B612" s="5" t="s">
        <v>1675</v>
      </c>
      <c r="C612" t="s">
        <v>893</v>
      </c>
      <c r="D612" s="24" t="s">
        <v>857</v>
      </c>
      <c r="E612" s="24" t="str">
        <f>IFERROR(VLOOKUP(D612,Dropdown!A:B,2,0),D612)</f>
        <v>Purav</v>
      </c>
      <c r="F612" s="6">
        <v>45856</v>
      </c>
      <c r="G612" s="6" t="str">
        <f>TEXT(F612, "MMM-YY")</f>
        <v>Jul-25</v>
      </c>
      <c r="H612" t="s">
        <v>584</v>
      </c>
      <c r="I612" s="25">
        <v>98</v>
      </c>
      <c r="J612" s="4">
        <v>10000</v>
      </c>
      <c r="K612" t="s">
        <v>17</v>
      </c>
      <c r="L612" s="4" t="str">
        <f>VLOOKUP(K612, 'Items Master'!A:E,5,0)</f>
        <v>OPAL</v>
      </c>
      <c r="M612" s="4" t="str">
        <f>VLOOKUP(K612, 'Items Master'!A:D,4,0)</f>
        <v>LLDPE</v>
      </c>
      <c r="N612" s="4" t="s">
        <v>49</v>
      </c>
      <c r="O612" t="s">
        <v>1298</v>
      </c>
      <c r="Q612" s="6">
        <v>45856</v>
      </c>
      <c r="R612" s="6" t="str">
        <f>TEXT(Q612, "MMM-YY")</f>
        <v>Jul-25</v>
      </c>
      <c r="U612" t="s">
        <v>1605</v>
      </c>
      <c r="X612" s="25">
        <v>98.8</v>
      </c>
      <c r="Y612" s="25" t="s">
        <v>1303</v>
      </c>
      <c r="Z612" s="25" t="s">
        <v>1306</v>
      </c>
      <c r="AB612" s="8">
        <v>-0.9</v>
      </c>
      <c r="AH612" s="8">
        <v>0.1</v>
      </c>
      <c r="AN612" s="9">
        <f t="shared" si="19"/>
        <v>-0.8</v>
      </c>
      <c r="AO612" s="8"/>
      <c r="AP612" s="9">
        <f>I612-W612-X612-AN612</f>
        <v>2.886579864025407E-15</v>
      </c>
      <c r="AQ612" t="s">
        <v>1316</v>
      </c>
    </row>
    <row r="613" spans="1:43" x14ac:dyDescent="0.3">
      <c r="A613" s="11">
        <f t="shared" si="20"/>
        <v>611</v>
      </c>
      <c r="B613" s="5" t="s">
        <v>1675</v>
      </c>
      <c r="C613" t="s">
        <v>893</v>
      </c>
      <c r="D613" s="24" t="s">
        <v>48</v>
      </c>
      <c r="E613" s="24" t="str">
        <f>IFERROR(VLOOKUP(D613,Dropdown!A:B,2,0),D613)</f>
        <v>CVPL</v>
      </c>
      <c r="F613" s="6">
        <v>45856</v>
      </c>
      <c r="G613" s="6" t="str">
        <f>TEXT(F613, "MMM-YY")</f>
        <v>Jul-25</v>
      </c>
      <c r="H613" t="s">
        <v>585</v>
      </c>
      <c r="I613" s="25">
        <v>99.99</v>
      </c>
      <c r="J613" s="4">
        <v>3000</v>
      </c>
      <c r="K613" t="s">
        <v>903</v>
      </c>
      <c r="L613" s="4" t="str">
        <f>VLOOKUP(K613, 'Items Master'!A:E,5,0)</f>
        <v>GAIL</v>
      </c>
      <c r="M613" s="4" t="str">
        <f>VLOOKUP(K613, 'Items Master'!A:D,4,0)</f>
        <v>LLDPE</v>
      </c>
      <c r="N613" s="4" t="s">
        <v>49</v>
      </c>
      <c r="Q613" s="6">
        <v>45856</v>
      </c>
      <c r="R613" s="6" t="str">
        <f>TEXT(Q613, "MMM-YY")</f>
        <v>Jul-25</v>
      </c>
      <c r="X613" s="25">
        <v>99.986000000000004</v>
      </c>
      <c r="Y613" s="25" t="s">
        <v>1304</v>
      </c>
      <c r="Z613" s="25" t="s">
        <v>1305</v>
      </c>
      <c r="AB613"/>
      <c r="AC613"/>
      <c r="AD613"/>
      <c r="AE613"/>
      <c r="AF613"/>
      <c r="AG613"/>
      <c r="AH613"/>
      <c r="AI613"/>
      <c r="AJ613"/>
      <c r="AK613"/>
      <c r="AL613"/>
      <c r="AM613"/>
      <c r="AN613" s="9">
        <f t="shared" si="19"/>
        <v>0</v>
      </c>
      <c r="AO613" s="8"/>
      <c r="AP613" s="9">
        <f>I613-W613-X613-AN613</f>
        <v>3.9999999999906777E-3</v>
      </c>
      <c r="AQ613" t="s">
        <v>1324</v>
      </c>
    </row>
    <row r="614" spans="1:43" x14ac:dyDescent="0.3">
      <c r="A614" s="11">
        <f t="shared" si="20"/>
        <v>612</v>
      </c>
      <c r="B614" s="5" t="s">
        <v>1675</v>
      </c>
      <c r="C614" t="s">
        <v>893</v>
      </c>
      <c r="D614" s="24" t="s">
        <v>882</v>
      </c>
      <c r="E614" s="24" t="str">
        <f>IFERROR(VLOOKUP(D614,Dropdown!A:B,2,0),D614)</f>
        <v>KARNATAKA PETROTECH</v>
      </c>
      <c r="F614" s="6">
        <v>45856</v>
      </c>
      <c r="G614" s="6" t="str">
        <f>TEXT(F614, "MMM-YY")</f>
        <v>Jul-25</v>
      </c>
      <c r="H614" t="s">
        <v>586</v>
      </c>
      <c r="I614" s="25">
        <v>110.8</v>
      </c>
      <c r="J614" s="4">
        <v>1000</v>
      </c>
      <c r="K614" t="s">
        <v>1000</v>
      </c>
      <c r="L614" s="4" t="str">
        <f>VLOOKUP(K614, 'Items Master'!A:E,5,0)</f>
        <v>HMEL</v>
      </c>
      <c r="M614" s="4" t="str">
        <f>VLOOKUP(K614, 'Items Master'!A:D,4,0)</f>
        <v>PP RCP</v>
      </c>
      <c r="N614" s="4" t="s">
        <v>24</v>
      </c>
      <c r="O614" t="s">
        <v>1323</v>
      </c>
      <c r="Q614" s="6">
        <v>45856</v>
      </c>
      <c r="R614" s="6" t="str">
        <f>TEXT(Q614, "MMM-YY")</f>
        <v>Jul-25</v>
      </c>
      <c r="W614" s="25">
        <v>110.8</v>
      </c>
      <c r="Y614"/>
      <c r="Z614"/>
      <c r="AB614"/>
      <c r="AC614"/>
      <c r="AD614"/>
      <c r="AE614"/>
      <c r="AF614"/>
      <c r="AG614"/>
      <c r="AH614"/>
      <c r="AI614"/>
      <c r="AJ614"/>
      <c r="AK614"/>
      <c r="AL614"/>
      <c r="AM614"/>
      <c r="AN614" s="9">
        <f t="shared" si="19"/>
        <v>0</v>
      </c>
      <c r="AO614" s="8"/>
      <c r="AP614" s="9">
        <f>I614-W614-X614-AN614</f>
        <v>0</v>
      </c>
      <c r="AQ614" t="s">
        <v>1316</v>
      </c>
    </row>
    <row r="615" spans="1:43" x14ac:dyDescent="0.3">
      <c r="A615" s="11">
        <f t="shared" si="20"/>
        <v>613</v>
      </c>
      <c r="B615" s="5" t="s">
        <v>1675</v>
      </c>
      <c r="C615" t="s">
        <v>893</v>
      </c>
      <c r="D615" s="24" t="s">
        <v>48</v>
      </c>
      <c r="E615" s="24" t="str">
        <f>IFERROR(VLOOKUP(D615,Dropdown!A:B,2,0),D615)</f>
        <v>CVPL</v>
      </c>
      <c r="F615" s="6">
        <v>45857</v>
      </c>
      <c r="G615" s="6" t="str">
        <f>TEXT(F615, "MMM-YY")</f>
        <v>Jul-25</v>
      </c>
      <c r="H615" t="s">
        <v>587</v>
      </c>
      <c r="I615" s="25">
        <v>99.99</v>
      </c>
      <c r="J615" s="4">
        <v>3000</v>
      </c>
      <c r="K615" t="s">
        <v>903</v>
      </c>
      <c r="L615" s="4" t="str">
        <f>VLOOKUP(K615, 'Items Master'!A:E,5,0)</f>
        <v>GAIL</v>
      </c>
      <c r="M615" s="4" t="str">
        <f>VLOOKUP(K615, 'Items Master'!A:D,4,0)</f>
        <v>LLDPE</v>
      </c>
      <c r="N615" s="4" t="s">
        <v>49</v>
      </c>
      <c r="Q615" s="6">
        <v>45857</v>
      </c>
      <c r="R615" s="6" t="str">
        <f>TEXT(Q615, "MMM-YY")</f>
        <v>Jul-25</v>
      </c>
      <c r="X615" s="25">
        <v>99.986000000000004</v>
      </c>
      <c r="Z615" s="25" t="s">
        <v>1305</v>
      </c>
      <c r="AB615"/>
      <c r="AC615"/>
      <c r="AD615"/>
      <c r="AE615"/>
      <c r="AF615"/>
      <c r="AG615"/>
      <c r="AH615"/>
      <c r="AI615"/>
      <c r="AJ615"/>
      <c r="AK615"/>
      <c r="AL615"/>
      <c r="AM615"/>
      <c r="AN615" s="9">
        <f t="shared" si="19"/>
        <v>0</v>
      </c>
      <c r="AO615" s="8"/>
      <c r="AP615" s="9">
        <f>I615-W615-X615-AN615</f>
        <v>3.9999999999906777E-3</v>
      </c>
      <c r="AQ615" t="s">
        <v>1324</v>
      </c>
    </row>
    <row r="616" spans="1:43" x14ac:dyDescent="0.3">
      <c r="A616" s="11">
        <f t="shared" si="20"/>
        <v>614</v>
      </c>
      <c r="B616" s="5" t="s">
        <v>1675</v>
      </c>
      <c r="C616" t="s">
        <v>893</v>
      </c>
      <c r="D616" s="24" t="s">
        <v>48</v>
      </c>
      <c r="E616" s="24" t="str">
        <f>IFERROR(VLOOKUP(D616,Dropdown!A:B,2,0),D616)</f>
        <v>CVPL</v>
      </c>
      <c r="F616" s="6">
        <v>45857</v>
      </c>
      <c r="G616" s="6" t="str">
        <f>TEXT(F616, "MMM-YY")</f>
        <v>Jul-25</v>
      </c>
      <c r="H616" t="s">
        <v>588</v>
      </c>
      <c r="I616" s="25">
        <v>96.5</v>
      </c>
      <c r="J616" s="4">
        <v>2500</v>
      </c>
      <c r="K616" t="s">
        <v>957</v>
      </c>
      <c r="L616" s="4" t="str">
        <f>VLOOKUP(K616, 'Items Master'!A:E,5,0)</f>
        <v>HMEL</v>
      </c>
      <c r="M616" s="4" t="str">
        <f>VLOOKUP(K616, 'Items Master'!A:D,4,0)</f>
        <v>HDPE</v>
      </c>
      <c r="N616" s="4" t="s">
        <v>24</v>
      </c>
      <c r="Q616" s="6">
        <v>45857</v>
      </c>
      <c r="R616" s="6" t="str">
        <f>TEXT(Q616, "MMM-YY")</f>
        <v>Jul-25</v>
      </c>
      <c r="W616" s="25">
        <v>96.5</v>
      </c>
      <c r="Y616"/>
      <c r="Z616"/>
      <c r="AB616"/>
      <c r="AC616"/>
      <c r="AD616"/>
      <c r="AE616"/>
      <c r="AF616"/>
      <c r="AG616"/>
      <c r="AH616"/>
      <c r="AI616"/>
      <c r="AJ616"/>
      <c r="AK616"/>
      <c r="AL616"/>
      <c r="AM616"/>
      <c r="AN616" s="9">
        <f t="shared" si="19"/>
        <v>0</v>
      </c>
      <c r="AO616" s="8"/>
      <c r="AP616" s="9">
        <f>I616-W616-X616-AN616</f>
        <v>0</v>
      </c>
      <c r="AQ616" t="s">
        <v>1316</v>
      </c>
    </row>
    <row r="617" spans="1:43" x14ac:dyDescent="0.3">
      <c r="A617" s="11">
        <f t="shared" si="20"/>
        <v>615</v>
      </c>
      <c r="B617" s="5" t="s">
        <v>1675</v>
      </c>
      <c r="C617" t="s">
        <v>893</v>
      </c>
      <c r="D617" s="24" t="s">
        <v>48</v>
      </c>
      <c r="E617" s="24" t="str">
        <f>IFERROR(VLOOKUP(D617,Dropdown!A:B,2,0),D617)</f>
        <v>CVPL</v>
      </c>
      <c r="F617" s="6">
        <v>45857</v>
      </c>
      <c r="G617" s="6" t="str">
        <f>TEXT(F617, "MMM-YY")</f>
        <v>Jul-25</v>
      </c>
      <c r="H617" t="s">
        <v>589</v>
      </c>
      <c r="I617" s="25">
        <v>102.75</v>
      </c>
      <c r="J617" s="4">
        <v>2500</v>
      </c>
      <c r="K617" t="s">
        <v>901</v>
      </c>
      <c r="L617" s="4" t="str">
        <f>VLOOKUP(K617, 'Items Master'!A:E,5,0)</f>
        <v>MRPL</v>
      </c>
      <c r="M617" s="4" t="str">
        <f>VLOOKUP(K617, 'Items Master'!A:D,4,0)</f>
        <v>PP</v>
      </c>
      <c r="N617" s="4" t="s">
        <v>49</v>
      </c>
      <c r="Q617" s="6">
        <v>45857</v>
      </c>
      <c r="R617" s="6" t="str">
        <f>TEXT(Q617, "MMM-YY")</f>
        <v>Jul-25</v>
      </c>
      <c r="X617" s="25">
        <v>102.75</v>
      </c>
      <c r="Z617" s="25" t="s">
        <v>1305</v>
      </c>
      <c r="AB617"/>
      <c r="AC617"/>
      <c r="AD617"/>
      <c r="AE617"/>
      <c r="AF617"/>
      <c r="AG617"/>
      <c r="AH617"/>
      <c r="AI617"/>
      <c r="AJ617"/>
      <c r="AK617"/>
      <c r="AL617"/>
      <c r="AM617"/>
      <c r="AN617" s="9">
        <f t="shared" si="19"/>
        <v>0</v>
      </c>
      <c r="AO617" s="8"/>
      <c r="AP617" s="9">
        <f>I617-W617-X617-AN617</f>
        <v>0</v>
      </c>
      <c r="AQ617" t="s">
        <v>1324</v>
      </c>
    </row>
    <row r="618" spans="1:43" x14ac:dyDescent="0.3">
      <c r="A618" s="11">
        <f t="shared" si="20"/>
        <v>616</v>
      </c>
      <c r="B618" s="5" t="s">
        <v>1675</v>
      </c>
      <c r="C618" t="s">
        <v>893</v>
      </c>
      <c r="D618" s="24" t="s">
        <v>837</v>
      </c>
      <c r="E618" s="24" t="str">
        <f>IFERROR(VLOOKUP(D618,Dropdown!A:B,2,0),D618)</f>
        <v>SYNTHETIC PACKERS LIMITED</v>
      </c>
      <c r="F618" s="6">
        <v>45857</v>
      </c>
      <c r="G618" s="6" t="str">
        <f>TEXT(F618, "MMM-YY")</f>
        <v>Jul-25</v>
      </c>
      <c r="H618" t="s">
        <v>590</v>
      </c>
      <c r="I618" s="25">
        <v>113</v>
      </c>
      <c r="J618" s="4">
        <v>2500</v>
      </c>
      <c r="K618" t="s">
        <v>1001</v>
      </c>
      <c r="L618" s="4" t="str">
        <f>VLOOKUP(K618, 'Items Master'!A:E,5,0)</f>
        <v>EXXON</v>
      </c>
      <c r="M618" s="4" t="str">
        <f>VLOOKUP(K618, 'Items Master'!A:D,4,0)</f>
        <v>Metallocene</v>
      </c>
      <c r="N618" s="4" t="s">
        <v>24</v>
      </c>
      <c r="Q618" s="6">
        <v>45857</v>
      </c>
      <c r="R618" s="6" t="str">
        <f>TEXT(Q618, "MMM-YY")</f>
        <v>Jul-25</v>
      </c>
      <c r="W618" s="25">
        <v>113</v>
      </c>
      <c r="Y618"/>
      <c r="Z618"/>
      <c r="AB618"/>
      <c r="AC618"/>
      <c r="AD618"/>
      <c r="AE618"/>
      <c r="AF618"/>
      <c r="AG618"/>
      <c r="AH618"/>
      <c r="AI618"/>
      <c r="AJ618"/>
      <c r="AK618"/>
      <c r="AL618"/>
      <c r="AM618"/>
      <c r="AN618" s="9">
        <f t="shared" si="19"/>
        <v>0</v>
      </c>
      <c r="AO618" s="8"/>
      <c r="AP618" s="9">
        <f>I618-W618-X618-AN618</f>
        <v>0</v>
      </c>
      <c r="AQ618" t="s">
        <v>1316</v>
      </c>
    </row>
    <row r="619" spans="1:43" x14ac:dyDescent="0.3">
      <c r="A619" s="11">
        <f t="shared" si="20"/>
        <v>617</v>
      </c>
      <c r="B619" s="5" t="s">
        <v>1675</v>
      </c>
      <c r="C619" t="s">
        <v>893</v>
      </c>
      <c r="D619" s="24" t="s">
        <v>830</v>
      </c>
      <c r="E619" s="24" t="str">
        <f>IFERROR(VLOOKUP(D619,Dropdown!A:B,2,0),D619)</f>
        <v>BULK LIQUID SOLUTIONS PVT LTD</v>
      </c>
      <c r="F619" s="6">
        <v>45859</v>
      </c>
      <c r="G619" s="6" t="str">
        <f>TEXT(F619, "MMM-YY")</f>
        <v>Jul-25</v>
      </c>
      <c r="H619" t="s">
        <v>591</v>
      </c>
      <c r="I619" s="25">
        <v>92</v>
      </c>
      <c r="J619" s="4">
        <v>3000</v>
      </c>
      <c r="K619" t="s">
        <v>1002</v>
      </c>
      <c r="L619" s="4" t="str">
        <f>VLOOKUP(K619, 'Items Master'!A:E,5,0)</f>
        <v>NA</v>
      </c>
      <c r="M619" s="4" t="str">
        <f>VLOOKUP(K619, 'Items Master'!A:D,4,0)</f>
        <v>PP</v>
      </c>
      <c r="N619" s="4" t="s">
        <v>24</v>
      </c>
      <c r="Q619" s="6">
        <v>45859</v>
      </c>
      <c r="R619" s="6" t="str">
        <f>TEXT(Q619, "MMM-YY")</f>
        <v>Jul-25</v>
      </c>
      <c r="W619" s="25">
        <v>92</v>
      </c>
      <c r="Y619"/>
      <c r="Z619"/>
      <c r="AB619"/>
      <c r="AC619"/>
      <c r="AD619"/>
      <c r="AE619"/>
      <c r="AF619"/>
      <c r="AG619"/>
      <c r="AH619"/>
      <c r="AI619"/>
      <c r="AJ619"/>
      <c r="AK619"/>
      <c r="AL619"/>
      <c r="AM619"/>
      <c r="AN619" s="9">
        <f t="shared" si="19"/>
        <v>0</v>
      </c>
      <c r="AO619" s="8"/>
      <c r="AP619" s="9">
        <f>I619-W619-X619-AN619</f>
        <v>0</v>
      </c>
      <c r="AQ619" t="s">
        <v>1316</v>
      </c>
    </row>
    <row r="620" spans="1:43" x14ac:dyDescent="0.3">
      <c r="A620" s="11">
        <f t="shared" si="20"/>
        <v>618</v>
      </c>
      <c r="B620" s="5" t="s">
        <v>1675</v>
      </c>
      <c r="C620" t="s">
        <v>893</v>
      </c>
      <c r="D620" s="24" t="s">
        <v>830</v>
      </c>
      <c r="E620" s="24" t="str">
        <f>IFERROR(VLOOKUP(D620,Dropdown!A:B,2,0),D620)</f>
        <v>BULK LIQUID SOLUTIONS PVT LTD</v>
      </c>
      <c r="F620" s="6">
        <v>45859</v>
      </c>
      <c r="G620" s="6" t="str">
        <f>TEXT(F620, "MMM-YY")</f>
        <v>Jul-25</v>
      </c>
      <c r="H620" t="s">
        <v>592</v>
      </c>
      <c r="I620" s="25">
        <v>120</v>
      </c>
      <c r="J620" s="4">
        <v>10000</v>
      </c>
      <c r="K620" t="s">
        <v>986</v>
      </c>
      <c r="L620" s="4" t="str">
        <f>VLOOKUP(K620, 'Items Master'!A:E,5,0)</f>
        <v>DOW</v>
      </c>
      <c r="M620" s="4" t="str">
        <f>VLOOKUP(K620, 'Items Master'!A:D,4,0)</f>
        <v>LDPE</v>
      </c>
      <c r="N620" s="4" t="s">
        <v>24</v>
      </c>
      <c r="Q620" s="6">
        <v>45859</v>
      </c>
      <c r="R620" s="6" t="str">
        <f>TEXT(Q620, "MMM-YY")</f>
        <v>Jul-25</v>
      </c>
      <c r="W620" s="25">
        <v>120</v>
      </c>
      <c r="Y620"/>
      <c r="Z620"/>
      <c r="AB620"/>
      <c r="AC620"/>
      <c r="AD620"/>
      <c r="AE620"/>
      <c r="AF620"/>
      <c r="AG620"/>
      <c r="AH620"/>
      <c r="AI620"/>
      <c r="AJ620"/>
      <c r="AK620"/>
      <c r="AL620"/>
      <c r="AM620"/>
      <c r="AN620" s="9">
        <f t="shared" si="19"/>
        <v>0</v>
      </c>
      <c r="AO620" s="8"/>
      <c r="AP620" s="9">
        <f>I620-W620-X620-AN620</f>
        <v>0</v>
      </c>
      <c r="AQ620" t="s">
        <v>1316</v>
      </c>
    </row>
    <row r="621" spans="1:43" x14ac:dyDescent="0.3">
      <c r="A621" s="11">
        <f t="shared" si="20"/>
        <v>619</v>
      </c>
      <c r="B621" s="5" t="s">
        <v>1675</v>
      </c>
      <c r="C621" t="s">
        <v>894</v>
      </c>
      <c r="D621" s="24" t="s">
        <v>883</v>
      </c>
      <c r="E621" s="24" t="str">
        <f>IFERROR(VLOOKUP(D621,Dropdown!A:B,2,0),D621)</f>
        <v>VIDHI PETRO PRODUCTS PRIVATE LIMITED</v>
      </c>
      <c r="F621" s="6">
        <v>45860</v>
      </c>
      <c r="G621" s="6" t="str">
        <f>TEXT(F621, "MMM-YY")</f>
        <v>Jul-25</v>
      </c>
      <c r="H621" t="s">
        <v>593</v>
      </c>
      <c r="I621" s="25">
        <v>96</v>
      </c>
      <c r="J621" s="4">
        <v>25500</v>
      </c>
      <c r="K621" t="s">
        <v>938</v>
      </c>
      <c r="L621" s="4" t="str">
        <f>VLOOKUP(K621, 'Items Master'!A:E,5,0)</f>
        <v>EXXON</v>
      </c>
      <c r="M621" s="4" t="str">
        <f>VLOOKUP(K621, 'Items Master'!A:D,4,0)</f>
        <v>PP</v>
      </c>
      <c r="N621" s="4" t="s">
        <v>24</v>
      </c>
      <c r="Q621" s="6">
        <v>45860</v>
      </c>
      <c r="R621" s="6" t="str">
        <f>TEXT(Q621, "MMM-YY")</f>
        <v>Jul-25</v>
      </c>
      <c r="W621" s="25">
        <v>96</v>
      </c>
      <c r="Y621"/>
      <c r="Z621"/>
      <c r="AB621"/>
      <c r="AC621"/>
      <c r="AD621"/>
      <c r="AE621"/>
      <c r="AF621"/>
      <c r="AG621"/>
      <c r="AH621"/>
      <c r="AI621"/>
      <c r="AJ621"/>
      <c r="AK621"/>
      <c r="AL621"/>
      <c r="AM621"/>
      <c r="AN621" s="9">
        <f t="shared" si="19"/>
        <v>0</v>
      </c>
      <c r="AO621" s="8"/>
      <c r="AP621" s="9">
        <f>I621-W621-X621-AN621</f>
        <v>0</v>
      </c>
      <c r="AQ621" t="s">
        <v>1316</v>
      </c>
    </row>
    <row r="622" spans="1:43" x14ac:dyDescent="0.3">
      <c r="A622" s="11">
        <f t="shared" si="20"/>
        <v>620</v>
      </c>
      <c r="B622" s="5" t="s">
        <v>1675</v>
      </c>
      <c r="C622" t="s">
        <v>893</v>
      </c>
      <c r="D622" s="24" t="s">
        <v>824</v>
      </c>
      <c r="E622" s="24" t="str">
        <f>IFERROR(VLOOKUP(D622,Dropdown!A:B,2,0),D622)</f>
        <v>Paragon</v>
      </c>
      <c r="F622" s="6">
        <v>45860</v>
      </c>
      <c r="G622" s="6" t="str">
        <f>TEXT(F622, "MMM-YY")</f>
        <v>Jul-25</v>
      </c>
      <c r="H622" t="s">
        <v>594</v>
      </c>
      <c r="I622" s="25">
        <v>106.39</v>
      </c>
      <c r="J622" s="4">
        <v>2500</v>
      </c>
      <c r="K622" t="s">
        <v>925</v>
      </c>
      <c r="L622" s="4" t="str">
        <f>VLOOKUP(K622, 'Items Master'!A:E,5,0)</f>
        <v>RIL</v>
      </c>
      <c r="M622" s="4" t="str">
        <f>VLOOKUP(K622, 'Items Master'!A:D,4,0)</f>
        <v>PP ICP</v>
      </c>
      <c r="N622" s="4" t="s">
        <v>49</v>
      </c>
      <c r="Q622" s="6">
        <v>45860</v>
      </c>
      <c r="R622" s="6" t="str">
        <f>TEXT(Q622, "MMM-YY")</f>
        <v>Jul-25</v>
      </c>
      <c r="X622" s="25">
        <v>106.39</v>
      </c>
      <c r="Y622" s="25" t="s">
        <v>1303</v>
      </c>
      <c r="Z622" s="25" t="s">
        <v>1305</v>
      </c>
      <c r="AB622"/>
      <c r="AC622"/>
      <c r="AD622"/>
      <c r="AE622"/>
      <c r="AF622"/>
      <c r="AG622"/>
      <c r="AH622"/>
      <c r="AI622"/>
      <c r="AJ622"/>
      <c r="AK622"/>
      <c r="AL622"/>
      <c r="AM622"/>
      <c r="AN622" s="9">
        <f t="shared" si="19"/>
        <v>0</v>
      </c>
      <c r="AO622" s="8"/>
      <c r="AP622" s="9">
        <f>I622-W622-X622-AN622</f>
        <v>0</v>
      </c>
      <c r="AQ622" t="s">
        <v>1324</v>
      </c>
    </row>
    <row r="623" spans="1:43" x14ac:dyDescent="0.3">
      <c r="A623" s="11">
        <f t="shared" si="20"/>
        <v>621</v>
      </c>
      <c r="B623" s="5" t="s">
        <v>1675</v>
      </c>
      <c r="C623" t="s">
        <v>893</v>
      </c>
      <c r="D623" s="24" t="s">
        <v>840</v>
      </c>
      <c r="E623" s="24" t="str">
        <f>IFERROR(VLOOKUP(D623,Dropdown!A:B,2,0),D623)</f>
        <v>LPB Plastic Private Limited</v>
      </c>
      <c r="F623" s="6">
        <v>45860</v>
      </c>
      <c r="G623" s="6" t="str">
        <f>TEXT(F623, "MMM-YY")</f>
        <v>Jul-25</v>
      </c>
      <c r="H623" t="s">
        <v>595</v>
      </c>
      <c r="I623" s="25">
        <v>98.25</v>
      </c>
      <c r="J623" s="4">
        <v>13000</v>
      </c>
      <c r="K623" t="s">
        <v>957</v>
      </c>
      <c r="L623" s="4" t="str">
        <f>VLOOKUP(K623, 'Items Master'!A:E,5,0)</f>
        <v>HMEL</v>
      </c>
      <c r="M623" s="4" t="str">
        <f>VLOOKUP(K623, 'Items Master'!A:D,4,0)</f>
        <v>HDPE</v>
      </c>
      <c r="N623" s="4" t="s">
        <v>24</v>
      </c>
      <c r="Q623" s="6">
        <v>45860</v>
      </c>
      <c r="R623" s="6" t="str">
        <f>TEXT(Q623, "MMM-YY")</f>
        <v>Jul-25</v>
      </c>
      <c r="W623" s="25">
        <v>98.25</v>
      </c>
      <c r="Y623"/>
      <c r="Z623"/>
      <c r="AB623"/>
      <c r="AC623"/>
      <c r="AD623"/>
      <c r="AE623"/>
      <c r="AF623"/>
      <c r="AG623"/>
      <c r="AH623"/>
      <c r="AI623"/>
      <c r="AJ623"/>
      <c r="AK623"/>
      <c r="AL623"/>
      <c r="AM623"/>
      <c r="AN623" s="9">
        <f t="shared" si="19"/>
        <v>0</v>
      </c>
      <c r="AO623" s="8"/>
      <c r="AP623" s="9">
        <f>I623-W623-X623-AN623</f>
        <v>0</v>
      </c>
      <c r="AQ623" t="s">
        <v>1316</v>
      </c>
    </row>
    <row r="624" spans="1:43" x14ac:dyDescent="0.3">
      <c r="A624" s="11">
        <f t="shared" si="20"/>
        <v>622</v>
      </c>
      <c r="B624" s="5" t="s">
        <v>1675</v>
      </c>
      <c r="C624" t="s">
        <v>893</v>
      </c>
      <c r="D624" s="24" t="s">
        <v>830</v>
      </c>
      <c r="E624" s="24" t="str">
        <f>IFERROR(VLOOKUP(D624,Dropdown!A:B,2,0),D624)</f>
        <v>BULK LIQUID SOLUTIONS PVT LTD</v>
      </c>
      <c r="F624" s="6">
        <v>45860</v>
      </c>
      <c r="G624" s="6" t="str">
        <f>TEXT(F624, "MMM-YY")</f>
        <v>Jul-25</v>
      </c>
      <c r="H624" t="s">
        <v>596</v>
      </c>
      <c r="I624" s="25">
        <v>120</v>
      </c>
      <c r="J624" s="4">
        <v>3000</v>
      </c>
      <c r="K624" t="s">
        <v>986</v>
      </c>
      <c r="L624" s="4" t="str">
        <f>VLOOKUP(K624, 'Items Master'!A:E,5,0)</f>
        <v>DOW</v>
      </c>
      <c r="M624" s="4" t="str">
        <f>VLOOKUP(K624, 'Items Master'!A:D,4,0)</f>
        <v>LDPE</v>
      </c>
      <c r="N624" s="4" t="s">
        <v>24</v>
      </c>
      <c r="Q624" s="6">
        <v>45860</v>
      </c>
      <c r="R624" s="6" t="str">
        <f>TEXT(Q624, "MMM-YY")</f>
        <v>Jul-25</v>
      </c>
      <c r="W624" s="25">
        <v>120</v>
      </c>
      <c r="Y624"/>
      <c r="Z624"/>
      <c r="AB624"/>
      <c r="AC624"/>
      <c r="AD624"/>
      <c r="AE624"/>
      <c r="AF624"/>
      <c r="AG624"/>
      <c r="AH624"/>
      <c r="AI624"/>
      <c r="AJ624"/>
      <c r="AK624"/>
      <c r="AL624"/>
      <c r="AM624"/>
      <c r="AN624" s="9">
        <f t="shared" si="19"/>
        <v>0</v>
      </c>
      <c r="AO624" s="8"/>
      <c r="AP624" s="9">
        <f>I624-W624-X624-AN624</f>
        <v>0</v>
      </c>
      <c r="AQ624" t="s">
        <v>1316</v>
      </c>
    </row>
    <row r="625" spans="1:43" x14ac:dyDescent="0.3">
      <c r="A625" s="11">
        <f t="shared" si="20"/>
        <v>623</v>
      </c>
      <c r="B625" s="5" t="s">
        <v>1675</v>
      </c>
      <c r="C625" t="s">
        <v>893</v>
      </c>
      <c r="D625" s="24" t="s">
        <v>876</v>
      </c>
      <c r="E625" s="24" t="str">
        <f>IFERROR(VLOOKUP(D625,Dropdown!A:B,2,0),D625)</f>
        <v>TARAJYOT POLYMERS LIMITED</v>
      </c>
      <c r="F625" s="6">
        <v>45861</v>
      </c>
      <c r="G625" s="6" t="str">
        <f>TEXT(F625, "MMM-YY")</f>
        <v>Jul-25</v>
      </c>
      <c r="H625" t="s">
        <v>597</v>
      </c>
      <c r="I625" s="25">
        <v>91.5</v>
      </c>
      <c r="J625" s="4">
        <v>25000</v>
      </c>
      <c r="K625" t="s">
        <v>1003</v>
      </c>
      <c r="L625" s="4" t="str">
        <f>VLOOKUP(K625, 'Items Master'!A:E,5,0)</f>
        <v>HMEL</v>
      </c>
      <c r="M625" s="4" t="str">
        <f>VLOOKUP(K625, 'Items Master'!A:D,4,0)</f>
        <v>HDPE</v>
      </c>
      <c r="N625" s="4" t="s">
        <v>24</v>
      </c>
      <c r="Q625" s="6">
        <v>45861</v>
      </c>
      <c r="R625" s="6" t="str">
        <f>TEXT(Q625, "MMM-YY")</f>
        <v>Jul-25</v>
      </c>
      <c r="W625" s="25">
        <v>91.5</v>
      </c>
      <c r="Y625"/>
      <c r="Z625"/>
      <c r="AB625"/>
      <c r="AC625"/>
      <c r="AD625"/>
      <c r="AE625"/>
      <c r="AF625"/>
      <c r="AG625"/>
      <c r="AH625"/>
      <c r="AI625"/>
      <c r="AJ625"/>
      <c r="AK625"/>
      <c r="AL625"/>
      <c r="AM625"/>
      <c r="AN625" s="9">
        <f t="shared" si="19"/>
        <v>0</v>
      </c>
      <c r="AO625" s="8"/>
      <c r="AP625" s="9">
        <f>I625-W625-X625-AN625</f>
        <v>0</v>
      </c>
      <c r="AQ625" t="s">
        <v>1316</v>
      </c>
    </row>
    <row r="626" spans="1:43" x14ac:dyDescent="0.3">
      <c r="A626" s="11">
        <f t="shared" si="20"/>
        <v>624</v>
      </c>
      <c r="B626" s="5" t="s">
        <v>1675</v>
      </c>
      <c r="C626" t="s">
        <v>893</v>
      </c>
      <c r="D626" s="24" t="s">
        <v>830</v>
      </c>
      <c r="E626" s="24" t="str">
        <f>IFERROR(VLOOKUP(D626,Dropdown!A:B,2,0),D626)</f>
        <v>BULK LIQUID SOLUTIONS PVT LTD</v>
      </c>
      <c r="F626" s="6">
        <v>45861</v>
      </c>
      <c r="G626" s="6" t="str">
        <f>TEXT(F626, "MMM-YY")</f>
        <v>Jul-25</v>
      </c>
      <c r="H626" t="s">
        <v>598</v>
      </c>
      <c r="I626" s="25">
        <v>120</v>
      </c>
      <c r="J626" s="4">
        <v>12000</v>
      </c>
      <c r="K626" t="s">
        <v>986</v>
      </c>
      <c r="L626" s="4" t="str">
        <f>VLOOKUP(K626, 'Items Master'!A:E,5,0)</f>
        <v>DOW</v>
      </c>
      <c r="M626" s="4" t="str">
        <f>VLOOKUP(K626, 'Items Master'!A:D,4,0)</f>
        <v>LDPE</v>
      </c>
      <c r="N626" s="4" t="s">
        <v>24</v>
      </c>
      <c r="Q626" s="6">
        <v>45861</v>
      </c>
      <c r="R626" s="6" t="str">
        <f>TEXT(Q626, "MMM-YY")</f>
        <v>Jul-25</v>
      </c>
      <c r="W626" s="25">
        <v>120</v>
      </c>
      <c r="Y626"/>
      <c r="Z626"/>
      <c r="AB626"/>
      <c r="AC626"/>
      <c r="AD626"/>
      <c r="AE626"/>
      <c r="AF626"/>
      <c r="AG626"/>
      <c r="AH626"/>
      <c r="AI626"/>
      <c r="AJ626"/>
      <c r="AK626"/>
      <c r="AL626"/>
      <c r="AM626"/>
      <c r="AN626" s="9">
        <f t="shared" si="19"/>
        <v>0</v>
      </c>
      <c r="AO626" s="8"/>
      <c r="AP626" s="9">
        <f>I626-W626-X626-AN626</f>
        <v>0</v>
      </c>
      <c r="AQ626" t="s">
        <v>1316</v>
      </c>
    </row>
    <row r="627" spans="1:43" x14ac:dyDescent="0.3">
      <c r="A627" s="11">
        <f t="shared" si="20"/>
        <v>625</v>
      </c>
      <c r="B627" s="5" t="s">
        <v>1675</v>
      </c>
      <c r="C627" t="s">
        <v>893</v>
      </c>
      <c r="D627" s="24" t="s">
        <v>48</v>
      </c>
      <c r="E627" s="24" t="str">
        <f>IFERROR(VLOOKUP(D627,Dropdown!A:B,2,0),D627)</f>
        <v>CVPL</v>
      </c>
      <c r="F627" s="6">
        <v>45861</v>
      </c>
      <c r="G627" s="6" t="str">
        <f>TEXT(F627, "MMM-YY")</f>
        <v>Jul-25</v>
      </c>
      <c r="H627" t="s">
        <v>599</v>
      </c>
      <c r="I627" s="25">
        <v>102.75</v>
      </c>
      <c r="J627" s="4">
        <v>3000</v>
      </c>
      <c r="K627" t="s">
        <v>901</v>
      </c>
      <c r="L627" s="4" t="str">
        <f>VLOOKUP(K627, 'Items Master'!A:E,5,0)</f>
        <v>MRPL</v>
      </c>
      <c r="M627" s="4" t="str">
        <f>VLOOKUP(K627, 'Items Master'!A:D,4,0)</f>
        <v>PP</v>
      </c>
      <c r="N627" s="4" t="s">
        <v>49</v>
      </c>
      <c r="Q627" s="6">
        <v>45861</v>
      </c>
      <c r="R627" s="6" t="str">
        <f>TEXT(Q627, "MMM-YY")</f>
        <v>Jul-25</v>
      </c>
      <c r="X627" s="25">
        <v>100.946</v>
      </c>
      <c r="AB627"/>
      <c r="AC627"/>
      <c r="AD627"/>
      <c r="AE627"/>
      <c r="AF627"/>
      <c r="AG627"/>
      <c r="AH627"/>
      <c r="AI627"/>
      <c r="AJ627"/>
      <c r="AK627"/>
      <c r="AL627"/>
      <c r="AM627"/>
      <c r="AN627" s="9">
        <f t="shared" si="19"/>
        <v>0</v>
      </c>
      <c r="AO627" s="8"/>
      <c r="AP627" s="9">
        <f>I627-W627-X627-AN627</f>
        <v>1.804000000000002</v>
      </c>
      <c r="AQ627" t="s">
        <v>1324</v>
      </c>
    </row>
    <row r="628" spans="1:43" x14ac:dyDescent="0.3">
      <c r="A628" s="11">
        <f t="shared" si="20"/>
        <v>626</v>
      </c>
      <c r="B628" s="5" t="s">
        <v>1675</v>
      </c>
      <c r="C628" t="s">
        <v>893</v>
      </c>
      <c r="D628" s="24" t="s">
        <v>840</v>
      </c>
      <c r="E628" s="24" t="str">
        <f>IFERROR(VLOOKUP(D628,Dropdown!A:B,2,0),D628)</f>
        <v>LPB Plastic Private Limited</v>
      </c>
      <c r="F628" s="6">
        <v>45861</v>
      </c>
      <c r="G628" s="6" t="str">
        <f>TEXT(F628, "MMM-YY")</f>
        <v>Jul-25</v>
      </c>
      <c r="H628" t="s">
        <v>600</v>
      </c>
      <c r="I628" s="25">
        <v>97</v>
      </c>
      <c r="J628" s="4">
        <v>3000</v>
      </c>
      <c r="K628" t="s">
        <v>914</v>
      </c>
      <c r="L628" s="4" t="str">
        <f>VLOOKUP(K628, 'Items Master'!A:E,5,0)</f>
        <v>HMEL</v>
      </c>
      <c r="M628" s="4" t="str">
        <f>VLOOKUP(K628, 'Items Master'!A:D,4,0)</f>
        <v>LLDPE</v>
      </c>
      <c r="N628" s="4" t="s">
        <v>24</v>
      </c>
      <c r="Q628" s="6">
        <v>45861</v>
      </c>
      <c r="R628" s="6" t="str">
        <f>TEXT(Q628, "MMM-YY")</f>
        <v>Jul-25</v>
      </c>
      <c r="W628" s="25">
        <v>97</v>
      </c>
      <c r="Y628"/>
      <c r="Z628"/>
      <c r="AB628"/>
      <c r="AC628"/>
      <c r="AD628"/>
      <c r="AE628"/>
      <c r="AF628"/>
      <c r="AG628"/>
      <c r="AH628"/>
      <c r="AI628"/>
      <c r="AJ628"/>
      <c r="AK628"/>
      <c r="AL628"/>
      <c r="AM628"/>
      <c r="AN628" s="9">
        <f t="shared" si="19"/>
        <v>0</v>
      </c>
      <c r="AO628" s="8"/>
      <c r="AP628" s="9">
        <f>I628-W628-X628-AN628</f>
        <v>0</v>
      </c>
      <c r="AQ628" t="s">
        <v>1316</v>
      </c>
    </row>
    <row r="629" spans="1:43" x14ac:dyDescent="0.3">
      <c r="A629" s="11">
        <f t="shared" si="20"/>
        <v>627</v>
      </c>
      <c r="B629" s="5" t="s">
        <v>1675</v>
      </c>
      <c r="C629" t="s">
        <v>894</v>
      </c>
      <c r="D629" s="24" t="s">
        <v>856</v>
      </c>
      <c r="E629" s="24" t="str">
        <f>IFERROR(VLOOKUP(D629,Dropdown!A:B,2,0),D629)</f>
        <v>SRI LAKOSHA POLYMER PRIVATE LTD</v>
      </c>
      <c r="F629" s="6">
        <v>45861</v>
      </c>
      <c r="G629" s="6" t="str">
        <f>TEXT(F629, "MMM-YY")</f>
        <v>Jul-25</v>
      </c>
      <c r="H629" t="s">
        <v>601</v>
      </c>
      <c r="I629" s="25">
        <v>94.75</v>
      </c>
      <c r="J629" s="4">
        <v>16000</v>
      </c>
      <c r="K629" t="s">
        <v>982</v>
      </c>
      <c r="L629" s="4" t="str">
        <f>VLOOKUP(K629, 'Items Master'!A:E,5,0)</f>
        <v>SABIC</v>
      </c>
      <c r="M629" s="4" t="str">
        <f>VLOOKUP(K629, 'Items Master'!A:D,4,0)</f>
        <v>HDPE</v>
      </c>
      <c r="N629" s="4" t="s">
        <v>24</v>
      </c>
      <c r="Q629" s="6">
        <v>45861</v>
      </c>
      <c r="R629" s="6" t="str">
        <f>TEXT(Q629, "MMM-YY")</f>
        <v>Jul-25</v>
      </c>
      <c r="W629" s="25">
        <v>94.75</v>
      </c>
      <c r="Y629"/>
      <c r="Z629"/>
      <c r="AB629"/>
      <c r="AC629"/>
      <c r="AD629"/>
      <c r="AE629"/>
      <c r="AF629"/>
      <c r="AG629"/>
      <c r="AH629"/>
      <c r="AI629"/>
      <c r="AJ629"/>
      <c r="AK629"/>
      <c r="AL629"/>
      <c r="AM629"/>
      <c r="AN629" s="9">
        <f t="shared" si="19"/>
        <v>0</v>
      </c>
      <c r="AO629" s="8"/>
      <c r="AP629" s="9">
        <f>I629-W629-X629-AN629</f>
        <v>0</v>
      </c>
      <c r="AQ629" t="s">
        <v>1316</v>
      </c>
    </row>
    <row r="630" spans="1:43" x14ac:dyDescent="0.3">
      <c r="A630" s="11">
        <f t="shared" si="20"/>
        <v>628</v>
      </c>
      <c r="B630" s="5" t="s">
        <v>1675</v>
      </c>
      <c r="C630" t="s">
        <v>893</v>
      </c>
      <c r="D630" s="24" t="s">
        <v>48</v>
      </c>
      <c r="E630" s="24" t="str">
        <f>IFERROR(VLOOKUP(D630,Dropdown!A:B,2,0),D630)</f>
        <v>CVPL</v>
      </c>
      <c r="F630" s="6">
        <v>45861</v>
      </c>
      <c r="G630" s="6" t="str">
        <f>TEXT(F630, "MMM-YY")</f>
        <v>Jul-25</v>
      </c>
      <c r="H630" t="s">
        <v>602</v>
      </c>
      <c r="I630" s="25">
        <v>101.3</v>
      </c>
      <c r="J630" s="4">
        <v>2500</v>
      </c>
      <c r="K630" t="s">
        <v>899</v>
      </c>
      <c r="L630" s="4" t="str">
        <f>VLOOKUP(K630, 'Items Master'!A:E,5,0)</f>
        <v>MRPL</v>
      </c>
      <c r="M630" s="4" t="str">
        <f>VLOOKUP(K630, 'Items Master'!A:D,4,0)</f>
        <v>PP</v>
      </c>
      <c r="N630" s="4" t="s">
        <v>49</v>
      </c>
      <c r="Q630" s="6">
        <v>45861</v>
      </c>
      <c r="R630" s="6" t="str">
        <f>TEXT(Q630, "MMM-YY")</f>
        <v>Jul-25</v>
      </c>
      <c r="X630" s="25">
        <v>99.495999999999995</v>
      </c>
      <c r="AB630"/>
      <c r="AC630"/>
      <c r="AD630"/>
      <c r="AE630"/>
      <c r="AF630"/>
      <c r="AG630"/>
      <c r="AH630"/>
      <c r="AI630"/>
      <c r="AJ630"/>
      <c r="AK630"/>
      <c r="AL630"/>
      <c r="AM630"/>
      <c r="AN630" s="9">
        <f t="shared" si="19"/>
        <v>0</v>
      </c>
      <c r="AO630" s="8"/>
      <c r="AP630" s="9">
        <f>I630-W630-X630-AN630</f>
        <v>1.804000000000002</v>
      </c>
      <c r="AQ630" t="s">
        <v>1324</v>
      </c>
    </row>
    <row r="631" spans="1:43" x14ac:dyDescent="0.3">
      <c r="A631" s="11">
        <f t="shared" si="20"/>
        <v>629</v>
      </c>
      <c r="B631" s="5" t="s">
        <v>1675</v>
      </c>
      <c r="C631" t="s">
        <v>894</v>
      </c>
      <c r="D631" s="24" t="s">
        <v>857</v>
      </c>
      <c r="E631" s="24" t="str">
        <f>IFERROR(VLOOKUP(D631,Dropdown!A:B,2,0),D631)</f>
        <v>Purav</v>
      </c>
      <c r="F631" s="6">
        <v>45861</v>
      </c>
      <c r="G631" s="6" t="str">
        <f>TEXT(F631, "MMM-YY")</f>
        <v>Jul-25</v>
      </c>
      <c r="H631" t="s">
        <v>603</v>
      </c>
      <c r="I631" s="25">
        <v>98</v>
      </c>
      <c r="J631" s="4">
        <v>10000</v>
      </c>
      <c r="K631" t="s">
        <v>17</v>
      </c>
      <c r="L631" s="4" t="str">
        <f>VLOOKUP(K631, 'Items Master'!A:E,5,0)</f>
        <v>OPAL</v>
      </c>
      <c r="M631" s="4" t="str">
        <f>VLOOKUP(K631, 'Items Master'!A:D,4,0)</f>
        <v>LLDPE</v>
      </c>
      <c r="N631" s="4" t="s">
        <v>49</v>
      </c>
      <c r="O631" t="s">
        <v>1298</v>
      </c>
      <c r="Q631" s="6">
        <v>45861</v>
      </c>
      <c r="R631" s="6" t="str">
        <f>TEXT(Q631, "MMM-YY")</f>
        <v>Jul-25</v>
      </c>
      <c r="U631" t="s">
        <v>1605</v>
      </c>
      <c r="X631" s="25">
        <v>98.8</v>
      </c>
      <c r="Y631" s="25" t="s">
        <v>1303</v>
      </c>
      <c r="Z631" s="25" t="s">
        <v>1306</v>
      </c>
      <c r="AB631" s="8">
        <v>-0.9</v>
      </c>
      <c r="AH631" s="8">
        <v>0.1</v>
      </c>
      <c r="AN631" s="9">
        <f t="shared" si="19"/>
        <v>-0.8</v>
      </c>
      <c r="AO631" s="8"/>
      <c r="AP631" s="9">
        <f>I631-W631-X631-AN631</f>
        <v>2.886579864025407E-15</v>
      </c>
      <c r="AQ631" t="s">
        <v>1316</v>
      </c>
    </row>
    <row r="632" spans="1:43" x14ac:dyDescent="0.3">
      <c r="A632" s="11">
        <f t="shared" si="20"/>
        <v>630</v>
      </c>
      <c r="B632" s="5" t="s">
        <v>1675</v>
      </c>
      <c r="C632" t="s">
        <v>893</v>
      </c>
      <c r="D632" s="24" t="s">
        <v>48</v>
      </c>
      <c r="E632" s="24" t="str">
        <f>IFERROR(VLOOKUP(D632,Dropdown!A:B,2,0),D632)</f>
        <v>CVPL</v>
      </c>
      <c r="F632" s="6">
        <v>45861</v>
      </c>
      <c r="G632" s="6" t="str">
        <f>TEXT(F632, "MMM-YY")</f>
        <v>Jul-25</v>
      </c>
      <c r="H632" t="s">
        <v>604</v>
      </c>
      <c r="I632" s="25">
        <v>101.3</v>
      </c>
      <c r="J632" s="4">
        <v>10000</v>
      </c>
      <c r="K632" t="s">
        <v>899</v>
      </c>
      <c r="L632" s="4" t="str">
        <f>VLOOKUP(K632, 'Items Master'!A:E,5,0)</f>
        <v>MRPL</v>
      </c>
      <c r="M632" s="4" t="str">
        <f>VLOOKUP(K632, 'Items Master'!A:D,4,0)</f>
        <v>PP</v>
      </c>
      <c r="N632" s="4" t="s">
        <v>49</v>
      </c>
      <c r="Q632" s="6">
        <v>45861</v>
      </c>
      <c r="R632" s="6" t="str">
        <f>TEXT(Q632, "MMM-YY")</f>
        <v>Jul-25</v>
      </c>
      <c r="X632" s="25">
        <v>99.495999999999995</v>
      </c>
      <c r="AB632"/>
      <c r="AC632"/>
      <c r="AD632"/>
      <c r="AE632"/>
      <c r="AF632"/>
      <c r="AG632"/>
      <c r="AH632"/>
      <c r="AI632"/>
      <c r="AJ632"/>
      <c r="AK632"/>
      <c r="AL632"/>
      <c r="AM632"/>
      <c r="AN632" s="9">
        <f t="shared" si="19"/>
        <v>0</v>
      </c>
      <c r="AO632" s="8"/>
      <c r="AP632" s="9">
        <f>I632-W632-X632-AN632</f>
        <v>1.804000000000002</v>
      </c>
      <c r="AQ632" t="s">
        <v>1324</v>
      </c>
    </row>
    <row r="633" spans="1:43" x14ac:dyDescent="0.3">
      <c r="A633" s="11">
        <f t="shared" si="20"/>
        <v>631</v>
      </c>
      <c r="B633" s="5" t="s">
        <v>1675</v>
      </c>
      <c r="C633" t="s">
        <v>893</v>
      </c>
      <c r="D633" s="24" t="s">
        <v>48</v>
      </c>
      <c r="E633" s="24" t="str">
        <f>IFERROR(VLOOKUP(D633,Dropdown!A:B,2,0),D633)</f>
        <v>CVPL</v>
      </c>
      <c r="F633" s="6">
        <v>45862</v>
      </c>
      <c r="G633" s="6" t="str">
        <f>TEXT(F633, "MMM-YY")</f>
        <v>Jul-25</v>
      </c>
      <c r="H633" t="s">
        <v>605</v>
      </c>
      <c r="I633" s="25">
        <v>97.5</v>
      </c>
      <c r="J633" s="4">
        <v>2000</v>
      </c>
      <c r="K633" t="s">
        <v>1004</v>
      </c>
      <c r="L633" s="4" t="str">
        <f>VLOOKUP(K633, 'Items Master'!A:E,5,0)</f>
        <v>HALDIA</v>
      </c>
      <c r="M633" s="4" t="str">
        <f>VLOOKUP(K633, 'Items Master'!A:D,4,0)</f>
        <v>HDPE</v>
      </c>
      <c r="N633" s="4" t="s">
        <v>24</v>
      </c>
      <c r="Q633" s="6">
        <v>45862</v>
      </c>
      <c r="R633" s="6" t="str">
        <f>TEXT(Q633, "MMM-YY")</f>
        <v>Jul-25</v>
      </c>
      <c r="W633" s="25">
        <v>97.5</v>
      </c>
      <c r="Y633"/>
      <c r="Z633"/>
      <c r="AB633"/>
      <c r="AC633"/>
      <c r="AD633"/>
      <c r="AE633"/>
      <c r="AF633"/>
      <c r="AG633"/>
      <c r="AH633"/>
      <c r="AI633"/>
      <c r="AJ633"/>
      <c r="AK633"/>
      <c r="AL633"/>
      <c r="AM633"/>
      <c r="AN633" s="9">
        <f t="shared" si="19"/>
        <v>0</v>
      </c>
      <c r="AO633" s="8"/>
      <c r="AP633" s="9">
        <f>I633-W633-X633-AN633</f>
        <v>0</v>
      </c>
      <c r="AQ633" t="s">
        <v>1316</v>
      </c>
    </row>
    <row r="634" spans="1:43" x14ac:dyDescent="0.3">
      <c r="A634" s="11">
        <f t="shared" si="20"/>
        <v>632</v>
      </c>
      <c r="B634" s="5" t="s">
        <v>1675</v>
      </c>
      <c r="C634" t="s">
        <v>893</v>
      </c>
      <c r="D634" s="24" t="s">
        <v>840</v>
      </c>
      <c r="E634" s="24" t="str">
        <f>IFERROR(VLOOKUP(D634,Dropdown!A:B,2,0),D634)</f>
        <v>LPB Plastic Private Limited</v>
      </c>
      <c r="F634" s="6">
        <v>45862</v>
      </c>
      <c r="G634" s="6" t="str">
        <f>TEXT(F634, "MMM-YY")</f>
        <v>Jul-25</v>
      </c>
      <c r="H634" t="s">
        <v>606</v>
      </c>
      <c r="I634" s="25">
        <v>98.25</v>
      </c>
      <c r="J634" s="4">
        <v>3000</v>
      </c>
      <c r="K634" t="s">
        <v>957</v>
      </c>
      <c r="L634" s="4" t="str">
        <f>VLOOKUP(K634, 'Items Master'!A:E,5,0)</f>
        <v>HMEL</v>
      </c>
      <c r="M634" s="4" t="str">
        <f>VLOOKUP(K634, 'Items Master'!A:D,4,0)</f>
        <v>HDPE</v>
      </c>
      <c r="N634" s="4" t="s">
        <v>24</v>
      </c>
      <c r="Q634" s="6">
        <v>45862</v>
      </c>
      <c r="R634" s="6" t="str">
        <f>TEXT(Q634, "MMM-YY")</f>
        <v>Jul-25</v>
      </c>
      <c r="W634" s="25">
        <v>98.25</v>
      </c>
      <c r="Y634"/>
      <c r="Z634"/>
      <c r="AB634"/>
      <c r="AC634"/>
      <c r="AD634"/>
      <c r="AE634"/>
      <c r="AF634"/>
      <c r="AG634"/>
      <c r="AH634"/>
      <c r="AI634"/>
      <c r="AJ634"/>
      <c r="AK634"/>
      <c r="AL634"/>
      <c r="AM634"/>
      <c r="AN634" s="9">
        <f t="shared" si="19"/>
        <v>0</v>
      </c>
      <c r="AO634" s="8"/>
      <c r="AP634" s="9">
        <f>I634-W634-X634-AN634</f>
        <v>0</v>
      </c>
      <c r="AQ634" t="s">
        <v>1316</v>
      </c>
    </row>
    <row r="635" spans="1:43" x14ac:dyDescent="0.3">
      <c r="A635" s="11">
        <f t="shared" si="20"/>
        <v>633</v>
      </c>
      <c r="B635" s="5" t="s">
        <v>1675</v>
      </c>
      <c r="C635" t="s">
        <v>893</v>
      </c>
      <c r="D635" s="24" t="s">
        <v>864</v>
      </c>
      <c r="E635" s="24" t="str">
        <f>IFERROR(VLOOKUP(D635,Dropdown!A:B,2,0),D635)</f>
        <v>SVP</v>
      </c>
      <c r="F635" s="6">
        <v>45862</v>
      </c>
      <c r="G635" s="6" t="str">
        <f>TEXT(F635, "MMM-YY")</f>
        <v>Jul-25</v>
      </c>
      <c r="H635" t="s">
        <v>607</v>
      </c>
      <c r="I635" s="25">
        <v>101.48</v>
      </c>
      <c r="J635" s="4">
        <v>2500</v>
      </c>
      <c r="K635" t="s">
        <v>958</v>
      </c>
      <c r="L635" s="4" t="str">
        <f>VLOOKUP(K635, 'Items Master'!A:E,5,0)</f>
        <v>HMEL</v>
      </c>
      <c r="M635" s="4" t="str">
        <f>VLOOKUP(K635, 'Items Master'!A:D,4,0)</f>
        <v>PP</v>
      </c>
      <c r="N635" s="4" t="s">
        <v>49</v>
      </c>
      <c r="Q635" s="6">
        <v>45862</v>
      </c>
      <c r="R635" s="6" t="str">
        <f>TEXT(Q635, "MMM-YY")</f>
        <v>Jul-25</v>
      </c>
      <c r="X635" s="25">
        <v>102.98</v>
      </c>
      <c r="Y635" t="s">
        <v>1303</v>
      </c>
      <c r="Z635" t="s">
        <v>1305</v>
      </c>
      <c r="AB635" s="8">
        <v>-1.1000000000000001</v>
      </c>
      <c r="AC635" s="8">
        <v>-0.4</v>
      </c>
      <c r="AN635" s="9">
        <f t="shared" si="19"/>
        <v>-1.5</v>
      </c>
      <c r="AO635" s="8"/>
      <c r="AP635" s="9">
        <f>I635-W635-X635-AN635</f>
        <v>0</v>
      </c>
      <c r="AQ635" t="s">
        <v>1316</v>
      </c>
    </row>
    <row r="636" spans="1:43" x14ac:dyDescent="0.3">
      <c r="A636" s="11">
        <f t="shared" si="20"/>
        <v>634</v>
      </c>
      <c r="B636" s="5" t="s">
        <v>1675</v>
      </c>
      <c r="C636" t="s">
        <v>893</v>
      </c>
      <c r="D636" s="24" t="s">
        <v>48</v>
      </c>
      <c r="E636" s="24" t="str">
        <f>IFERROR(VLOOKUP(D636,Dropdown!A:B,2,0),D636)</f>
        <v>CVPL</v>
      </c>
      <c r="F636" s="6">
        <v>45862</v>
      </c>
      <c r="G636" s="6" t="str">
        <f>TEXT(F636, "MMM-YY")</f>
        <v>Jul-25</v>
      </c>
      <c r="H636" t="s">
        <v>608</v>
      </c>
      <c r="I636" s="25">
        <v>101.15</v>
      </c>
      <c r="J636" s="4">
        <v>5000</v>
      </c>
      <c r="K636" t="s">
        <v>937</v>
      </c>
      <c r="L636" s="4" t="str">
        <f>VLOOKUP(K636, 'Items Master'!A:E,5,0)</f>
        <v>MRPL</v>
      </c>
      <c r="M636" s="4" t="str">
        <f>VLOOKUP(K636, 'Items Master'!A:D,4,0)</f>
        <v>PP</v>
      </c>
      <c r="N636" s="4" t="s">
        <v>49</v>
      </c>
      <c r="Q636" s="6">
        <v>45862</v>
      </c>
      <c r="R636" s="6" t="str">
        <f>TEXT(Q636, "MMM-YY")</f>
        <v>Jul-25</v>
      </c>
      <c r="X636" s="25">
        <v>99.346000000000004</v>
      </c>
      <c r="AB636"/>
      <c r="AC636"/>
      <c r="AD636"/>
      <c r="AE636"/>
      <c r="AF636"/>
      <c r="AG636"/>
      <c r="AH636"/>
      <c r="AI636"/>
      <c r="AJ636"/>
      <c r="AK636"/>
      <c r="AL636"/>
      <c r="AM636"/>
      <c r="AN636" s="9">
        <f t="shared" si="19"/>
        <v>0</v>
      </c>
      <c r="AO636" s="8"/>
      <c r="AP636" s="9">
        <f>I636-W636-X636-AN636</f>
        <v>1.804000000000002</v>
      </c>
      <c r="AQ636" t="s">
        <v>1324</v>
      </c>
    </row>
    <row r="637" spans="1:43" x14ac:dyDescent="0.3">
      <c r="A637" s="11">
        <f t="shared" si="20"/>
        <v>635</v>
      </c>
      <c r="B637" s="5" t="s">
        <v>1675</v>
      </c>
      <c r="C637" t="s">
        <v>893</v>
      </c>
      <c r="D637" s="24" t="s">
        <v>840</v>
      </c>
      <c r="E637" s="24" t="str">
        <f>IFERROR(VLOOKUP(D637,Dropdown!A:B,2,0),D637)</f>
        <v>LPB Plastic Private Limited</v>
      </c>
      <c r="F637" s="6">
        <v>45863</v>
      </c>
      <c r="G637" s="6" t="str">
        <f>TEXT(F637, "MMM-YY")</f>
        <v>Jul-25</v>
      </c>
      <c r="H637" t="s">
        <v>609</v>
      </c>
      <c r="I637" s="25">
        <v>98.25</v>
      </c>
      <c r="J637" s="4">
        <v>2000</v>
      </c>
      <c r="K637" t="s">
        <v>957</v>
      </c>
      <c r="L637" s="4" t="str">
        <f>VLOOKUP(K637, 'Items Master'!A:E,5,0)</f>
        <v>HMEL</v>
      </c>
      <c r="M637" s="4" t="str">
        <f>VLOOKUP(K637, 'Items Master'!A:D,4,0)</f>
        <v>HDPE</v>
      </c>
      <c r="N637" s="4" t="s">
        <v>1325</v>
      </c>
      <c r="O637" t="s">
        <v>1326</v>
      </c>
      <c r="Q637" s="6">
        <v>45863</v>
      </c>
      <c r="R637" s="6" t="str">
        <f>TEXT(Q637, "MMM-YY")</f>
        <v>Jul-25</v>
      </c>
      <c r="X637" s="25">
        <v>98.25</v>
      </c>
      <c r="AB637"/>
      <c r="AC637"/>
      <c r="AD637"/>
      <c r="AE637"/>
      <c r="AF637"/>
      <c r="AG637"/>
      <c r="AH637"/>
      <c r="AI637"/>
      <c r="AJ637"/>
      <c r="AK637"/>
      <c r="AL637"/>
      <c r="AM637"/>
      <c r="AN637" s="9">
        <f t="shared" si="19"/>
        <v>0</v>
      </c>
      <c r="AO637" s="8"/>
      <c r="AP637" s="9">
        <f>I637-W637-X637-AN637</f>
        <v>0</v>
      </c>
      <c r="AQ637" t="s">
        <v>1316</v>
      </c>
    </row>
    <row r="638" spans="1:43" x14ac:dyDescent="0.3">
      <c r="A638" s="11">
        <f t="shared" si="20"/>
        <v>636</v>
      </c>
      <c r="B638" s="5" t="s">
        <v>1675</v>
      </c>
      <c r="C638" t="s">
        <v>893</v>
      </c>
      <c r="D638" s="24" t="s">
        <v>840</v>
      </c>
      <c r="E638" s="24" t="str">
        <f>IFERROR(VLOOKUP(D638,Dropdown!A:B,2,0),D638)</f>
        <v>LPB Plastic Private Limited</v>
      </c>
      <c r="F638" s="6">
        <v>45863</v>
      </c>
      <c r="G638" s="6" t="str">
        <f>TEXT(F638, "MMM-YY")</f>
        <v>Jul-25</v>
      </c>
      <c r="H638" t="s">
        <v>610</v>
      </c>
      <c r="I638" s="25">
        <v>96</v>
      </c>
      <c r="J638" s="4">
        <v>1000</v>
      </c>
      <c r="K638" t="s">
        <v>1005</v>
      </c>
      <c r="L638" s="4" t="str">
        <f>VLOOKUP(K638, 'Items Master'!A:E,5,0)</f>
        <v>NAYARA</v>
      </c>
      <c r="M638" s="4" t="str">
        <f>VLOOKUP(K638, 'Items Master'!A:D,4,0)</f>
        <v>PP</v>
      </c>
      <c r="N638" s="4" t="s">
        <v>1325</v>
      </c>
      <c r="O638" t="s">
        <v>1326</v>
      </c>
      <c r="Q638" s="6">
        <v>45863</v>
      </c>
      <c r="R638" s="6" t="str">
        <f>TEXT(Q638, "MMM-YY")</f>
        <v>Jul-25</v>
      </c>
      <c r="X638" s="25">
        <v>96</v>
      </c>
      <c r="AB638"/>
      <c r="AC638"/>
      <c r="AD638"/>
      <c r="AE638"/>
      <c r="AF638"/>
      <c r="AG638"/>
      <c r="AH638"/>
      <c r="AI638"/>
      <c r="AJ638"/>
      <c r="AK638"/>
      <c r="AL638"/>
      <c r="AM638"/>
      <c r="AN638" s="9">
        <f t="shared" si="19"/>
        <v>0</v>
      </c>
      <c r="AO638" s="8"/>
      <c r="AP638" s="9">
        <f>I638-W638-X638-AN638</f>
        <v>0</v>
      </c>
      <c r="AQ638" t="s">
        <v>1316</v>
      </c>
    </row>
    <row r="639" spans="1:43" x14ac:dyDescent="0.3">
      <c r="A639" s="11">
        <f t="shared" si="20"/>
        <v>637</v>
      </c>
      <c r="B639" s="5" t="s">
        <v>1675</v>
      </c>
      <c r="C639" t="s">
        <v>893</v>
      </c>
      <c r="D639" s="24" t="s">
        <v>838</v>
      </c>
      <c r="E639" s="24" t="str">
        <f>IFERROR(VLOOKUP(D639,Dropdown!A:B,2,0),D639)</f>
        <v>Treenity</v>
      </c>
      <c r="F639" s="6">
        <v>45863</v>
      </c>
      <c r="G639" s="6" t="str">
        <f>TEXT(F639, "MMM-YY")</f>
        <v>Jul-25</v>
      </c>
      <c r="H639" t="s">
        <v>611</v>
      </c>
      <c r="I639" s="25">
        <v>101.25</v>
      </c>
      <c r="J639" s="4">
        <v>10000</v>
      </c>
      <c r="K639" t="s">
        <v>899</v>
      </c>
      <c r="L639" s="4" t="str">
        <f>VLOOKUP(K639, 'Items Master'!A:E,5,0)</f>
        <v>MRPL</v>
      </c>
      <c r="M639" s="4" t="str">
        <f>VLOOKUP(K639, 'Items Master'!A:D,4,0)</f>
        <v>PP</v>
      </c>
      <c r="N639" s="4" t="s">
        <v>49</v>
      </c>
      <c r="Q639" s="6">
        <v>45863</v>
      </c>
      <c r="R639" s="6" t="str">
        <f>TEXT(Q639, "MMM-YY")</f>
        <v>Jul-25</v>
      </c>
      <c r="X639" s="25">
        <v>99.5</v>
      </c>
      <c r="Y639" t="s">
        <v>1304</v>
      </c>
      <c r="Z639" t="s">
        <v>1305</v>
      </c>
      <c r="AB639"/>
      <c r="AC639"/>
      <c r="AD639"/>
      <c r="AE639"/>
      <c r="AF639"/>
      <c r="AG639"/>
      <c r="AH639"/>
      <c r="AI639">
        <v>1.75</v>
      </c>
      <c r="AJ639"/>
      <c r="AK639"/>
      <c r="AL639"/>
      <c r="AM639"/>
      <c r="AN639" s="9">
        <f t="shared" si="19"/>
        <v>1.75</v>
      </c>
      <c r="AO639" s="8"/>
      <c r="AP639" s="9">
        <f>I639-W639-X639-AN639</f>
        <v>0</v>
      </c>
      <c r="AQ639" t="s">
        <v>1316</v>
      </c>
    </row>
    <row r="640" spans="1:43" x14ac:dyDescent="0.3">
      <c r="A640" s="11">
        <f t="shared" si="20"/>
        <v>638</v>
      </c>
      <c r="B640" s="5" t="s">
        <v>1675</v>
      </c>
      <c r="C640" t="s">
        <v>893</v>
      </c>
      <c r="D640" s="24" t="s">
        <v>838</v>
      </c>
      <c r="E640" s="24" t="str">
        <f>IFERROR(VLOOKUP(D640,Dropdown!A:B,2,0),D640)</f>
        <v>Treenity</v>
      </c>
      <c r="F640" s="6">
        <v>45863</v>
      </c>
      <c r="G640" s="6" t="str">
        <f>TEXT(F640, "MMM-YY")</f>
        <v>Jul-25</v>
      </c>
      <c r="H640" t="s">
        <v>611</v>
      </c>
      <c r="I640" s="25">
        <v>102.7</v>
      </c>
      <c r="J640" s="4">
        <v>15000</v>
      </c>
      <c r="K640" t="s">
        <v>901</v>
      </c>
      <c r="L640" s="4" t="str">
        <f>VLOOKUP(K640, 'Items Master'!A:E,5,0)</f>
        <v>MRPL</v>
      </c>
      <c r="M640" s="4" t="str">
        <f>VLOOKUP(K640, 'Items Master'!A:D,4,0)</f>
        <v>PP</v>
      </c>
      <c r="N640" s="4" t="s">
        <v>49</v>
      </c>
      <c r="Q640" s="6">
        <v>45863</v>
      </c>
      <c r="R640" s="6" t="str">
        <f>TEXT(Q640, "MMM-YY")</f>
        <v>Jul-25</v>
      </c>
      <c r="X640" s="25">
        <v>100.95</v>
      </c>
      <c r="Y640" t="s">
        <v>1304</v>
      </c>
      <c r="Z640" t="s">
        <v>1305</v>
      </c>
      <c r="AB640"/>
      <c r="AC640"/>
      <c r="AD640"/>
      <c r="AE640"/>
      <c r="AF640"/>
      <c r="AG640"/>
      <c r="AH640"/>
      <c r="AI640">
        <v>1.75</v>
      </c>
      <c r="AJ640"/>
      <c r="AK640"/>
      <c r="AL640"/>
      <c r="AM640"/>
      <c r="AN640" s="9">
        <f t="shared" si="19"/>
        <v>1.75</v>
      </c>
      <c r="AO640" s="8"/>
      <c r="AP640" s="9">
        <f>I640-W640-X640-AN640</f>
        <v>0</v>
      </c>
      <c r="AQ640" t="s">
        <v>1316</v>
      </c>
    </row>
    <row r="641" spans="1:43" x14ac:dyDescent="0.3">
      <c r="A641" s="11">
        <f t="shared" si="20"/>
        <v>639</v>
      </c>
      <c r="B641" s="5" t="s">
        <v>1675</v>
      </c>
      <c r="C641" t="s">
        <v>893</v>
      </c>
      <c r="D641" s="24" t="s">
        <v>48</v>
      </c>
      <c r="E641" s="24" t="str">
        <f>IFERROR(VLOOKUP(D641,Dropdown!A:B,2,0),D641)</f>
        <v>CVPL</v>
      </c>
      <c r="F641" s="6">
        <v>45863</v>
      </c>
      <c r="G641" s="6" t="str">
        <f>TEXT(F641, "MMM-YY")</f>
        <v>Jul-25</v>
      </c>
      <c r="H641" t="s">
        <v>612</v>
      </c>
      <c r="I641" s="25">
        <v>99.99</v>
      </c>
      <c r="J641" s="4">
        <v>3000</v>
      </c>
      <c r="K641" t="s">
        <v>903</v>
      </c>
      <c r="L641" s="4" t="str">
        <f>VLOOKUP(K641, 'Items Master'!A:E,5,0)</f>
        <v>GAIL</v>
      </c>
      <c r="M641" s="4" t="str">
        <f>VLOOKUP(K641, 'Items Master'!A:D,4,0)</f>
        <v>LLDPE</v>
      </c>
      <c r="N641" s="4" t="s">
        <v>49</v>
      </c>
      <c r="Q641" s="6">
        <v>45863</v>
      </c>
      <c r="R641" s="6" t="str">
        <f>TEXT(Q641, "MMM-YY")</f>
        <v>Jul-25</v>
      </c>
      <c r="X641" s="25">
        <v>99.99</v>
      </c>
      <c r="Y641" s="25" t="s">
        <v>1304</v>
      </c>
      <c r="Z641" s="25" t="s">
        <v>1305</v>
      </c>
      <c r="AB641"/>
      <c r="AC641"/>
      <c r="AD641"/>
      <c r="AE641"/>
      <c r="AF641"/>
      <c r="AG641"/>
      <c r="AH641"/>
      <c r="AI641"/>
      <c r="AJ641"/>
      <c r="AK641"/>
      <c r="AL641"/>
      <c r="AM641"/>
      <c r="AN641" s="9">
        <f t="shared" si="19"/>
        <v>0</v>
      </c>
      <c r="AO641" s="8"/>
      <c r="AP641" s="9">
        <f>I641-W641-X641-AN641</f>
        <v>0</v>
      </c>
      <c r="AQ641" t="s">
        <v>1324</v>
      </c>
    </row>
    <row r="642" spans="1:43" x14ac:dyDescent="0.3">
      <c r="A642" s="11">
        <f t="shared" si="20"/>
        <v>640</v>
      </c>
      <c r="B642" s="5" t="s">
        <v>1675</v>
      </c>
      <c r="C642" t="s">
        <v>893</v>
      </c>
      <c r="D642" s="24" t="s">
        <v>830</v>
      </c>
      <c r="E642" s="24" t="str">
        <f>IFERROR(VLOOKUP(D642,Dropdown!A:B,2,0),D642)</f>
        <v>BULK LIQUID SOLUTIONS PVT LTD</v>
      </c>
      <c r="F642" s="6">
        <v>45864</v>
      </c>
      <c r="G642" s="6" t="str">
        <f>TEXT(F642, "MMM-YY")</f>
        <v>Jul-25</v>
      </c>
      <c r="H642" t="s">
        <v>613</v>
      </c>
      <c r="I642" s="25">
        <v>92</v>
      </c>
      <c r="J642" s="4">
        <v>3000</v>
      </c>
      <c r="K642" t="s">
        <v>1002</v>
      </c>
      <c r="L642" s="4" t="str">
        <f>VLOOKUP(K642, 'Items Master'!A:E,5,0)</f>
        <v>NA</v>
      </c>
      <c r="M642" s="4" t="str">
        <f>VLOOKUP(K642, 'Items Master'!A:D,4,0)</f>
        <v>PP</v>
      </c>
      <c r="N642" s="4" t="s">
        <v>24</v>
      </c>
      <c r="Q642" s="6">
        <v>45864</v>
      </c>
      <c r="R642" s="6" t="str">
        <f>TEXT(Q642, "MMM-YY")</f>
        <v>Jul-25</v>
      </c>
      <c r="W642" s="25">
        <v>92</v>
      </c>
      <c r="Y642"/>
      <c r="Z642"/>
      <c r="AB642"/>
      <c r="AC642"/>
      <c r="AD642"/>
      <c r="AE642"/>
      <c r="AF642"/>
      <c r="AG642"/>
      <c r="AH642"/>
      <c r="AI642"/>
      <c r="AJ642"/>
      <c r="AK642"/>
      <c r="AL642"/>
      <c r="AM642"/>
      <c r="AN642" s="9">
        <f t="shared" si="19"/>
        <v>0</v>
      </c>
      <c r="AO642" s="8"/>
      <c r="AP642" s="9">
        <f>I642-W642-X642-AN642</f>
        <v>0</v>
      </c>
      <c r="AQ642" t="s">
        <v>1316</v>
      </c>
    </row>
    <row r="643" spans="1:43" x14ac:dyDescent="0.3">
      <c r="A643" s="11">
        <f t="shared" si="20"/>
        <v>641</v>
      </c>
      <c r="B643" s="5" t="s">
        <v>1675</v>
      </c>
      <c r="C643" t="s">
        <v>893</v>
      </c>
      <c r="D643" s="24" t="s">
        <v>48</v>
      </c>
      <c r="E643" s="24" t="str">
        <f>IFERROR(VLOOKUP(D643,Dropdown!A:B,2,0),D643)</f>
        <v>CVPL</v>
      </c>
      <c r="F643" s="6">
        <v>45864</v>
      </c>
      <c r="G643" s="6" t="str">
        <f>TEXT(F643, "MMM-YY")</f>
        <v>Jul-25</v>
      </c>
      <c r="H643" t="s">
        <v>614</v>
      </c>
      <c r="I643" s="25">
        <v>99.99</v>
      </c>
      <c r="J643" s="4">
        <v>10000</v>
      </c>
      <c r="K643" t="s">
        <v>911</v>
      </c>
      <c r="L643" s="4" t="str">
        <f>VLOOKUP(K643, 'Items Master'!A:E,5,0)</f>
        <v>BCPL</v>
      </c>
      <c r="M643" s="4" t="str">
        <f>VLOOKUP(K643, 'Items Master'!A:D,4,0)</f>
        <v>LLDPE</v>
      </c>
      <c r="N643" s="4" t="s">
        <v>49</v>
      </c>
      <c r="Q643" s="6">
        <v>45864</v>
      </c>
      <c r="R643" s="6" t="str">
        <f>TEXT(Q643, "MMM-YY")</f>
        <v>Jul-25</v>
      </c>
      <c r="X643" s="25">
        <v>98.617000000000004</v>
      </c>
      <c r="AB643"/>
      <c r="AC643"/>
      <c r="AD643"/>
      <c r="AE643"/>
      <c r="AF643"/>
      <c r="AG643"/>
      <c r="AH643"/>
      <c r="AI643"/>
      <c r="AJ643"/>
      <c r="AK643"/>
      <c r="AL643"/>
      <c r="AM643"/>
      <c r="AN643" s="9">
        <f t="shared" si="19"/>
        <v>0</v>
      </c>
      <c r="AO643" s="8"/>
      <c r="AP643" s="9">
        <f>I643-W643-X643-AN643</f>
        <v>1.3729999999999905</v>
      </c>
      <c r="AQ643" t="s">
        <v>1324</v>
      </c>
    </row>
    <row r="644" spans="1:43" x14ac:dyDescent="0.3">
      <c r="A644" s="11">
        <f t="shared" si="20"/>
        <v>642</v>
      </c>
      <c r="B644" s="5" t="s">
        <v>1675</v>
      </c>
      <c r="C644" t="s">
        <v>893</v>
      </c>
      <c r="D644" s="24" t="s">
        <v>875</v>
      </c>
      <c r="E644" s="24" t="str">
        <f>IFERROR(VLOOKUP(D644,Dropdown!A:B,2,0),D644)</f>
        <v>RAVAGO SHAH POLYMERS PRIVATE LIMITED</v>
      </c>
      <c r="F644" s="6">
        <v>45864</v>
      </c>
      <c r="G644" s="6" t="str">
        <f>TEXT(F644, "MMM-YY")</f>
        <v>Jul-25</v>
      </c>
      <c r="H644" t="s">
        <v>615</v>
      </c>
      <c r="I644" s="25">
        <v>180</v>
      </c>
      <c r="J644" s="4">
        <v>5000</v>
      </c>
      <c r="K644" t="s">
        <v>983</v>
      </c>
      <c r="L644" s="4" t="str">
        <f>VLOOKUP(K644, 'Items Master'!A:E,5,0)</f>
        <v>NA</v>
      </c>
      <c r="M644" s="4" t="str">
        <f>VLOOKUP(K644, 'Items Master'!A:D,4,0)</f>
        <v>Glass Filled</v>
      </c>
      <c r="N644" s="4" t="s">
        <v>24</v>
      </c>
      <c r="Q644" s="6">
        <v>45864</v>
      </c>
      <c r="R644" s="6" t="str">
        <f>TEXT(Q644, "MMM-YY")</f>
        <v>Jul-25</v>
      </c>
      <c r="W644" s="25">
        <v>180</v>
      </c>
      <c r="Y644"/>
      <c r="Z644"/>
      <c r="AB644"/>
      <c r="AC644"/>
      <c r="AD644"/>
      <c r="AE644"/>
      <c r="AF644"/>
      <c r="AG644"/>
      <c r="AH644"/>
      <c r="AI644"/>
      <c r="AJ644"/>
      <c r="AK644"/>
      <c r="AL644"/>
      <c r="AM644"/>
      <c r="AN644" s="9">
        <f t="shared" ref="AN644:AN707" si="21">SUM(AB644:AM644)</f>
        <v>0</v>
      </c>
      <c r="AO644" s="8"/>
      <c r="AP644" s="9">
        <f>I644-W644-X644-AN644</f>
        <v>0</v>
      </c>
      <c r="AQ644" t="s">
        <v>1316</v>
      </c>
    </row>
    <row r="645" spans="1:43" x14ac:dyDescent="0.3">
      <c r="A645" s="11">
        <f t="shared" si="20"/>
        <v>643</v>
      </c>
      <c r="B645" s="5" t="s">
        <v>1675</v>
      </c>
      <c r="C645" t="s">
        <v>893</v>
      </c>
      <c r="D645" s="24" t="s">
        <v>48</v>
      </c>
      <c r="E645" s="24" t="str">
        <f>IFERROR(VLOOKUP(D645,Dropdown!A:B,2,0),D645)</f>
        <v>CVPL</v>
      </c>
      <c r="F645" s="6">
        <v>45866</v>
      </c>
      <c r="G645" s="6" t="str">
        <f>TEXT(F645, "MMM-YY")</f>
        <v>Jul-25</v>
      </c>
      <c r="H645" t="s">
        <v>616</v>
      </c>
      <c r="I645" s="25">
        <v>101.3</v>
      </c>
      <c r="J645" s="4">
        <v>2500</v>
      </c>
      <c r="K645" t="s">
        <v>899</v>
      </c>
      <c r="L645" s="4" t="str">
        <f>VLOOKUP(K645, 'Items Master'!A:E,5,0)</f>
        <v>MRPL</v>
      </c>
      <c r="M645" s="4" t="str">
        <f>VLOOKUP(K645, 'Items Master'!A:D,4,0)</f>
        <v>PP</v>
      </c>
      <c r="N645" s="4" t="s">
        <v>49</v>
      </c>
      <c r="Q645" s="6">
        <v>45866</v>
      </c>
      <c r="R645" s="6" t="str">
        <f>TEXT(Q645, "MMM-YY")</f>
        <v>Jul-25</v>
      </c>
      <c r="X645" s="25">
        <v>99.5</v>
      </c>
      <c r="AB645"/>
      <c r="AC645"/>
      <c r="AD645"/>
      <c r="AE645"/>
      <c r="AF645"/>
      <c r="AG645"/>
      <c r="AH645"/>
      <c r="AI645"/>
      <c r="AJ645"/>
      <c r="AK645"/>
      <c r="AL645"/>
      <c r="AM645"/>
      <c r="AN645" s="9">
        <f t="shared" si="21"/>
        <v>0</v>
      </c>
      <c r="AO645" s="8"/>
      <c r="AP645" s="9">
        <f>I645-W645-X645-AN645</f>
        <v>1.7999999999999972</v>
      </c>
      <c r="AQ645" t="s">
        <v>1324</v>
      </c>
    </row>
    <row r="646" spans="1:43" x14ac:dyDescent="0.3">
      <c r="A646" s="11">
        <f t="shared" si="20"/>
        <v>644</v>
      </c>
      <c r="B646" s="5" t="s">
        <v>1675</v>
      </c>
      <c r="C646" t="s">
        <v>893</v>
      </c>
      <c r="D646" s="24" t="s">
        <v>824</v>
      </c>
      <c r="E646" s="24" t="str">
        <f>IFERROR(VLOOKUP(D646,Dropdown!A:B,2,0),D646)</f>
        <v>Paragon</v>
      </c>
      <c r="F646" s="6">
        <v>45866</v>
      </c>
      <c r="G646" s="6" t="str">
        <f>TEXT(F646, "MMM-YY")</f>
        <v>Jul-25</v>
      </c>
      <c r="H646" t="s">
        <v>617</v>
      </c>
      <c r="I646" s="25">
        <v>99.07</v>
      </c>
      <c r="J646" s="4">
        <v>750</v>
      </c>
      <c r="K646" t="s">
        <v>977</v>
      </c>
      <c r="L646" s="4" t="str">
        <f>VLOOKUP(K646, 'Items Master'!A:E,5,0)</f>
        <v>RIL</v>
      </c>
      <c r="M646" s="4" t="str">
        <f>VLOOKUP(K646, 'Items Master'!A:D,4,0)</f>
        <v>HDPE</v>
      </c>
      <c r="N646" s="4" t="s">
        <v>49</v>
      </c>
      <c r="Q646" s="6">
        <v>45866</v>
      </c>
      <c r="R646" s="6" t="str">
        <f>TEXT(Q646, "MMM-YY")</f>
        <v>Jul-25</v>
      </c>
      <c r="X646" s="25">
        <v>99.07</v>
      </c>
      <c r="Y646" s="25" t="s">
        <v>1303</v>
      </c>
      <c r="Z646" s="25" t="s">
        <v>1305</v>
      </c>
      <c r="AB646"/>
      <c r="AC646"/>
      <c r="AD646"/>
      <c r="AE646"/>
      <c r="AF646"/>
      <c r="AG646"/>
      <c r="AH646"/>
      <c r="AI646"/>
      <c r="AJ646"/>
      <c r="AK646"/>
      <c r="AL646"/>
      <c r="AM646"/>
      <c r="AN646" s="9">
        <f t="shared" si="21"/>
        <v>0</v>
      </c>
      <c r="AO646" s="8"/>
      <c r="AP646" s="9">
        <f>I646-W646-X646-AN646</f>
        <v>0</v>
      </c>
      <c r="AQ646" t="s">
        <v>1324</v>
      </c>
    </row>
    <row r="647" spans="1:43" x14ac:dyDescent="0.3">
      <c r="A647" s="11">
        <f t="shared" ref="A647:A710" si="22">A646+1</f>
        <v>645</v>
      </c>
      <c r="B647" s="5" t="s">
        <v>1675</v>
      </c>
      <c r="C647" t="s">
        <v>893</v>
      </c>
      <c r="D647" s="24" t="s">
        <v>48</v>
      </c>
      <c r="E647" s="24" t="str">
        <f>IFERROR(VLOOKUP(D647,Dropdown!A:B,2,0),D647)</f>
        <v>CVPL</v>
      </c>
      <c r="F647" s="6">
        <v>45866</v>
      </c>
      <c r="G647" s="6" t="str">
        <f>TEXT(F647, "MMM-YY")</f>
        <v>Jul-25</v>
      </c>
      <c r="H647" t="s">
        <v>618</v>
      </c>
      <c r="I647" s="25">
        <v>99.99</v>
      </c>
      <c r="J647" s="4">
        <v>2500</v>
      </c>
      <c r="K647" t="s">
        <v>903</v>
      </c>
      <c r="L647" s="4" t="str">
        <f>VLOOKUP(K647, 'Items Master'!A:E,5,0)</f>
        <v>GAIL</v>
      </c>
      <c r="M647" s="4" t="str">
        <f>VLOOKUP(K647, 'Items Master'!A:D,4,0)</f>
        <v>LLDPE</v>
      </c>
      <c r="N647" s="4" t="s">
        <v>49</v>
      </c>
      <c r="Q647" s="6">
        <v>45866</v>
      </c>
      <c r="R647" s="6" t="str">
        <f>TEXT(Q647, "MMM-YY")</f>
        <v>Jul-25</v>
      </c>
      <c r="X647" s="25">
        <v>99.99</v>
      </c>
      <c r="Y647" s="25" t="s">
        <v>1304</v>
      </c>
      <c r="Z647" s="25" t="s">
        <v>1305</v>
      </c>
      <c r="AB647"/>
      <c r="AC647"/>
      <c r="AD647"/>
      <c r="AE647"/>
      <c r="AF647"/>
      <c r="AG647"/>
      <c r="AH647"/>
      <c r="AI647"/>
      <c r="AJ647"/>
      <c r="AK647"/>
      <c r="AL647"/>
      <c r="AM647"/>
      <c r="AN647" s="9">
        <f t="shared" si="21"/>
        <v>0</v>
      </c>
      <c r="AO647" s="8"/>
      <c r="AP647" s="9">
        <f>I647-W647-X647-AN647</f>
        <v>0</v>
      </c>
      <c r="AQ647" t="s">
        <v>1324</v>
      </c>
    </row>
    <row r="648" spans="1:43" x14ac:dyDescent="0.3">
      <c r="A648" s="11">
        <f t="shared" si="22"/>
        <v>646</v>
      </c>
      <c r="B648" s="5" t="s">
        <v>1675</v>
      </c>
      <c r="C648" t="s">
        <v>893</v>
      </c>
      <c r="D648" s="24" t="s">
        <v>857</v>
      </c>
      <c r="E648" s="24" t="str">
        <f>IFERROR(VLOOKUP(D648,Dropdown!A:B,2,0),D648)</f>
        <v>Purav</v>
      </c>
      <c r="F648" s="6">
        <v>45866</v>
      </c>
      <c r="G648" s="6" t="str">
        <f>TEXT(F648, "MMM-YY")</f>
        <v>Jul-25</v>
      </c>
      <c r="H648" t="s">
        <v>619</v>
      </c>
      <c r="I648" s="25">
        <v>98</v>
      </c>
      <c r="J648" s="4">
        <v>10000</v>
      </c>
      <c r="K648" t="s">
        <v>17</v>
      </c>
      <c r="L648" s="4" t="str">
        <f>VLOOKUP(K648, 'Items Master'!A:E,5,0)</f>
        <v>OPAL</v>
      </c>
      <c r="M648" s="4" t="str">
        <f>VLOOKUP(K648, 'Items Master'!A:D,4,0)</f>
        <v>LLDPE</v>
      </c>
      <c r="N648" s="4" t="s">
        <v>49</v>
      </c>
      <c r="O648" t="s">
        <v>1298</v>
      </c>
      <c r="Q648" s="6">
        <v>45866</v>
      </c>
      <c r="R648" s="6" t="str">
        <f>TEXT(Q648, "MMM-YY")</f>
        <v>Jul-25</v>
      </c>
      <c r="U648" t="s">
        <v>1605</v>
      </c>
      <c r="X648" s="25">
        <v>98.8</v>
      </c>
      <c r="Y648" s="25" t="s">
        <v>1303</v>
      </c>
      <c r="Z648" s="25" t="s">
        <v>1306</v>
      </c>
      <c r="AB648" s="8">
        <v>-0.9</v>
      </c>
      <c r="AH648" s="8">
        <v>0.1</v>
      </c>
      <c r="AN648" s="9">
        <f t="shared" si="21"/>
        <v>-0.8</v>
      </c>
      <c r="AO648" s="8"/>
      <c r="AP648" s="9">
        <f>I648-W648-X648-AN648</f>
        <v>2.886579864025407E-15</v>
      </c>
      <c r="AQ648" t="s">
        <v>1316</v>
      </c>
    </row>
    <row r="649" spans="1:43" x14ac:dyDescent="0.3">
      <c r="A649" s="11">
        <f t="shared" si="22"/>
        <v>647</v>
      </c>
      <c r="B649" s="5" t="s">
        <v>1675</v>
      </c>
      <c r="C649" t="s">
        <v>893</v>
      </c>
      <c r="D649" s="24" t="s">
        <v>824</v>
      </c>
      <c r="E649" s="24" t="str">
        <f>IFERROR(VLOOKUP(D649,Dropdown!A:B,2,0),D649)</f>
        <v>Paragon</v>
      </c>
      <c r="F649" s="6">
        <v>45866</v>
      </c>
      <c r="G649" s="6" t="str">
        <f>TEXT(F649, "MMM-YY")</f>
        <v>Jul-25</v>
      </c>
      <c r="H649" t="s">
        <v>620</v>
      </c>
      <c r="I649" s="25">
        <v>99.5</v>
      </c>
      <c r="J649" s="4">
        <v>5000</v>
      </c>
      <c r="K649" t="s">
        <v>915</v>
      </c>
      <c r="L649" s="4" t="str">
        <f>VLOOKUP(K649, 'Items Master'!A:E,5,0)</f>
        <v>RIL</v>
      </c>
      <c r="M649" s="4" t="str">
        <f>VLOOKUP(K649, 'Items Master'!A:D,4,0)</f>
        <v>LLDPE</v>
      </c>
      <c r="N649" s="4" t="s">
        <v>49</v>
      </c>
      <c r="Q649" s="6">
        <v>45866</v>
      </c>
      <c r="R649" s="6" t="str">
        <f>TEXT(Q649, "MMM-YY")</f>
        <v>Jul-25</v>
      </c>
      <c r="X649" s="25">
        <v>99.5</v>
      </c>
      <c r="Y649" s="25" t="s">
        <v>1303</v>
      </c>
      <c r="Z649" s="25" t="s">
        <v>1305</v>
      </c>
      <c r="AB649"/>
      <c r="AC649"/>
      <c r="AD649"/>
      <c r="AE649"/>
      <c r="AF649"/>
      <c r="AG649"/>
      <c r="AH649"/>
      <c r="AI649"/>
      <c r="AJ649"/>
      <c r="AK649"/>
      <c r="AL649"/>
      <c r="AM649"/>
      <c r="AN649" s="9">
        <f t="shared" si="21"/>
        <v>0</v>
      </c>
      <c r="AO649" s="8"/>
      <c r="AP649" s="9">
        <f>I649-W649-X649-AN649</f>
        <v>0</v>
      </c>
      <c r="AQ649" t="s">
        <v>1324</v>
      </c>
    </row>
    <row r="650" spans="1:43" x14ac:dyDescent="0.3">
      <c r="A650" s="11">
        <f t="shared" si="22"/>
        <v>648</v>
      </c>
      <c r="B650" s="5" t="s">
        <v>1675</v>
      </c>
      <c r="C650" t="s">
        <v>893</v>
      </c>
      <c r="D650" s="24" t="s">
        <v>875</v>
      </c>
      <c r="E650" s="24" t="str">
        <f>IFERROR(VLOOKUP(D650,Dropdown!A:B,2,0),D650)</f>
        <v>RAVAGO SHAH POLYMERS PRIVATE LIMITED</v>
      </c>
      <c r="F650" s="6">
        <v>45866</v>
      </c>
      <c r="G650" s="6" t="str">
        <f>TEXT(F650, "MMM-YY")</f>
        <v>Jul-25</v>
      </c>
      <c r="H650" t="s">
        <v>621</v>
      </c>
      <c r="I650" s="25">
        <v>160</v>
      </c>
      <c r="J650" s="4">
        <v>2000</v>
      </c>
      <c r="K650" t="s">
        <v>1006</v>
      </c>
      <c r="L650" s="4" t="str">
        <f>VLOOKUP(K650, 'Items Master'!A:E,5,0)</f>
        <v>STAREX</v>
      </c>
      <c r="M650" s="4" t="str">
        <f>VLOOKUP(K650, 'Items Master'!A:D,4,0)</f>
        <v>ABS</v>
      </c>
      <c r="N650" s="4" t="s">
        <v>24</v>
      </c>
      <c r="Q650" s="6">
        <v>45866</v>
      </c>
      <c r="R650" s="6" t="str">
        <f>TEXT(Q650, "MMM-YY")</f>
        <v>Jul-25</v>
      </c>
      <c r="W650" s="25">
        <v>160</v>
      </c>
      <c r="Y650"/>
      <c r="Z650"/>
      <c r="AB650"/>
      <c r="AC650"/>
      <c r="AD650"/>
      <c r="AE650"/>
      <c r="AF650"/>
      <c r="AG650"/>
      <c r="AH650"/>
      <c r="AI650"/>
      <c r="AJ650"/>
      <c r="AK650"/>
      <c r="AL650"/>
      <c r="AM650"/>
      <c r="AN650" s="9">
        <f t="shared" si="21"/>
        <v>0</v>
      </c>
      <c r="AO650" s="8"/>
      <c r="AP650" s="9">
        <f>I650-W650-X650-AN650</f>
        <v>0</v>
      </c>
      <c r="AQ650" t="s">
        <v>1316</v>
      </c>
    </row>
    <row r="651" spans="1:43" x14ac:dyDescent="0.3">
      <c r="A651" s="11">
        <f t="shared" si="22"/>
        <v>649</v>
      </c>
      <c r="B651" s="5" t="s">
        <v>1675</v>
      </c>
      <c r="C651" t="s">
        <v>893</v>
      </c>
      <c r="D651" s="24" t="s">
        <v>824</v>
      </c>
      <c r="E651" s="24" t="str">
        <f>IFERROR(VLOOKUP(D651,Dropdown!A:B,2,0),D651)</f>
        <v>Paragon</v>
      </c>
      <c r="F651" s="6">
        <v>45866</v>
      </c>
      <c r="G651" s="6" t="str">
        <f>TEXT(F651, "MMM-YY")</f>
        <v>Jul-25</v>
      </c>
      <c r="H651" t="s">
        <v>622</v>
      </c>
      <c r="I651" s="25">
        <v>106.39</v>
      </c>
      <c r="J651" s="4">
        <v>2000</v>
      </c>
      <c r="K651" t="s">
        <v>925</v>
      </c>
      <c r="L651" s="4" t="str">
        <f>VLOOKUP(K651, 'Items Master'!A:E,5,0)</f>
        <v>RIL</v>
      </c>
      <c r="M651" s="4" t="str">
        <f>VLOOKUP(K651, 'Items Master'!A:D,4,0)</f>
        <v>PP ICP</v>
      </c>
      <c r="N651" s="4" t="s">
        <v>49</v>
      </c>
      <c r="Q651" s="6">
        <v>45866</v>
      </c>
      <c r="R651" s="6" t="str">
        <f>TEXT(Q651, "MMM-YY")</f>
        <v>Jul-25</v>
      </c>
      <c r="X651" s="25">
        <v>106.39</v>
      </c>
      <c r="Y651" s="25" t="s">
        <v>1303</v>
      </c>
      <c r="Z651" s="25" t="s">
        <v>1305</v>
      </c>
      <c r="AB651"/>
      <c r="AC651"/>
      <c r="AD651"/>
      <c r="AE651"/>
      <c r="AF651"/>
      <c r="AG651"/>
      <c r="AH651"/>
      <c r="AI651"/>
      <c r="AJ651"/>
      <c r="AK651"/>
      <c r="AL651"/>
      <c r="AM651"/>
      <c r="AN651" s="9">
        <f t="shared" si="21"/>
        <v>0</v>
      </c>
      <c r="AO651" s="8"/>
      <c r="AP651" s="9">
        <f>I651-W651-X651-AN651</f>
        <v>0</v>
      </c>
      <c r="AQ651" t="s">
        <v>1324</v>
      </c>
    </row>
    <row r="652" spans="1:43" x14ac:dyDescent="0.3">
      <c r="A652" s="11">
        <f t="shared" si="22"/>
        <v>650</v>
      </c>
      <c r="B652" s="5" t="s">
        <v>1675</v>
      </c>
      <c r="C652" t="s">
        <v>893</v>
      </c>
      <c r="D652" s="24" t="s">
        <v>48</v>
      </c>
      <c r="E652" s="24" t="str">
        <f>IFERROR(VLOOKUP(D652,Dropdown!A:B,2,0),D652)</f>
        <v>CVPL</v>
      </c>
      <c r="F652" s="6">
        <v>45867</v>
      </c>
      <c r="G652" s="6" t="str">
        <f>TEXT(F652, "MMM-YY")</f>
        <v>Jul-25</v>
      </c>
      <c r="H652" t="s">
        <v>623</v>
      </c>
      <c r="I652" s="25">
        <v>99.49</v>
      </c>
      <c r="J652" s="4">
        <v>10000</v>
      </c>
      <c r="K652" t="s">
        <v>903</v>
      </c>
      <c r="L652" s="4" t="str">
        <f>VLOOKUP(K652, 'Items Master'!A:E,5,0)</f>
        <v>GAIL</v>
      </c>
      <c r="M652" s="4" t="str">
        <f>VLOOKUP(K652, 'Items Master'!A:D,4,0)</f>
        <v>LLDPE</v>
      </c>
      <c r="N652" s="4" t="s">
        <v>49</v>
      </c>
      <c r="Q652" s="6">
        <v>45867</v>
      </c>
      <c r="R652" s="6" t="str">
        <f>TEXT(Q652, "MMM-YY")</f>
        <v>Jul-25</v>
      </c>
      <c r="X652" s="25">
        <v>99.99</v>
      </c>
      <c r="Y652" s="25" t="s">
        <v>1304</v>
      </c>
      <c r="AB652"/>
      <c r="AC652"/>
      <c r="AD652"/>
      <c r="AE652"/>
      <c r="AF652"/>
      <c r="AG652"/>
      <c r="AH652"/>
      <c r="AI652"/>
      <c r="AJ652"/>
      <c r="AK652"/>
      <c r="AL652"/>
      <c r="AM652"/>
      <c r="AN652" s="9">
        <f t="shared" si="21"/>
        <v>0</v>
      </c>
      <c r="AO652" s="8"/>
      <c r="AP652" s="9">
        <f>I652-W652-X652-AN652</f>
        <v>-0.5</v>
      </c>
      <c r="AQ652" t="s">
        <v>1324</v>
      </c>
    </row>
    <row r="653" spans="1:43" x14ac:dyDescent="0.3">
      <c r="A653" s="11">
        <f t="shared" si="22"/>
        <v>651</v>
      </c>
      <c r="B653" s="5" t="s">
        <v>1675</v>
      </c>
      <c r="C653" t="s">
        <v>893</v>
      </c>
      <c r="D653" s="24" t="s">
        <v>48</v>
      </c>
      <c r="E653" s="24" t="str">
        <f>IFERROR(VLOOKUP(D653,Dropdown!A:B,2,0),D653)</f>
        <v>CVPL</v>
      </c>
      <c r="F653" s="6">
        <v>45867</v>
      </c>
      <c r="G653" s="6" t="str">
        <f>TEXT(F653, "MMM-YY")</f>
        <v>Jul-25</v>
      </c>
      <c r="H653" t="s">
        <v>624</v>
      </c>
      <c r="I653" s="25">
        <v>99.99</v>
      </c>
      <c r="J653" s="4">
        <v>2500</v>
      </c>
      <c r="K653" t="s">
        <v>903</v>
      </c>
      <c r="L653" s="4" t="str">
        <f>VLOOKUP(K653, 'Items Master'!A:E,5,0)</f>
        <v>GAIL</v>
      </c>
      <c r="M653" s="4" t="str">
        <f>VLOOKUP(K653, 'Items Master'!A:D,4,0)</f>
        <v>LLDPE</v>
      </c>
      <c r="N653" s="4" t="s">
        <v>49</v>
      </c>
      <c r="Q653" s="6">
        <v>45867</v>
      </c>
      <c r="R653" s="6" t="str">
        <f>TEXT(Q653, "MMM-YY")</f>
        <v>Jul-25</v>
      </c>
      <c r="X653" s="25">
        <v>99.99</v>
      </c>
      <c r="Y653" s="25" t="s">
        <v>1304</v>
      </c>
      <c r="AB653"/>
      <c r="AC653"/>
      <c r="AD653"/>
      <c r="AE653"/>
      <c r="AF653"/>
      <c r="AG653"/>
      <c r="AH653"/>
      <c r="AI653"/>
      <c r="AJ653"/>
      <c r="AK653"/>
      <c r="AL653"/>
      <c r="AM653"/>
      <c r="AN653" s="9">
        <f t="shared" si="21"/>
        <v>0</v>
      </c>
      <c r="AO653" s="8"/>
      <c r="AP653" s="9">
        <f>I653-W653-X653-AN653</f>
        <v>0</v>
      </c>
      <c r="AQ653" t="s">
        <v>1324</v>
      </c>
    </row>
    <row r="654" spans="1:43" x14ac:dyDescent="0.3">
      <c r="A654" s="11">
        <f t="shared" si="22"/>
        <v>652</v>
      </c>
      <c r="B654" s="5" t="s">
        <v>1675</v>
      </c>
      <c r="C654" t="s">
        <v>893</v>
      </c>
      <c r="D654" s="24" t="s">
        <v>884</v>
      </c>
      <c r="E654" s="24" t="str">
        <f>IFERROR(VLOOKUP(D654,Dropdown!A:B,2,0),D654)</f>
        <v>M.M.POLYMERS,</v>
      </c>
      <c r="F654" s="6">
        <v>45867</v>
      </c>
      <c r="G654" s="6" t="str">
        <f>TEXT(F654, "MMM-YY")</f>
        <v>Jul-25</v>
      </c>
      <c r="H654" t="s">
        <v>625</v>
      </c>
      <c r="I654" s="25">
        <v>98.75</v>
      </c>
      <c r="J654" s="4">
        <v>350</v>
      </c>
      <c r="K654" t="s">
        <v>977</v>
      </c>
      <c r="L654" s="4" t="str">
        <f>VLOOKUP(K654, 'Items Master'!A:E,5,0)</f>
        <v>RIL</v>
      </c>
      <c r="M654" s="4" t="str">
        <f>VLOOKUP(K654, 'Items Master'!A:D,4,0)</f>
        <v>HDPE</v>
      </c>
      <c r="N654" s="4" t="s">
        <v>24</v>
      </c>
      <c r="Q654" s="6">
        <v>45867</v>
      </c>
      <c r="R654" s="6" t="str">
        <f>TEXT(Q654, "MMM-YY")</f>
        <v>Jul-25</v>
      </c>
      <c r="W654" s="25">
        <v>98.75</v>
      </c>
      <c r="Y654"/>
      <c r="Z654"/>
      <c r="AB654"/>
      <c r="AC654"/>
      <c r="AD654"/>
      <c r="AE654"/>
      <c r="AF654"/>
      <c r="AG654"/>
      <c r="AH654"/>
      <c r="AI654"/>
      <c r="AJ654"/>
      <c r="AK654"/>
      <c r="AL654"/>
      <c r="AM654"/>
      <c r="AN654" s="9">
        <f t="shared" si="21"/>
        <v>0</v>
      </c>
      <c r="AO654" s="8"/>
      <c r="AP654" s="9">
        <f>I654-W654-X654-AN654</f>
        <v>0</v>
      </c>
      <c r="AQ654" t="s">
        <v>1316</v>
      </c>
    </row>
    <row r="655" spans="1:43" x14ac:dyDescent="0.3">
      <c r="A655" s="11">
        <f t="shared" si="22"/>
        <v>653</v>
      </c>
      <c r="B655" s="5" t="s">
        <v>1675</v>
      </c>
      <c r="C655" t="s">
        <v>893</v>
      </c>
      <c r="D655" s="24" t="s">
        <v>48</v>
      </c>
      <c r="E655" s="24" t="str">
        <f>IFERROR(VLOOKUP(D655,Dropdown!A:B,2,0),D655)</f>
        <v>CVPL</v>
      </c>
      <c r="F655" s="6">
        <v>45868</v>
      </c>
      <c r="G655" s="6" t="str">
        <f>TEXT(F655, "MMM-YY")</f>
        <v>Jul-25</v>
      </c>
      <c r="H655" t="s">
        <v>626</v>
      </c>
      <c r="I655" s="25">
        <v>99.49</v>
      </c>
      <c r="J655" s="4">
        <v>2500</v>
      </c>
      <c r="K655" t="s">
        <v>903</v>
      </c>
      <c r="L655" s="4" t="str">
        <f>VLOOKUP(K655, 'Items Master'!A:E,5,0)</f>
        <v>GAIL</v>
      </c>
      <c r="M655" s="4" t="str">
        <f>VLOOKUP(K655, 'Items Master'!A:D,4,0)</f>
        <v>LLDPE</v>
      </c>
      <c r="N655" s="4" t="s">
        <v>49</v>
      </c>
      <c r="Q655" s="6">
        <v>45868</v>
      </c>
      <c r="R655" s="6" t="str">
        <f>TEXT(Q655, "MMM-YY")</f>
        <v>Jul-25</v>
      </c>
      <c r="X655" s="25">
        <v>99.486000000000004</v>
      </c>
      <c r="Y655" s="25" t="s">
        <v>1304</v>
      </c>
      <c r="AB655"/>
      <c r="AC655"/>
      <c r="AD655"/>
      <c r="AE655"/>
      <c r="AF655"/>
      <c r="AG655"/>
      <c r="AH655"/>
      <c r="AI655"/>
      <c r="AJ655"/>
      <c r="AK655"/>
      <c r="AL655"/>
      <c r="AM655"/>
      <c r="AN655" s="9">
        <f t="shared" si="21"/>
        <v>0</v>
      </c>
      <c r="AO655" s="8"/>
      <c r="AP655" s="9">
        <f>I655-W655-X655-AN655</f>
        <v>3.9999999999906777E-3</v>
      </c>
      <c r="AQ655" t="s">
        <v>1324</v>
      </c>
    </row>
    <row r="656" spans="1:43" x14ac:dyDescent="0.3">
      <c r="A656" s="11">
        <f t="shared" si="22"/>
        <v>654</v>
      </c>
      <c r="B656" s="5" t="s">
        <v>1675</v>
      </c>
      <c r="C656" t="s">
        <v>894</v>
      </c>
      <c r="D656" s="24" t="s">
        <v>857</v>
      </c>
      <c r="E656" s="24" t="str">
        <f>IFERROR(VLOOKUP(D656,Dropdown!A:B,2,0),D656)</f>
        <v>Purav</v>
      </c>
      <c r="F656" s="6">
        <v>45868</v>
      </c>
      <c r="G656" s="6" t="str">
        <f>TEXT(F656, "MMM-YY")</f>
        <v>Jul-25</v>
      </c>
      <c r="H656" t="s">
        <v>627</v>
      </c>
      <c r="I656" s="25">
        <v>97.95</v>
      </c>
      <c r="J656" s="4">
        <v>12000</v>
      </c>
      <c r="K656" t="s">
        <v>896</v>
      </c>
      <c r="L656" s="4" t="str">
        <f>VLOOKUP(K656, 'Items Master'!A:E,5,0)</f>
        <v>OPAL</v>
      </c>
      <c r="M656" s="4" t="str">
        <f>VLOOKUP(K656, 'Items Master'!A:D,4,0)</f>
        <v>HDPE</v>
      </c>
      <c r="N656" s="4" t="s">
        <v>49</v>
      </c>
      <c r="O656" t="s">
        <v>1298</v>
      </c>
      <c r="Q656" s="6">
        <v>45868</v>
      </c>
      <c r="R656" s="6" t="str">
        <f>TEXT(Q656, "MMM-YY")</f>
        <v>Jul-25</v>
      </c>
      <c r="U656" t="s">
        <v>1605</v>
      </c>
      <c r="X656" s="25">
        <v>98.75</v>
      </c>
      <c r="Y656" s="25" t="s">
        <v>1303</v>
      </c>
      <c r="AB656" s="8">
        <v>-0.9</v>
      </c>
      <c r="AH656" s="8">
        <v>0.1</v>
      </c>
      <c r="AN656" s="9">
        <f t="shared" si="21"/>
        <v>-0.8</v>
      </c>
      <c r="AO656" s="8"/>
      <c r="AP656" s="9">
        <f>I656-W656-X656-AN656</f>
        <v>2.886579864025407E-15</v>
      </c>
      <c r="AQ656" t="s">
        <v>1316</v>
      </c>
    </row>
    <row r="657" spans="1:43" x14ac:dyDescent="0.3">
      <c r="A657" s="11">
        <f t="shared" si="22"/>
        <v>655</v>
      </c>
      <c r="B657" s="5" t="s">
        <v>1675</v>
      </c>
      <c r="C657" t="s">
        <v>893</v>
      </c>
      <c r="D657" s="24" t="s">
        <v>836</v>
      </c>
      <c r="E657" s="24" t="str">
        <f>IFERROR(VLOOKUP(D657,Dropdown!A:B,2,0),D657)</f>
        <v>Intime</v>
      </c>
      <c r="F657" s="6">
        <v>45868</v>
      </c>
      <c r="G657" s="6" t="str">
        <f>TEXT(F657, "MMM-YY")</f>
        <v>Jul-25</v>
      </c>
      <c r="H657" t="s">
        <v>628</v>
      </c>
      <c r="I657" s="25">
        <v>98.98</v>
      </c>
      <c r="J657" s="4">
        <v>25000</v>
      </c>
      <c r="K657" t="s">
        <v>903</v>
      </c>
      <c r="L657" s="4" t="str">
        <f>VLOOKUP(K657, 'Items Master'!A:E,5,0)</f>
        <v>GAIL</v>
      </c>
      <c r="M657" s="4" t="str">
        <f>VLOOKUP(K657, 'Items Master'!A:D,4,0)</f>
        <v>LLDPE</v>
      </c>
      <c r="N657" s="4" t="s">
        <v>49</v>
      </c>
      <c r="Q657" s="6">
        <v>45868</v>
      </c>
      <c r="R657" s="6" t="str">
        <f>TEXT(Q657, "MMM-YY")</f>
        <v>Jul-25</v>
      </c>
      <c r="X657" s="25">
        <v>98.98</v>
      </c>
      <c r="Y657" s="25" t="s">
        <v>1304</v>
      </c>
      <c r="AB657"/>
      <c r="AC657"/>
      <c r="AD657"/>
      <c r="AE657"/>
      <c r="AF657"/>
      <c r="AG657"/>
      <c r="AH657"/>
      <c r="AI657"/>
      <c r="AJ657"/>
      <c r="AK657"/>
      <c r="AL657"/>
      <c r="AM657"/>
      <c r="AN657" s="9">
        <f t="shared" si="21"/>
        <v>0</v>
      </c>
      <c r="AO657" s="8"/>
      <c r="AP657" s="9">
        <f>I657-W657-X657-AN657</f>
        <v>0</v>
      </c>
      <c r="AQ657" t="s">
        <v>1324</v>
      </c>
    </row>
    <row r="658" spans="1:43" x14ac:dyDescent="0.3">
      <c r="A658" s="11">
        <f t="shared" si="22"/>
        <v>656</v>
      </c>
      <c r="B658" s="5" t="s">
        <v>1675</v>
      </c>
      <c r="C658" t="s">
        <v>893</v>
      </c>
      <c r="D658" s="24" t="s">
        <v>824</v>
      </c>
      <c r="E658" s="24" t="str">
        <f>IFERROR(VLOOKUP(D658,Dropdown!A:B,2,0),D658)</f>
        <v>Paragon</v>
      </c>
      <c r="F658" s="6">
        <v>45868</v>
      </c>
      <c r="G658" s="6" t="str">
        <f>TEXT(F658, "MMM-YY")</f>
        <v>Jul-25</v>
      </c>
      <c r="H658" t="s">
        <v>629</v>
      </c>
      <c r="I658" s="25">
        <v>99.5</v>
      </c>
      <c r="J658" s="4">
        <v>500</v>
      </c>
      <c r="K658" t="s">
        <v>915</v>
      </c>
      <c r="L658" s="4" t="str">
        <f>VLOOKUP(K658, 'Items Master'!A:E,5,0)</f>
        <v>RIL</v>
      </c>
      <c r="M658" s="4" t="str">
        <f>VLOOKUP(K658, 'Items Master'!A:D,4,0)</f>
        <v>LLDPE</v>
      </c>
      <c r="N658" s="4" t="s">
        <v>49</v>
      </c>
      <c r="Q658" s="6">
        <v>45868</v>
      </c>
      <c r="R658" s="6" t="str">
        <f>TEXT(Q658, "MMM-YY")</f>
        <v>Jul-25</v>
      </c>
      <c r="X658" s="25">
        <v>99.5</v>
      </c>
      <c r="Y658" s="25" t="s">
        <v>1303</v>
      </c>
      <c r="AB658"/>
      <c r="AC658"/>
      <c r="AD658"/>
      <c r="AE658"/>
      <c r="AF658"/>
      <c r="AG658"/>
      <c r="AH658"/>
      <c r="AI658"/>
      <c r="AJ658"/>
      <c r="AK658"/>
      <c r="AL658"/>
      <c r="AM658"/>
      <c r="AN658" s="9">
        <f t="shared" si="21"/>
        <v>0</v>
      </c>
      <c r="AO658" s="8"/>
      <c r="AP658" s="9">
        <f>I658-W658-X658-AN658</f>
        <v>0</v>
      </c>
      <c r="AQ658" t="s">
        <v>1324</v>
      </c>
    </row>
    <row r="659" spans="1:43" x14ac:dyDescent="0.3">
      <c r="A659" s="11">
        <f t="shared" si="22"/>
        <v>657</v>
      </c>
      <c r="B659" s="5" t="s">
        <v>1675</v>
      </c>
      <c r="C659" t="s">
        <v>893</v>
      </c>
      <c r="D659" s="24" t="s">
        <v>48</v>
      </c>
      <c r="E659" s="24" t="str">
        <f>IFERROR(VLOOKUP(D659,Dropdown!A:B,2,0),D659)</f>
        <v>CVPL</v>
      </c>
      <c r="F659" s="6">
        <v>45868</v>
      </c>
      <c r="G659" s="6" t="str">
        <f>TEXT(F659, "MMM-YY")</f>
        <v>Jul-25</v>
      </c>
      <c r="H659" t="s">
        <v>630</v>
      </c>
      <c r="I659" s="25">
        <v>101.15</v>
      </c>
      <c r="J659" s="4">
        <v>12000</v>
      </c>
      <c r="K659" t="s">
        <v>937</v>
      </c>
      <c r="L659" s="4" t="str">
        <f>VLOOKUP(K659, 'Items Master'!A:E,5,0)</f>
        <v>MRPL</v>
      </c>
      <c r="M659" s="4" t="str">
        <f>VLOOKUP(K659, 'Items Master'!A:D,4,0)</f>
        <v>PP</v>
      </c>
      <c r="N659" s="4" t="s">
        <v>49</v>
      </c>
      <c r="Q659" s="6">
        <v>45868</v>
      </c>
      <c r="R659" s="6" t="str">
        <f>TEXT(Q659, "MMM-YY")</f>
        <v>Jul-25</v>
      </c>
      <c r="X659" s="25">
        <v>99.346000000000004</v>
      </c>
      <c r="Y659" s="25" t="s">
        <v>1304</v>
      </c>
      <c r="AB659"/>
      <c r="AC659"/>
      <c r="AD659"/>
      <c r="AE659"/>
      <c r="AF659"/>
      <c r="AG659"/>
      <c r="AH659"/>
      <c r="AI659"/>
      <c r="AJ659"/>
      <c r="AK659"/>
      <c r="AL659"/>
      <c r="AM659"/>
      <c r="AN659" s="9">
        <f t="shared" si="21"/>
        <v>0</v>
      </c>
      <c r="AO659" s="8"/>
      <c r="AP659" s="9">
        <f>I659-W659-X659-AN659</f>
        <v>1.804000000000002</v>
      </c>
      <c r="AQ659" t="s">
        <v>1324</v>
      </c>
    </row>
    <row r="660" spans="1:43" x14ac:dyDescent="0.3">
      <c r="A660" s="11">
        <f t="shared" si="22"/>
        <v>658</v>
      </c>
      <c r="B660" s="5" t="s">
        <v>1675</v>
      </c>
      <c r="C660" t="s">
        <v>893</v>
      </c>
      <c r="D660" s="24" t="s">
        <v>825</v>
      </c>
      <c r="E660" s="24" t="str">
        <f>IFERROR(VLOOKUP(D660,Dropdown!A:B,2,0),D660)</f>
        <v>HARISHREE POLYMERS PRIVATE LIMITED</v>
      </c>
      <c r="F660" s="6">
        <v>45868</v>
      </c>
      <c r="G660" s="6" t="str">
        <f>TEXT(F660, "MMM-YY")</f>
        <v>Jul-25</v>
      </c>
      <c r="H660" t="s">
        <v>631</v>
      </c>
      <c r="I660" s="25">
        <v>94.5</v>
      </c>
      <c r="J660" s="4">
        <v>10000</v>
      </c>
      <c r="K660" t="s">
        <v>901</v>
      </c>
      <c r="L660" s="4" t="str">
        <f>VLOOKUP(K660, 'Items Master'!A:E,5,0)</f>
        <v>MRPL</v>
      </c>
      <c r="M660" s="4" t="str">
        <f>VLOOKUP(K660, 'Items Master'!A:D,4,0)</f>
        <v>PP</v>
      </c>
      <c r="N660" s="4" t="s">
        <v>24</v>
      </c>
      <c r="Q660" s="6">
        <v>45868</v>
      </c>
      <c r="R660" s="6" t="str">
        <f>TEXT(Q660, "MMM-YY")</f>
        <v>Jul-25</v>
      </c>
      <c r="W660" s="25">
        <v>94.5</v>
      </c>
      <c r="Y660"/>
      <c r="Z660"/>
      <c r="AB660"/>
      <c r="AC660"/>
      <c r="AD660"/>
      <c r="AE660"/>
      <c r="AF660"/>
      <c r="AG660"/>
      <c r="AH660"/>
      <c r="AI660"/>
      <c r="AJ660"/>
      <c r="AK660"/>
      <c r="AL660"/>
      <c r="AM660"/>
      <c r="AN660" s="9">
        <f t="shared" si="21"/>
        <v>0</v>
      </c>
      <c r="AO660" s="8"/>
      <c r="AP660" s="9">
        <f>I660-W660-X660-AN660</f>
        <v>0</v>
      </c>
      <c r="AQ660" t="s">
        <v>1316</v>
      </c>
    </row>
    <row r="661" spans="1:43" x14ac:dyDescent="0.3">
      <c r="A661" s="11">
        <f t="shared" si="22"/>
        <v>659</v>
      </c>
      <c r="B661" s="5" t="s">
        <v>1675</v>
      </c>
      <c r="C661" t="s">
        <v>893</v>
      </c>
      <c r="D661" s="24" t="s">
        <v>857</v>
      </c>
      <c r="E661" s="24" t="str">
        <f>IFERROR(VLOOKUP(D661,Dropdown!A:B,2,0),D661)</f>
        <v>Purav</v>
      </c>
      <c r="F661" s="6">
        <v>45868</v>
      </c>
      <c r="G661" s="6" t="str">
        <f>TEXT(F661, "MMM-YY")</f>
        <v>Jul-25</v>
      </c>
      <c r="H661" t="s">
        <v>632</v>
      </c>
      <c r="I661" s="25">
        <v>98.25</v>
      </c>
      <c r="J661" s="4">
        <v>5000</v>
      </c>
      <c r="K661" t="s">
        <v>898</v>
      </c>
      <c r="L661" s="4" t="str">
        <f>VLOOKUP(K661, 'Items Master'!A:E,5,0)</f>
        <v>OPAL</v>
      </c>
      <c r="M661" s="4" t="str">
        <f>VLOOKUP(K661, 'Items Master'!A:D,4,0)</f>
        <v>LLDPE</v>
      </c>
      <c r="N661" s="4" t="s">
        <v>49</v>
      </c>
      <c r="O661" t="s">
        <v>1298</v>
      </c>
      <c r="Q661" s="6">
        <v>45868</v>
      </c>
      <c r="R661" s="6" t="str">
        <f>TEXT(Q661, "MMM-YY")</f>
        <v>Jul-25</v>
      </c>
      <c r="U661" t="s">
        <v>1605</v>
      </c>
      <c r="X661" s="25">
        <v>99.05</v>
      </c>
      <c r="Y661" s="25" t="s">
        <v>1303</v>
      </c>
      <c r="AB661" s="8">
        <v>-0.9</v>
      </c>
      <c r="AH661" s="8">
        <v>0.1</v>
      </c>
      <c r="AN661" s="9">
        <f t="shared" si="21"/>
        <v>-0.8</v>
      </c>
      <c r="AO661" s="8"/>
      <c r="AP661" s="9">
        <f>I661-W661-X661-AN661</f>
        <v>2.886579864025407E-15</v>
      </c>
      <c r="AQ661" t="s">
        <v>1316</v>
      </c>
    </row>
    <row r="662" spans="1:43" x14ac:dyDescent="0.3">
      <c r="A662" s="11">
        <f t="shared" si="22"/>
        <v>660</v>
      </c>
      <c r="B662" s="5" t="s">
        <v>1675</v>
      </c>
      <c r="C662" t="s">
        <v>893</v>
      </c>
      <c r="D662" s="24" t="s">
        <v>48</v>
      </c>
      <c r="E662" s="24" t="str">
        <f>IFERROR(VLOOKUP(D662,Dropdown!A:B,2,0),D662)</f>
        <v>CVPL</v>
      </c>
      <c r="F662" s="6">
        <v>45868</v>
      </c>
      <c r="G662" s="6" t="str">
        <f>TEXT(F662, "MMM-YY")</f>
        <v>Jul-25</v>
      </c>
      <c r="H662" t="s">
        <v>633</v>
      </c>
      <c r="I662" s="25">
        <v>99.49</v>
      </c>
      <c r="J662" s="4">
        <v>2500</v>
      </c>
      <c r="K662" t="s">
        <v>903</v>
      </c>
      <c r="L662" s="4" t="str">
        <f>VLOOKUP(K662, 'Items Master'!A:E,5,0)</f>
        <v>GAIL</v>
      </c>
      <c r="M662" s="4" t="str">
        <f>VLOOKUP(K662, 'Items Master'!A:D,4,0)</f>
        <v>LLDPE</v>
      </c>
      <c r="N662" s="4" t="s">
        <v>49</v>
      </c>
      <c r="Q662" s="6">
        <v>45868</v>
      </c>
      <c r="R662" s="6" t="str">
        <f>TEXT(Q662, "MMM-YY")</f>
        <v>Jul-25</v>
      </c>
      <c r="X662" s="25">
        <v>99.486000000000004</v>
      </c>
      <c r="Y662" s="25" t="s">
        <v>1304</v>
      </c>
      <c r="AB662"/>
      <c r="AC662"/>
      <c r="AD662"/>
      <c r="AE662"/>
      <c r="AF662"/>
      <c r="AG662"/>
      <c r="AH662"/>
      <c r="AI662"/>
      <c r="AJ662"/>
      <c r="AK662"/>
      <c r="AL662"/>
      <c r="AM662"/>
      <c r="AN662" s="9">
        <f t="shared" si="21"/>
        <v>0</v>
      </c>
      <c r="AO662" s="8"/>
      <c r="AP662" s="9">
        <f>I662-W662-X662-AN662</f>
        <v>3.9999999999906777E-3</v>
      </c>
      <c r="AQ662" t="s">
        <v>1324</v>
      </c>
    </row>
    <row r="663" spans="1:43" x14ac:dyDescent="0.3">
      <c r="A663" s="11">
        <f t="shared" si="22"/>
        <v>661</v>
      </c>
      <c r="B663" s="5" t="s">
        <v>1675</v>
      </c>
      <c r="C663" t="s">
        <v>893</v>
      </c>
      <c r="D663" s="24" t="s">
        <v>857</v>
      </c>
      <c r="E663" s="24" t="str">
        <f>IFERROR(VLOOKUP(D663,Dropdown!A:B,2,0),D663)</f>
        <v>Purav</v>
      </c>
      <c r="F663" s="6">
        <v>45868</v>
      </c>
      <c r="G663" s="6" t="str">
        <f>TEXT(F663, "MMM-YY")</f>
        <v>Jul-25</v>
      </c>
      <c r="H663" t="s">
        <v>634</v>
      </c>
      <c r="I663" s="25">
        <v>98</v>
      </c>
      <c r="J663" s="4">
        <v>6000</v>
      </c>
      <c r="K663" t="s">
        <v>17</v>
      </c>
      <c r="L663" s="4" t="str">
        <f>VLOOKUP(K663, 'Items Master'!A:E,5,0)</f>
        <v>OPAL</v>
      </c>
      <c r="M663" s="4" t="str">
        <f>VLOOKUP(K663, 'Items Master'!A:D,4,0)</f>
        <v>LLDPE</v>
      </c>
      <c r="N663" s="4" t="s">
        <v>49</v>
      </c>
      <c r="O663" t="s">
        <v>1300</v>
      </c>
      <c r="Q663" s="6">
        <v>45868</v>
      </c>
      <c r="R663" s="6" t="str">
        <f>TEXT(Q663, "MMM-YY")</f>
        <v>Jul-25</v>
      </c>
      <c r="U663" t="s">
        <v>1605</v>
      </c>
      <c r="X663" s="25">
        <v>98.8</v>
      </c>
      <c r="Y663" s="25" t="s">
        <v>1303</v>
      </c>
      <c r="AB663" s="8">
        <v>-0.9</v>
      </c>
      <c r="AH663" s="8">
        <v>0.1</v>
      </c>
      <c r="AN663" s="9">
        <f t="shared" si="21"/>
        <v>-0.8</v>
      </c>
      <c r="AO663" s="8"/>
      <c r="AP663" s="9">
        <f>I663-W663-X663-AN663</f>
        <v>2.886579864025407E-15</v>
      </c>
      <c r="AQ663" t="s">
        <v>1316</v>
      </c>
    </row>
    <row r="664" spans="1:43" x14ac:dyDescent="0.3">
      <c r="A664" s="11">
        <f t="shared" si="22"/>
        <v>662</v>
      </c>
      <c r="B664" s="5" t="s">
        <v>1675</v>
      </c>
      <c r="C664" t="s">
        <v>893</v>
      </c>
      <c r="D664" s="24" t="s">
        <v>855</v>
      </c>
      <c r="E664" s="24" t="str">
        <f>IFERROR(VLOOKUP(D664,Dropdown!A:B,2,0),D664)</f>
        <v>TEGRAL INDIA PRIVATE LIMITED</v>
      </c>
      <c r="F664" s="6">
        <v>45868</v>
      </c>
      <c r="G664" s="6" t="str">
        <f>TEXT(F664, "MMM-YY")</f>
        <v>Jul-25</v>
      </c>
      <c r="H664" t="s">
        <v>635</v>
      </c>
      <c r="I664" s="25">
        <v>283</v>
      </c>
      <c r="J664" s="4">
        <v>3000</v>
      </c>
      <c r="K664" t="s">
        <v>980</v>
      </c>
      <c r="L664" s="4" t="str">
        <f>VLOOKUP(K664, 'Items Master'!A:E,5,0)</f>
        <v>CYCOLOY</v>
      </c>
      <c r="M664" s="4" t="str">
        <f>VLOOKUP(K664, 'Items Master'!A:D,4,0)</f>
        <v>PC</v>
      </c>
      <c r="N664" s="4" t="s">
        <v>24</v>
      </c>
      <c r="Q664" s="6">
        <v>45868</v>
      </c>
      <c r="R664" s="6" t="str">
        <f>TEXT(Q664, "MMM-YY")</f>
        <v>Jul-25</v>
      </c>
      <c r="W664" s="25">
        <v>283</v>
      </c>
      <c r="Y664"/>
      <c r="Z664"/>
      <c r="AB664"/>
      <c r="AC664"/>
      <c r="AD664"/>
      <c r="AE664"/>
      <c r="AF664"/>
      <c r="AG664"/>
      <c r="AH664"/>
      <c r="AI664"/>
      <c r="AJ664"/>
      <c r="AK664"/>
      <c r="AL664"/>
      <c r="AM664"/>
      <c r="AN664" s="9">
        <f t="shared" si="21"/>
        <v>0</v>
      </c>
      <c r="AO664" s="8"/>
      <c r="AP664" s="9">
        <f>I664-W664-X664-AN664</f>
        <v>0</v>
      </c>
      <c r="AQ664" t="s">
        <v>1316</v>
      </c>
    </row>
    <row r="665" spans="1:43" x14ac:dyDescent="0.3">
      <c r="A665" s="11">
        <f t="shared" si="22"/>
        <v>663</v>
      </c>
      <c r="B665" s="5" t="s">
        <v>1675</v>
      </c>
      <c r="C665" t="s">
        <v>893</v>
      </c>
      <c r="D665" s="24" t="s">
        <v>840</v>
      </c>
      <c r="E665" s="24" t="str">
        <f>IFERROR(VLOOKUP(D665,Dropdown!A:B,2,0),D665)</f>
        <v>LPB Plastic Private Limited</v>
      </c>
      <c r="F665" s="6">
        <v>45869</v>
      </c>
      <c r="G665" s="6" t="str">
        <f>TEXT(F665, "MMM-YY")</f>
        <v>Jul-25</v>
      </c>
      <c r="H665" t="s">
        <v>636</v>
      </c>
      <c r="I665" s="25">
        <v>97</v>
      </c>
      <c r="J665" s="4">
        <v>5000</v>
      </c>
      <c r="K665" t="s">
        <v>898</v>
      </c>
      <c r="L665" s="4" t="str">
        <f>VLOOKUP(K665, 'Items Master'!A:E,5,0)</f>
        <v>OPAL</v>
      </c>
      <c r="M665" s="4" t="str">
        <f>VLOOKUP(K665, 'Items Master'!A:D,4,0)</f>
        <v>LLDPE</v>
      </c>
      <c r="N665" s="4" t="s">
        <v>24</v>
      </c>
      <c r="Q665" s="6">
        <v>45869</v>
      </c>
      <c r="R665" s="6" t="str">
        <f>TEXT(Q665, "MMM-YY")</f>
        <v>Jul-25</v>
      </c>
      <c r="W665" s="25">
        <v>97</v>
      </c>
      <c r="Y665"/>
      <c r="Z665"/>
      <c r="AB665"/>
      <c r="AC665"/>
      <c r="AD665"/>
      <c r="AE665"/>
      <c r="AF665"/>
      <c r="AG665"/>
      <c r="AH665"/>
      <c r="AI665"/>
      <c r="AJ665"/>
      <c r="AK665"/>
      <c r="AL665"/>
      <c r="AM665"/>
      <c r="AN665" s="9">
        <f t="shared" si="21"/>
        <v>0</v>
      </c>
      <c r="AO665" s="8"/>
      <c r="AP665" s="9">
        <f>I665-W665-X665-AN665</f>
        <v>0</v>
      </c>
      <c r="AQ665" t="s">
        <v>1316</v>
      </c>
    </row>
    <row r="666" spans="1:43" x14ac:dyDescent="0.3">
      <c r="A666" s="11">
        <f t="shared" si="22"/>
        <v>664</v>
      </c>
      <c r="B666" s="5" t="s">
        <v>1675</v>
      </c>
      <c r="C666" t="s">
        <v>893</v>
      </c>
      <c r="D666" s="24" t="s">
        <v>840</v>
      </c>
      <c r="E666" s="24" t="str">
        <f>IFERROR(VLOOKUP(D666,Dropdown!A:B,2,0),D666)</f>
        <v>LPB Plastic Private Limited</v>
      </c>
      <c r="F666" s="6">
        <v>45869</v>
      </c>
      <c r="G666" s="6" t="str">
        <f>TEXT(F666, "MMM-YY")</f>
        <v>Jul-25</v>
      </c>
      <c r="H666" t="s">
        <v>637</v>
      </c>
      <c r="I666" s="25">
        <v>97</v>
      </c>
      <c r="J666" s="4">
        <v>7000</v>
      </c>
      <c r="K666" t="s">
        <v>898</v>
      </c>
      <c r="L666" s="4" t="str">
        <f>VLOOKUP(K666, 'Items Master'!A:E,5,0)</f>
        <v>OPAL</v>
      </c>
      <c r="M666" s="4" t="str">
        <f>VLOOKUP(K666, 'Items Master'!A:D,4,0)</f>
        <v>LLDPE</v>
      </c>
      <c r="N666" s="4" t="s">
        <v>24</v>
      </c>
      <c r="Q666" s="6">
        <v>45869</v>
      </c>
      <c r="R666" s="6" t="str">
        <f>TEXT(Q666, "MMM-YY")</f>
        <v>Jul-25</v>
      </c>
      <c r="W666" s="25">
        <v>97</v>
      </c>
      <c r="Y666"/>
      <c r="Z666"/>
      <c r="AB666"/>
      <c r="AC666"/>
      <c r="AD666"/>
      <c r="AE666"/>
      <c r="AF666"/>
      <c r="AG666"/>
      <c r="AH666"/>
      <c r="AI666"/>
      <c r="AJ666"/>
      <c r="AK666"/>
      <c r="AL666"/>
      <c r="AM666"/>
      <c r="AN666" s="9">
        <f t="shared" si="21"/>
        <v>0</v>
      </c>
      <c r="AO666" s="8"/>
      <c r="AP666" s="9">
        <f>I666-W666-X666-AN666</f>
        <v>0</v>
      </c>
      <c r="AQ666" t="s">
        <v>1316</v>
      </c>
    </row>
    <row r="667" spans="1:43" x14ac:dyDescent="0.3">
      <c r="A667" s="11">
        <f t="shared" si="22"/>
        <v>665</v>
      </c>
      <c r="B667" s="5" t="s">
        <v>1675</v>
      </c>
      <c r="C667" t="s">
        <v>893</v>
      </c>
      <c r="D667" s="24" t="s">
        <v>824</v>
      </c>
      <c r="E667" s="24" t="str">
        <f>IFERROR(VLOOKUP(D667,Dropdown!A:B,2,0),D667)</f>
        <v>Paragon</v>
      </c>
      <c r="F667" s="6">
        <v>45869</v>
      </c>
      <c r="G667" s="6" t="str">
        <f>TEXT(F667, "MMM-YY")</f>
        <v>Jul-25</v>
      </c>
      <c r="H667" t="s">
        <v>638</v>
      </c>
      <c r="I667" s="25">
        <v>106.4</v>
      </c>
      <c r="J667" s="4">
        <v>3000</v>
      </c>
      <c r="K667" t="s">
        <v>925</v>
      </c>
      <c r="L667" s="4" t="str">
        <f>VLOOKUP(K667, 'Items Master'!A:E,5,0)</f>
        <v>RIL</v>
      </c>
      <c r="M667" s="4" t="str">
        <f>VLOOKUP(K667, 'Items Master'!A:D,4,0)</f>
        <v>PP ICP</v>
      </c>
      <c r="N667" s="4" t="s">
        <v>49</v>
      </c>
      <c r="Q667" s="6">
        <v>45869</v>
      </c>
      <c r="R667" s="6" t="str">
        <f>TEXT(Q667, "MMM-YY")</f>
        <v>Jul-25</v>
      </c>
      <c r="X667" s="25">
        <v>106.39</v>
      </c>
      <c r="Y667" s="25" t="s">
        <v>1303</v>
      </c>
      <c r="AB667"/>
      <c r="AC667"/>
      <c r="AD667"/>
      <c r="AE667"/>
      <c r="AF667"/>
      <c r="AG667"/>
      <c r="AH667"/>
      <c r="AI667"/>
      <c r="AJ667"/>
      <c r="AK667"/>
      <c r="AL667"/>
      <c r="AM667"/>
      <c r="AN667" s="9">
        <f t="shared" si="21"/>
        <v>0</v>
      </c>
      <c r="AO667" s="8"/>
      <c r="AP667" s="9">
        <f>I667-W667-X667-AN667</f>
        <v>1.0000000000005116E-2</v>
      </c>
      <c r="AQ667" t="s">
        <v>1324</v>
      </c>
    </row>
    <row r="668" spans="1:43" x14ac:dyDescent="0.3">
      <c r="A668" s="11">
        <f t="shared" si="22"/>
        <v>666</v>
      </c>
      <c r="B668" s="5" t="s">
        <v>1675</v>
      </c>
      <c r="C668" t="s">
        <v>893</v>
      </c>
      <c r="D668" s="24" t="s">
        <v>840</v>
      </c>
      <c r="E668" s="24" t="str">
        <f>IFERROR(VLOOKUP(D668,Dropdown!A:B,2,0),D668)</f>
        <v>LPB Plastic Private Limited</v>
      </c>
      <c r="F668" s="6">
        <v>45869</v>
      </c>
      <c r="G668" s="6" t="str">
        <f>TEXT(F668, "MMM-YY")</f>
        <v>Jul-25</v>
      </c>
      <c r="H668" t="s">
        <v>639</v>
      </c>
      <c r="I668" s="25">
        <v>97</v>
      </c>
      <c r="J668" s="4">
        <v>3000</v>
      </c>
      <c r="K668" t="s">
        <v>914</v>
      </c>
      <c r="L668" s="4" t="str">
        <f>VLOOKUP(K668, 'Items Master'!A:E,5,0)</f>
        <v>HMEL</v>
      </c>
      <c r="M668" s="4" t="str">
        <f>VLOOKUP(K668, 'Items Master'!A:D,4,0)</f>
        <v>LLDPE</v>
      </c>
      <c r="N668" s="4" t="s">
        <v>24</v>
      </c>
      <c r="Q668" s="6">
        <v>45869</v>
      </c>
      <c r="R668" s="6" t="str">
        <f>TEXT(Q668, "MMM-YY")</f>
        <v>Jul-25</v>
      </c>
      <c r="W668" s="25">
        <v>97</v>
      </c>
      <c r="Y668"/>
      <c r="Z668"/>
      <c r="AB668"/>
      <c r="AC668"/>
      <c r="AD668"/>
      <c r="AE668"/>
      <c r="AF668"/>
      <c r="AG668"/>
      <c r="AH668"/>
      <c r="AI668"/>
      <c r="AJ668"/>
      <c r="AK668"/>
      <c r="AL668"/>
      <c r="AM668"/>
      <c r="AN668" s="9">
        <f t="shared" si="21"/>
        <v>0</v>
      </c>
      <c r="AO668" s="8"/>
      <c r="AP668" s="9">
        <f>I668-W668-X668-AN668</f>
        <v>0</v>
      </c>
      <c r="AQ668" t="s">
        <v>1316</v>
      </c>
    </row>
    <row r="669" spans="1:43" x14ac:dyDescent="0.3">
      <c r="A669" s="11">
        <f t="shared" si="22"/>
        <v>667</v>
      </c>
      <c r="B669" s="5" t="s">
        <v>1675</v>
      </c>
      <c r="C669" t="s">
        <v>893</v>
      </c>
      <c r="D669" s="24" t="s">
        <v>856</v>
      </c>
      <c r="E669" s="24" t="str">
        <f>IFERROR(VLOOKUP(D669,Dropdown!A:B,2,0),D669)</f>
        <v>SRI LAKOSHA POLYMER PRIVATE LTD</v>
      </c>
      <c r="F669" s="6">
        <v>45870</v>
      </c>
      <c r="G669" s="6" t="str">
        <f>TEXT(F669, "MMM-YY")</f>
        <v>Aug-25</v>
      </c>
      <c r="H669" t="s">
        <v>640</v>
      </c>
      <c r="I669" s="25">
        <v>94.5</v>
      </c>
      <c r="J669" s="4">
        <v>12000</v>
      </c>
      <c r="K669" t="s">
        <v>982</v>
      </c>
      <c r="L669" s="4" t="str">
        <f>VLOOKUP(K669, 'Items Master'!A:E,5,0)</f>
        <v>SABIC</v>
      </c>
      <c r="M669" s="4" t="str">
        <f>VLOOKUP(K669, 'Items Master'!A:D,4,0)</f>
        <v>HDPE</v>
      </c>
      <c r="N669" s="4" t="s">
        <v>24</v>
      </c>
      <c r="Q669" s="6">
        <v>45870</v>
      </c>
      <c r="R669" s="6" t="str">
        <f>TEXT(Q669, "MMM-YY")</f>
        <v>Aug-25</v>
      </c>
      <c r="W669" s="25">
        <v>94.5</v>
      </c>
      <c r="Y669"/>
      <c r="Z669"/>
      <c r="AB669"/>
      <c r="AC669"/>
      <c r="AD669"/>
      <c r="AE669"/>
      <c r="AF669"/>
      <c r="AG669"/>
      <c r="AH669"/>
      <c r="AI669"/>
      <c r="AJ669"/>
      <c r="AK669"/>
      <c r="AL669"/>
      <c r="AM669"/>
      <c r="AN669" s="9">
        <f t="shared" si="21"/>
        <v>0</v>
      </c>
      <c r="AO669" s="8"/>
      <c r="AP669" s="9">
        <f>I669-W669-X669-AN669</f>
        <v>0</v>
      </c>
      <c r="AQ669" t="s">
        <v>1316</v>
      </c>
    </row>
    <row r="670" spans="1:43" x14ac:dyDescent="0.3">
      <c r="A670" s="11">
        <f t="shared" si="22"/>
        <v>668</v>
      </c>
      <c r="B670" s="5" t="s">
        <v>1675</v>
      </c>
      <c r="C670" t="s">
        <v>893</v>
      </c>
      <c r="D670" s="24" t="s">
        <v>864</v>
      </c>
      <c r="E670" s="24" t="str">
        <f>IFERROR(VLOOKUP(D670,Dropdown!A:B,2,0),D670)</f>
        <v>SVP</v>
      </c>
      <c r="F670" s="6">
        <v>45870</v>
      </c>
      <c r="G670" s="6" t="str">
        <f>TEXT(F670, "MMM-YY")</f>
        <v>Aug-25</v>
      </c>
      <c r="H670" t="s">
        <v>641</v>
      </c>
      <c r="I670" s="25">
        <v>97.19</v>
      </c>
      <c r="J670" s="4">
        <v>3000</v>
      </c>
      <c r="K670" t="s">
        <v>914</v>
      </c>
      <c r="L670" s="4" t="str">
        <f>VLOOKUP(K670, 'Items Master'!A:E,5,0)</f>
        <v>HMEL</v>
      </c>
      <c r="M670" s="4" t="str">
        <f>VLOOKUP(K670, 'Items Master'!A:D,4,0)</f>
        <v>LLDPE</v>
      </c>
      <c r="N670" s="4" t="s">
        <v>49</v>
      </c>
      <c r="Q670" s="6">
        <v>45870</v>
      </c>
      <c r="R670" s="6" t="str">
        <f>TEXT(Q670, "MMM-YY")</f>
        <v>Aug-25</v>
      </c>
      <c r="X670" s="25">
        <v>99.29</v>
      </c>
      <c r="Y670" t="s">
        <v>1303</v>
      </c>
      <c r="Z670" t="s">
        <v>1305</v>
      </c>
      <c r="AB670" s="8">
        <v>-1.1000000000000001</v>
      </c>
      <c r="AC670" s="8">
        <v>-1</v>
      </c>
      <c r="AN670" s="9">
        <f t="shared" si="21"/>
        <v>-2.1</v>
      </c>
      <c r="AO670" s="8"/>
      <c r="AP670" s="9">
        <f>I670-W670-X670-AN670</f>
        <v>-8.4376949871511897E-15</v>
      </c>
      <c r="AQ670" t="s">
        <v>1316</v>
      </c>
    </row>
    <row r="671" spans="1:43" x14ac:dyDescent="0.3">
      <c r="A671" s="11">
        <f t="shared" si="22"/>
        <v>669</v>
      </c>
      <c r="B671" s="5" t="s">
        <v>1675</v>
      </c>
      <c r="C671" t="s">
        <v>893</v>
      </c>
      <c r="D671" s="24" t="s">
        <v>48</v>
      </c>
      <c r="E671" s="24" t="str">
        <f>IFERROR(VLOOKUP(D671,Dropdown!A:B,2,0),D671)</f>
        <v>CVPL</v>
      </c>
      <c r="F671" s="6">
        <v>45870</v>
      </c>
      <c r="G671" s="6" t="str">
        <f>TEXT(F671, "MMM-YY")</f>
        <v>Aug-25</v>
      </c>
      <c r="H671" t="s">
        <v>642</v>
      </c>
      <c r="I671" s="25">
        <v>99.99</v>
      </c>
      <c r="J671" s="4">
        <v>3000</v>
      </c>
      <c r="K671" t="s">
        <v>911</v>
      </c>
      <c r="L671" s="4" t="str">
        <f>VLOOKUP(K671, 'Items Master'!A:E,5,0)</f>
        <v>BCPL</v>
      </c>
      <c r="M671" s="4" t="str">
        <f>VLOOKUP(K671, 'Items Master'!A:D,4,0)</f>
        <v>LLDPE</v>
      </c>
      <c r="N671" s="4" t="s">
        <v>49</v>
      </c>
      <c r="O671" t="s">
        <v>1298</v>
      </c>
      <c r="Q671" s="6">
        <v>45870</v>
      </c>
      <c r="R671" s="6" t="str">
        <f>TEXT(Q671, "MMM-YY")</f>
        <v>Aug-25</v>
      </c>
      <c r="X671" s="25">
        <v>99.117000000000004</v>
      </c>
      <c r="Z671" s="25" t="s">
        <v>1305</v>
      </c>
      <c r="AB671"/>
      <c r="AC671"/>
      <c r="AD671"/>
      <c r="AE671"/>
      <c r="AF671"/>
      <c r="AG671"/>
      <c r="AH671"/>
      <c r="AI671"/>
      <c r="AJ671"/>
      <c r="AK671"/>
      <c r="AL671"/>
      <c r="AM671"/>
      <c r="AN671" s="9">
        <f t="shared" si="21"/>
        <v>0</v>
      </c>
      <c r="AO671" s="8"/>
      <c r="AP671" s="9">
        <f>I671-W671-X671-AN671</f>
        <v>0.87299999999999045</v>
      </c>
      <c r="AQ671" t="s">
        <v>1324</v>
      </c>
    </row>
    <row r="672" spans="1:43" x14ac:dyDescent="0.3">
      <c r="A672" s="11">
        <f t="shared" si="22"/>
        <v>670</v>
      </c>
      <c r="B672" s="5" t="s">
        <v>1675</v>
      </c>
      <c r="C672" t="s">
        <v>893</v>
      </c>
      <c r="D672" s="24" t="s">
        <v>48</v>
      </c>
      <c r="E672" s="24" t="str">
        <f>IFERROR(VLOOKUP(D672,Dropdown!A:B,2,0),D672)</f>
        <v>CVPL</v>
      </c>
      <c r="F672" s="6">
        <v>45870</v>
      </c>
      <c r="G672" s="6" t="str">
        <f>TEXT(F672, "MMM-YY")</f>
        <v>Aug-25</v>
      </c>
      <c r="H672" t="s">
        <v>643</v>
      </c>
      <c r="I672" s="25">
        <v>102.75</v>
      </c>
      <c r="J672" s="4">
        <v>3000</v>
      </c>
      <c r="K672" t="s">
        <v>901</v>
      </c>
      <c r="L672" s="4" t="str">
        <f>VLOOKUP(K672, 'Items Master'!A:E,5,0)</f>
        <v>MRPL</v>
      </c>
      <c r="M672" s="4" t="str">
        <f>VLOOKUP(K672, 'Items Master'!A:D,4,0)</f>
        <v>PP</v>
      </c>
      <c r="N672" s="4" t="s">
        <v>49</v>
      </c>
      <c r="O672" t="s">
        <v>1298</v>
      </c>
      <c r="Q672" s="6">
        <v>45869</v>
      </c>
      <c r="R672" s="6" t="str">
        <f>TEXT(Q672, "MMM-YY")</f>
        <v>Jul-25</v>
      </c>
      <c r="X672" s="25">
        <v>100.946</v>
      </c>
      <c r="Z672" s="25" t="s">
        <v>1305</v>
      </c>
      <c r="AB672"/>
      <c r="AC672"/>
      <c r="AD672"/>
      <c r="AE672"/>
      <c r="AF672"/>
      <c r="AG672"/>
      <c r="AH672"/>
      <c r="AI672"/>
      <c r="AJ672"/>
      <c r="AK672"/>
      <c r="AL672"/>
      <c r="AM672"/>
      <c r="AN672" s="9">
        <f t="shared" si="21"/>
        <v>0</v>
      </c>
      <c r="AO672" s="8"/>
      <c r="AP672" s="9">
        <f>I672-W672-X672-AN672</f>
        <v>1.804000000000002</v>
      </c>
      <c r="AQ672" t="s">
        <v>1324</v>
      </c>
    </row>
    <row r="673" spans="1:43" x14ac:dyDescent="0.3">
      <c r="A673" s="11">
        <f t="shared" si="22"/>
        <v>671</v>
      </c>
      <c r="B673" s="5" t="s">
        <v>1675</v>
      </c>
      <c r="C673" t="s">
        <v>893</v>
      </c>
      <c r="D673" s="24" t="s">
        <v>857</v>
      </c>
      <c r="E673" s="24" t="str">
        <f>IFERROR(VLOOKUP(D673,Dropdown!A:B,2,0),D673)</f>
        <v>Purav</v>
      </c>
      <c r="F673" s="6">
        <v>45871</v>
      </c>
      <c r="G673" s="6" t="str">
        <f>TEXT(F673, "MMM-YY")</f>
        <v>Aug-25</v>
      </c>
      <c r="H673" t="s">
        <v>644</v>
      </c>
      <c r="I673" s="25">
        <v>98</v>
      </c>
      <c r="J673" s="4">
        <v>10000</v>
      </c>
      <c r="K673" t="s">
        <v>17</v>
      </c>
      <c r="L673" s="4" t="str">
        <f>VLOOKUP(K673, 'Items Master'!A:E,5,0)</f>
        <v>OPAL</v>
      </c>
      <c r="M673" s="4" t="str">
        <f>VLOOKUP(K673, 'Items Master'!A:D,4,0)</f>
        <v>LLDPE</v>
      </c>
      <c r="N673" s="4" t="s">
        <v>49</v>
      </c>
      <c r="O673" t="s">
        <v>1298</v>
      </c>
      <c r="Q673" s="6">
        <v>45871</v>
      </c>
      <c r="R673" s="6" t="str">
        <f>TEXT(Q673, "MMM-YY")</f>
        <v>Aug-25</v>
      </c>
      <c r="S673" t="s">
        <v>21</v>
      </c>
      <c r="U673" t="s">
        <v>1605</v>
      </c>
      <c r="X673" s="25">
        <v>98.8</v>
      </c>
      <c r="Y673" s="25" t="s">
        <v>1303</v>
      </c>
      <c r="Z673" s="25" t="s">
        <v>1306</v>
      </c>
      <c r="AB673" s="8">
        <v>-0.9</v>
      </c>
      <c r="AH673" s="8">
        <v>0.1</v>
      </c>
      <c r="AN673" s="9">
        <f t="shared" si="21"/>
        <v>-0.8</v>
      </c>
      <c r="AO673" s="8"/>
      <c r="AP673" s="9">
        <f>I673-W673-X673-AN673</f>
        <v>2.886579864025407E-15</v>
      </c>
      <c r="AQ673" t="s">
        <v>1316</v>
      </c>
    </row>
    <row r="674" spans="1:43" x14ac:dyDescent="0.3">
      <c r="A674" s="11">
        <f t="shared" si="22"/>
        <v>672</v>
      </c>
      <c r="B674" s="5" t="s">
        <v>1675</v>
      </c>
      <c r="C674" t="s">
        <v>893</v>
      </c>
      <c r="D674" s="24" t="s">
        <v>857</v>
      </c>
      <c r="E674" s="24" t="str">
        <f>IFERROR(VLOOKUP(D674,Dropdown!A:B,2,0),D674)</f>
        <v>Purav</v>
      </c>
      <c r="F674" s="6">
        <v>45871</v>
      </c>
      <c r="G674" s="6" t="str">
        <f>TEXT(F674, "MMM-YY")</f>
        <v>Aug-25</v>
      </c>
      <c r="H674" t="s">
        <v>645</v>
      </c>
      <c r="I674" s="25">
        <v>98</v>
      </c>
      <c r="J674" s="4">
        <v>10000</v>
      </c>
      <c r="K674" t="s">
        <v>17</v>
      </c>
      <c r="L674" s="4" t="str">
        <f>VLOOKUP(K674, 'Items Master'!A:E,5,0)</f>
        <v>OPAL</v>
      </c>
      <c r="M674" s="4" t="str">
        <f>VLOOKUP(K674, 'Items Master'!A:D,4,0)</f>
        <v>LLDPE</v>
      </c>
      <c r="N674" s="4" t="s">
        <v>49</v>
      </c>
      <c r="O674" t="s">
        <v>1298</v>
      </c>
      <c r="Q674" s="6">
        <v>45871</v>
      </c>
      <c r="R674" s="6" t="str">
        <f>TEXT(Q674, "MMM-YY")</f>
        <v>Aug-25</v>
      </c>
      <c r="S674" t="s">
        <v>21</v>
      </c>
      <c r="U674" t="s">
        <v>1605</v>
      </c>
      <c r="X674" s="25">
        <v>98.8</v>
      </c>
      <c r="Y674" s="25" t="s">
        <v>1303</v>
      </c>
      <c r="Z674" s="25" t="s">
        <v>1306</v>
      </c>
      <c r="AB674" s="8">
        <v>-0.9</v>
      </c>
      <c r="AH674" s="8">
        <v>0.1</v>
      </c>
      <c r="AN674" s="9">
        <f t="shared" si="21"/>
        <v>-0.8</v>
      </c>
      <c r="AO674" s="8"/>
      <c r="AP674" s="9">
        <f>I674-W674-X674-AN674</f>
        <v>2.886579864025407E-15</v>
      </c>
      <c r="AQ674" t="s">
        <v>1316</v>
      </c>
    </row>
    <row r="675" spans="1:43" x14ac:dyDescent="0.3">
      <c r="A675" s="11">
        <f t="shared" si="22"/>
        <v>673</v>
      </c>
      <c r="B675" s="5" t="s">
        <v>1675</v>
      </c>
      <c r="C675" t="s">
        <v>893</v>
      </c>
      <c r="D675" s="24" t="s">
        <v>48</v>
      </c>
      <c r="E675" s="24" t="str">
        <f>IFERROR(VLOOKUP(D675,Dropdown!A:B,2,0),D675)</f>
        <v>CVPL</v>
      </c>
      <c r="F675" s="6">
        <v>45871</v>
      </c>
      <c r="G675" s="6" t="str">
        <f>TEXT(F675, "MMM-YY")</f>
        <v>Aug-25</v>
      </c>
      <c r="H675" t="s">
        <v>646</v>
      </c>
      <c r="I675" s="25">
        <v>102.75</v>
      </c>
      <c r="J675" s="4">
        <v>2000</v>
      </c>
      <c r="K675" t="s">
        <v>901</v>
      </c>
      <c r="L675" s="4" t="str">
        <f>VLOOKUP(K675, 'Items Master'!A:E,5,0)</f>
        <v>MRPL</v>
      </c>
      <c r="M675" s="4" t="str">
        <f>VLOOKUP(K675, 'Items Master'!A:D,4,0)</f>
        <v>PP</v>
      </c>
      <c r="N675" s="4" t="s">
        <v>49</v>
      </c>
      <c r="O675" t="s">
        <v>1298</v>
      </c>
      <c r="Q675" s="6">
        <v>45869</v>
      </c>
      <c r="R675" s="6" t="str">
        <f>TEXT(Q675, "MMM-YY")</f>
        <v>Jul-25</v>
      </c>
      <c r="X675" s="25">
        <v>100.946</v>
      </c>
      <c r="Y675" s="25" t="s">
        <v>1304</v>
      </c>
      <c r="Z675" s="25" t="s">
        <v>1305</v>
      </c>
      <c r="AB675"/>
      <c r="AC675"/>
      <c r="AD675"/>
      <c r="AE675"/>
      <c r="AF675"/>
      <c r="AG675"/>
      <c r="AH675"/>
      <c r="AI675"/>
      <c r="AJ675"/>
      <c r="AK675"/>
      <c r="AL675"/>
      <c r="AM675"/>
      <c r="AN675" s="9">
        <f t="shared" si="21"/>
        <v>0</v>
      </c>
      <c r="AO675" s="8"/>
      <c r="AP675" s="9">
        <f>I675-W675-X675-AN675</f>
        <v>1.804000000000002</v>
      </c>
      <c r="AQ675" t="s">
        <v>1324</v>
      </c>
    </row>
    <row r="676" spans="1:43" x14ac:dyDescent="0.3">
      <c r="A676" s="11">
        <f t="shared" si="22"/>
        <v>674</v>
      </c>
      <c r="B676" s="5" t="s">
        <v>1675</v>
      </c>
      <c r="C676" t="s">
        <v>893</v>
      </c>
      <c r="D676" s="24" t="s">
        <v>48</v>
      </c>
      <c r="E676" s="24" t="str">
        <f>IFERROR(VLOOKUP(D676,Dropdown!A:B,2,0),D676)</f>
        <v>CVPL</v>
      </c>
      <c r="F676" s="6">
        <v>45871</v>
      </c>
      <c r="G676" s="6" t="str">
        <f>TEXT(F676, "MMM-YY")</f>
        <v>Aug-25</v>
      </c>
      <c r="H676" t="s">
        <v>647</v>
      </c>
      <c r="I676" s="25">
        <v>99.49</v>
      </c>
      <c r="J676" s="4">
        <v>2500</v>
      </c>
      <c r="K676" t="s">
        <v>903</v>
      </c>
      <c r="L676" s="4" t="str">
        <f>VLOOKUP(K676, 'Items Master'!A:E,5,0)</f>
        <v>GAIL</v>
      </c>
      <c r="M676" s="4" t="str">
        <f>VLOOKUP(K676, 'Items Master'!A:D,4,0)</f>
        <v>LLDPE</v>
      </c>
      <c r="N676" s="4" t="s">
        <v>49</v>
      </c>
      <c r="O676" t="s">
        <v>1298</v>
      </c>
      <c r="Q676" s="6">
        <v>45871</v>
      </c>
      <c r="R676" s="6" t="str">
        <f>TEXT(Q676, "MMM-YY")</f>
        <v>Aug-25</v>
      </c>
      <c r="X676" s="25">
        <v>99.986000000000004</v>
      </c>
      <c r="Y676" s="25" t="s">
        <v>1304</v>
      </c>
      <c r="Z676" s="25" t="s">
        <v>1305</v>
      </c>
      <c r="AB676"/>
      <c r="AC676"/>
      <c r="AD676"/>
      <c r="AE676"/>
      <c r="AF676"/>
      <c r="AG676"/>
      <c r="AH676"/>
      <c r="AI676"/>
      <c r="AJ676"/>
      <c r="AK676"/>
      <c r="AL676"/>
      <c r="AM676"/>
      <c r="AN676" s="9">
        <f t="shared" si="21"/>
        <v>0</v>
      </c>
      <c r="AO676" s="8"/>
      <c r="AP676" s="9">
        <f>I676-W676-X676-AN676</f>
        <v>-0.49600000000000932</v>
      </c>
      <c r="AQ676" t="s">
        <v>1324</v>
      </c>
    </row>
    <row r="677" spans="1:43" x14ac:dyDescent="0.3">
      <c r="A677" s="11">
        <f t="shared" si="22"/>
        <v>675</v>
      </c>
      <c r="B677" s="5" t="s">
        <v>1675</v>
      </c>
      <c r="C677" t="s">
        <v>893</v>
      </c>
      <c r="D677" s="24" t="s">
        <v>48</v>
      </c>
      <c r="E677" s="24" t="str">
        <f>IFERROR(VLOOKUP(D677,Dropdown!A:B,2,0),D677)</f>
        <v>CVPL</v>
      </c>
      <c r="F677" s="6">
        <v>45871</v>
      </c>
      <c r="G677" s="6" t="str">
        <f>TEXT(F677, "MMM-YY")</f>
        <v>Aug-25</v>
      </c>
      <c r="H677" t="s">
        <v>648</v>
      </c>
      <c r="I677" s="25">
        <v>99.49</v>
      </c>
      <c r="J677" s="4">
        <v>2500</v>
      </c>
      <c r="K677" t="s">
        <v>903</v>
      </c>
      <c r="L677" s="4" t="str">
        <f>VLOOKUP(K677, 'Items Master'!A:E,5,0)</f>
        <v>GAIL</v>
      </c>
      <c r="M677" s="4" t="str">
        <f>VLOOKUP(K677, 'Items Master'!A:D,4,0)</f>
        <v>LLDPE</v>
      </c>
      <c r="N677" s="4" t="s">
        <v>49</v>
      </c>
      <c r="O677" t="s">
        <v>1298</v>
      </c>
      <c r="Q677" s="6">
        <v>45871</v>
      </c>
      <c r="R677" s="6" t="str">
        <f>TEXT(Q677, "MMM-YY")</f>
        <v>Aug-25</v>
      </c>
      <c r="X677" s="25">
        <v>99.986000000000004</v>
      </c>
      <c r="Y677" s="25" t="s">
        <v>1304</v>
      </c>
      <c r="Z677" s="25" t="s">
        <v>1305</v>
      </c>
      <c r="AB677"/>
      <c r="AC677"/>
      <c r="AD677"/>
      <c r="AE677"/>
      <c r="AF677"/>
      <c r="AG677"/>
      <c r="AH677"/>
      <c r="AI677"/>
      <c r="AJ677"/>
      <c r="AK677"/>
      <c r="AL677"/>
      <c r="AM677"/>
      <c r="AN677" s="9">
        <f t="shared" si="21"/>
        <v>0</v>
      </c>
      <c r="AO677" s="8"/>
      <c r="AP677" s="9">
        <f>I677-W677-X677-AN677</f>
        <v>-0.49600000000000932</v>
      </c>
      <c r="AQ677" t="s">
        <v>1324</v>
      </c>
    </row>
    <row r="678" spans="1:43" x14ac:dyDescent="0.3">
      <c r="A678" s="11">
        <f t="shared" si="22"/>
        <v>676</v>
      </c>
      <c r="B678" s="5" t="s">
        <v>1675</v>
      </c>
      <c r="C678" t="s">
        <v>894</v>
      </c>
      <c r="D678" s="24" t="s">
        <v>885</v>
      </c>
      <c r="E678" s="24" t="str">
        <f>IFERROR(VLOOKUP(D678,Dropdown!A:B,2,0),D678)</f>
        <v>Allied</v>
      </c>
      <c r="F678" s="6">
        <v>45873</v>
      </c>
      <c r="G678" s="6" t="str">
        <f>TEXT(F678, "MMM-YY")</f>
        <v>Aug-25</v>
      </c>
      <c r="H678" t="s">
        <v>649</v>
      </c>
      <c r="I678" s="25">
        <v>98.55</v>
      </c>
      <c r="J678" s="4">
        <v>12000</v>
      </c>
      <c r="K678" t="s">
        <v>957</v>
      </c>
      <c r="L678" s="4" t="str">
        <f>VLOOKUP(K678, 'Items Master'!A:E,5,0)</f>
        <v>HMEL</v>
      </c>
      <c r="M678" s="4" t="str">
        <f>VLOOKUP(K678, 'Items Master'!A:D,4,0)</f>
        <v>HDPE</v>
      </c>
      <c r="N678" t="s">
        <v>49</v>
      </c>
      <c r="Q678" s="6">
        <v>45873</v>
      </c>
      <c r="R678" s="6" t="str">
        <f>TEXT(Q678, "MMM-YY")</f>
        <v>Aug-25</v>
      </c>
      <c r="X678" s="25">
        <v>98.3</v>
      </c>
      <c r="Y678" s="25" t="s">
        <v>1303</v>
      </c>
      <c r="Z678" s="25" t="s">
        <v>1634</v>
      </c>
      <c r="AB678"/>
      <c r="AC678"/>
      <c r="AD678"/>
      <c r="AE678"/>
      <c r="AF678"/>
      <c r="AG678"/>
      <c r="AH678"/>
      <c r="AI678"/>
      <c r="AJ678"/>
      <c r="AK678"/>
      <c r="AL678">
        <v>0.25</v>
      </c>
      <c r="AM678"/>
      <c r="AN678" s="9">
        <f t="shared" si="21"/>
        <v>0.25</v>
      </c>
      <c r="AO678" s="8"/>
      <c r="AP678" s="9">
        <f>I678-W678-X678-AN678</f>
        <v>0</v>
      </c>
      <c r="AQ678" t="s">
        <v>1316</v>
      </c>
    </row>
    <row r="679" spans="1:43" x14ac:dyDescent="0.3">
      <c r="A679" s="11">
        <f t="shared" si="22"/>
        <v>677</v>
      </c>
      <c r="B679" s="5" t="s">
        <v>1675</v>
      </c>
      <c r="C679" t="s">
        <v>893</v>
      </c>
      <c r="D679" s="24" t="s">
        <v>858</v>
      </c>
      <c r="E679" s="24" t="str">
        <f>IFERROR(VLOOKUP(D679,Dropdown!A:B,2,0),D679)</f>
        <v>PRISHA POLYTECH LLP</v>
      </c>
      <c r="F679" s="6">
        <v>45873</v>
      </c>
      <c r="G679" s="6" t="str">
        <f>TEXT(F679, "MMM-YY")</f>
        <v>Aug-25</v>
      </c>
      <c r="H679" t="s">
        <v>650</v>
      </c>
      <c r="I679" s="25">
        <v>96.5</v>
      </c>
      <c r="J679" s="4">
        <v>1000</v>
      </c>
      <c r="K679" t="s">
        <v>959</v>
      </c>
      <c r="L679" s="4" t="str">
        <f>VLOOKUP(K679, 'Items Master'!A:E,5,0)</f>
        <v>ORIENTAL</v>
      </c>
      <c r="M679" s="4" t="str">
        <f>VLOOKUP(K679, 'Items Master'!A:D,4,0)</f>
        <v>PP</v>
      </c>
      <c r="N679" s="4" t="s">
        <v>24</v>
      </c>
      <c r="Q679" s="6">
        <v>45873</v>
      </c>
      <c r="R679" s="6" t="str">
        <f>TEXT(Q679, "MMM-YY")</f>
        <v>Aug-25</v>
      </c>
      <c r="W679" s="25">
        <v>96.5</v>
      </c>
      <c r="Y679"/>
      <c r="Z679"/>
      <c r="AB679"/>
      <c r="AC679"/>
      <c r="AD679"/>
      <c r="AE679"/>
      <c r="AF679"/>
      <c r="AG679"/>
      <c r="AH679"/>
      <c r="AI679"/>
      <c r="AJ679"/>
      <c r="AK679"/>
      <c r="AL679"/>
      <c r="AM679"/>
      <c r="AN679" s="9">
        <f t="shared" si="21"/>
        <v>0</v>
      </c>
      <c r="AO679" s="8"/>
      <c r="AP679" s="9">
        <f>I679-W679-X679-AN679</f>
        <v>0</v>
      </c>
      <c r="AQ679" t="s">
        <v>1316</v>
      </c>
    </row>
    <row r="680" spans="1:43" x14ac:dyDescent="0.3">
      <c r="A680" s="11">
        <f t="shared" si="22"/>
        <v>678</v>
      </c>
      <c r="B680" s="5" t="s">
        <v>1675</v>
      </c>
      <c r="C680" t="s">
        <v>893</v>
      </c>
      <c r="D680" s="24" t="s">
        <v>828</v>
      </c>
      <c r="E680" s="24" t="str">
        <f>IFERROR(VLOOKUP(D680,Dropdown!A:B,2,0),D680)</f>
        <v>SHUBHAM INTERNATIONAL PRIVATE LIMITED</v>
      </c>
      <c r="F680" s="6">
        <v>45874</v>
      </c>
      <c r="G680" s="6" t="str">
        <f>TEXT(F680, "MMM-YY")</f>
        <v>Aug-25</v>
      </c>
      <c r="H680" t="s">
        <v>651</v>
      </c>
      <c r="I680" s="25">
        <v>97.75</v>
      </c>
      <c r="J680" s="4">
        <v>2000</v>
      </c>
      <c r="K680" t="s">
        <v>901</v>
      </c>
      <c r="L680" s="4" t="str">
        <f>VLOOKUP(K680, 'Items Master'!A:E,5,0)</f>
        <v>MRPL</v>
      </c>
      <c r="M680" s="4" t="str">
        <f>VLOOKUP(K680, 'Items Master'!A:D,4,0)</f>
        <v>PP</v>
      </c>
      <c r="N680" s="4" t="s">
        <v>24</v>
      </c>
      <c r="Q680" s="6">
        <v>45874</v>
      </c>
      <c r="R680" s="6" t="str">
        <f>TEXT(Q680, "MMM-YY")</f>
        <v>Aug-25</v>
      </c>
      <c r="W680" s="25">
        <v>97.75</v>
      </c>
      <c r="Y680"/>
      <c r="Z680"/>
      <c r="AB680"/>
      <c r="AC680"/>
      <c r="AD680"/>
      <c r="AE680"/>
      <c r="AF680"/>
      <c r="AG680"/>
      <c r="AH680"/>
      <c r="AI680"/>
      <c r="AJ680"/>
      <c r="AK680"/>
      <c r="AL680"/>
      <c r="AM680"/>
      <c r="AN680" s="9">
        <f t="shared" si="21"/>
        <v>0</v>
      </c>
      <c r="AO680" s="8"/>
      <c r="AP680" s="9">
        <f>I680-W680-X680-AN680</f>
        <v>0</v>
      </c>
      <c r="AQ680" t="s">
        <v>1316</v>
      </c>
    </row>
    <row r="681" spans="1:43" x14ac:dyDescent="0.3">
      <c r="A681" s="11">
        <f t="shared" si="22"/>
        <v>679</v>
      </c>
      <c r="B681" s="5" t="s">
        <v>1675</v>
      </c>
      <c r="C681" t="s">
        <v>893</v>
      </c>
      <c r="D681" s="24" t="s">
        <v>48</v>
      </c>
      <c r="E681" s="24" t="str">
        <f>IFERROR(VLOOKUP(D681,Dropdown!A:B,2,0),D681)</f>
        <v>CVPL</v>
      </c>
      <c r="F681" s="6">
        <v>45874</v>
      </c>
      <c r="G681" s="6" t="str">
        <f>TEXT(F681, "MMM-YY")</f>
        <v>Aug-25</v>
      </c>
      <c r="H681" t="s">
        <v>652</v>
      </c>
      <c r="I681" s="25">
        <v>98</v>
      </c>
      <c r="J681" s="4">
        <v>2000</v>
      </c>
      <c r="K681" t="s">
        <v>901</v>
      </c>
      <c r="L681" s="4" t="str">
        <f>VLOOKUP(K681, 'Items Master'!A:E,5,0)</f>
        <v>MRPL</v>
      </c>
      <c r="M681" s="4" t="str">
        <f>VLOOKUP(K681, 'Items Master'!A:D,4,0)</f>
        <v>PP</v>
      </c>
      <c r="N681" s="4" t="s">
        <v>24</v>
      </c>
      <c r="Q681" s="6">
        <v>45874</v>
      </c>
      <c r="R681" s="6" t="str">
        <f>TEXT(Q681, "MMM-YY")</f>
        <v>Aug-25</v>
      </c>
      <c r="W681" s="25">
        <v>98</v>
      </c>
      <c r="Y681"/>
      <c r="Z681"/>
      <c r="AB681"/>
      <c r="AC681"/>
      <c r="AD681"/>
      <c r="AE681"/>
      <c r="AF681"/>
      <c r="AG681"/>
      <c r="AH681"/>
      <c r="AI681"/>
      <c r="AJ681"/>
      <c r="AK681"/>
      <c r="AL681"/>
      <c r="AM681"/>
      <c r="AN681" s="9">
        <f t="shared" si="21"/>
        <v>0</v>
      </c>
      <c r="AO681" s="8"/>
      <c r="AP681" s="9">
        <f>I681-W681-X681-AN681</f>
        <v>0</v>
      </c>
      <c r="AQ681" t="s">
        <v>1316</v>
      </c>
    </row>
    <row r="682" spans="1:43" x14ac:dyDescent="0.3">
      <c r="A682" s="11">
        <f t="shared" si="22"/>
        <v>680</v>
      </c>
      <c r="B682" s="5" t="s">
        <v>1675</v>
      </c>
      <c r="C682" t="s">
        <v>893</v>
      </c>
      <c r="D682" s="24" t="s">
        <v>886</v>
      </c>
      <c r="E682" s="24" t="str">
        <f>IFERROR(VLOOKUP(D682,Dropdown!A:B,2,0),D682)</f>
        <v>PARASHAVANATH FILAMENTS</v>
      </c>
      <c r="F682" s="6">
        <v>45874</v>
      </c>
      <c r="G682" s="6" t="str">
        <f>TEXT(F682, "MMM-YY")</f>
        <v>Aug-25</v>
      </c>
      <c r="H682" t="s">
        <v>653</v>
      </c>
      <c r="I682" s="25">
        <v>91.5</v>
      </c>
      <c r="J682" s="4">
        <v>6000</v>
      </c>
      <c r="K682" t="s">
        <v>1007</v>
      </c>
      <c r="L682" s="4" t="str">
        <f>VLOOKUP(K682, 'Items Master'!A:E,5,0)</f>
        <v>BASELL</v>
      </c>
      <c r="M682" s="4" t="str">
        <f>VLOOKUP(K682, 'Items Master'!A:D,4,0)</f>
        <v>PP</v>
      </c>
      <c r="N682" s="4" t="s">
        <v>24</v>
      </c>
      <c r="Q682" s="6">
        <v>45874</v>
      </c>
      <c r="R682" s="6" t="str">
        <f>TEXT(Q682, "MMM-YY")</f>
        <v>Aug-25</v>
      </c>
      <c r="W682" s="25">
        <v>91.5</v>
      </c>
      <c r="Y682"/>
      <c r="Z682"/>
      <c r="AB682"/>
      <c r="AC682"/>
      <c r="AD682"/>
      <c r="AE682"/>
      <c r="AF682"/>
      <c r="AG682"/>
      <c r="AH682"/>
      <c r="AI682"/>
      <c r="AJ682"/>
      <c r="AK682"/>
      <c r="AL682"/>
      <c r="AM682"/>
      <c r="AN682" s="9">
        <f t="shared" si="21"/>
        <v>0</v>
      </c>
      <c r="AO682" s="8"/>
      <c r="AP682" s="9">
        <f>I682-W682-X682-AN682</f>
        <v>0</v>
      </c>
      <c r="AQ682" t="s">
        <v>1316</v>
      </c>
    </row>
    <row r="683" spans="1:43" x14ac:dyDescent="0.3">
      <c r="A683" s="11">
        <f t="shared" si="22"/>
        <v>681</v>
      </c>
      <c r="B683" s="5" t="s">
        <v>1675</v>
      </c>
      <c r="C683" t="s">
        <v>893</v>
      </c>
      <c r="D683" s="24" t="s">
        <v>886</v>
      </c>
      <c r="E683" s="24" t="str">
        <f>IFERROR(VLOOKUP(D683,Dropdown!A:B,2,0),D683)</f>
        <v>PARASHAVANATH FILAMENTS</v>
      </c>
      <c r="F683" s="6">
        <v>45874</v>
      </c>
      <c r="G683" s="6" t="str">
        <f>TEXT(F683, "MMM-YY")</f>
        <v>Aug-25</v>
      </c>
      <c r="H683" t="s">
        <v>653</v>
      </c>
      <c r="I683" s="25">
        <v>91.5</v>
      </c>
      <c r="J683" s="4">
        <v>2000</v>
      </c>
      <c r="K683" t="s">
        <v>910</v>
      </c>
      <c r="L683" s="4" t="str">
        <f>VLOOKUP(K683, 'Items Master'!A:E,5,0)</f>
        <v>RIL</v>
      </c>
      <c r="M683" s="4" t="str">
        <f>VLOOKUP(K683, 'Items Master'!A:D,4,0)</f>
        <v>PP</v>
      </c>
      <c r="N683" s="4" t="s">
        <v>24</v>
      </c>
      <c r="Q683" s="6">
        <v>45874</v>
      </c>
      <c r="R683" s="6" t="str">
        <f>TEXT(Q683, "MMM-YY")</f>
        <v>Aug-25</v>
      </c>
      <c r="W683" s="25">
        <v>91.5</v>
      </c>
      <c r="Y683"/>
      <c r="Z683"/>
      <c r="AB683"/>
      <c r="AC683"/>
      <c r="AD683"/>
      <c r="AE683"/>
      <c r="AF683"/>
      <c r="AG683"/>
      <c r="AH683"/>
      <c r="AI683"/>
      <c r="AJ683"/>
      <c r="AK683"/>
      <c r="AL683"/>
      <c r="AM683"/>
      <c r="AN683" s="9">
        <f t="shared" si="21"/>
        <v>0</v>
      </c>
      <c r="AO683" s="8"/>
      <c r="AP683" s="9">
        <f>I683-W683-X683-AN683</f>
        <v>0</v>
      </c>
      <c r="AQ683" t="s">
        <v>1316</v>
      </c>
    </row>
    <row r="684" spans="1:43" x14ac:dyDescent="0.3">
      <c r="A684" s="11">
        <f t="shared" si="22"/>
        <v>682</v>
      </c>
      <c r="B684" s="5" t="s">
        <v>1675</v>
      </c>
      <c r="C684" t="s">
        <v>893</v>
      </c>
      <c r="D684" s="24" t="s">
        <v>864</v>
      </c>
      <c r="E684" s="24" t="str">
        <f>IFERROR(VLOOKUP(D684,Dropdown!A:B,2,0),D684)</f>
        <v>SVP</v>
      </c>
      <c r="F684" s="6">
        <v>45875</v>
      </c>
      <c r="G684" s="6" t="str">
        <f>TEXT(F684, "MMM-YY")</f>
        <v>Aug-25</v>
      </c>
      <c r="H684" t="s">
        <v>654</v>
      </c>
      <c r="I684" s="25">
        <v>97.19</v>
      </c>
      <c r="J684" s="4">
        <v>3000</v>
      </c>
      <c r="K684" t="s">
        <v>914</v>
      </c>
      <c r="L684" s="4" t="str">
        <f>VLOOKUP(K684, 'Items Master'!A:E,5,0)</f>
        <v>HMEL</v>
      </c>
      <c r="M684" s="4" t="str">
        <f>VLOOKUP(K684, 'Items Master'!A:D,4,0)</f>
        <v>LLDPE</v>
      </c>
      <c r="N684" s="4" t="s">
        <v>49</v>
      </c>
      <c r="Q684" s="6">
        <v>45875</v>
      </c>
      <c r="R684" s="6" t="str">
        <f>TEXT(Q684, "MMM-YY")</f>
        <v>Aug-25</v>
      </c>
      <c r="X684" s="25">
        <v>99.29</v>
      </c>
      <c r="Y684" t="s">
        <v>1303</v>
      </c>
      <c r="Z684" t="s">
        <v>1305</v>
      </c>
      <c r="AB684" s="8">
        <v>-1.1000000000000001</v>
      </c>
      <c r="AC684" s="8">
        <v>-1</v>
      </c>
      <c r="AN684" s="9">
        <f t="shared" si="21"/>
        <v>-2.1</v>
      </c>
      <c r="AO684" s="8"/>
      <c r="AP684" s="9">
        <f>I684-W684-X684-AN684</f>
        <v>-8.4376949871511897E-15</v>
      </c>
      <c r="AQ684" t="s">
        <v>1316</v>
      </c>
    </row>
    <row r="685" spans="1:43" x14ac:dyDescent="0.3">
      <c r="A685" s="11">
        <f t="shared" si="22"/>
        <v>683</v>
      </c>
      <c r="B685" s="5" t="s">
        <v>1675</v>
      </c>
      <c r="C685" t="s">
        <v>893</v>
      </c>
      <c r="D685" s="24" t="s">
        <v>48</v>
      </c>
      <c r="E685" s="24" t="str">
        <f>IFERROR(VLOOKUP(D685,Dropdown!A:B,2,0),D685)</f>
        <v>CVPL</v>
      </c>
      <c r="F685" s="6">
        <v>45875</v>
      </c>
      <c r="G685" s="6" t="str">
        <f>TEXT(F685, "MMM-YY")</f>
        <v>Aug-25</v>
      </c>
      <c r="H685" t="s">
        <v>655</v>
      </c>
      <c r="I685" s="25">
        <v>102.97</v>
      </c>
      <c r="J685" s="4">
        <v>1000</v>
      </c>
      <c r="K685" t="s">
        <v>990</v>
      </c>
      <c r="L685" s="4" t="str">
        <f>VLOOKUP(K685, 'Items Master'!A:E,5,0)</f>
        <v>GAIL</v>
      </c>
      <c r="M685" s="4" t="str">
        <f>VLOOKUP(K685, 'Items Master'!A:D,4,0)</f>
        <v>HDPE</v>
      </c>
      <c r="N685" s="4" t="s">
        <v>49</v>
      </c>
      <c r="Q685" s="6">
        <v>45875</v>
      </c>
      <c r="R685" s="6" t="str">
        <f>TEXT(Q685, "MMM-YY")</f>
        <v>Aug-25</v>
      </c>
      <c r="W685" s="25">
        <v>102.96599999999999</v>
      </c>
      <c r="Y685"/>
      <c r="Z685"/>
      <c r="AB685"/>
      <c r="AC685"/>
      <c r="AD685"/>
      <c r="AE685"/>
      <c r="AF685"/>
      <c r="AG685"/>
      <c r="AH685"/>
      <c r="AI685"/>
      <c r="AJ685"/>
      <c r="AK685"/>
      <c r="AL685"/>
      <c r="AM685"/>
      <c r="AN685" s="9">
        <f t="shared" si="21"/>
        <v>0</v>
      </c>
      <c r="AO685" s="8"/>
      <c r="AP685" s="9">
        <f>I685-W685-X685-AN685</f>
        <v>4.0000000000048885E-3</v>
      </c>
      <c r="AQ685" t="s">
        <v>1316</v>
      </c>
    </row>
    <row r="686" spans="1:43" x14ac:dyDescent="0.3">
      <c r="A686" s="11">
        <f t="shared" si="22"/>
        <v>684</v>
      </c>
      <c r="B686" s="5" t="s">
        <v>1675</v>
      </c>
      <c r="C686" t="s">
        <v>893</v>
      </c>
      <c r="D686" s="24" t="s">
        <v>48</v>
      </c>
      <c r="E686" s="24" t="str">
        <f>IFERROR(VLOOKUP(D686,Dropdown!A:B,2,0),D686)</f>
        <v>CVPL</v>
      </c>
      <c r="F686" s="6">
        <v>45875</v>
      </c>
      <c r="G686" s="6" t="str">
        <f>TEXT(F686, "MMM-YY")</f>
        <v>Aug-25</v>
      </c>
      <c r="H686" t="s">
        <v>655</v>
      </c>
      <c r="I686" s="25">
        <v>98</v>
      </c>
      <c r="J686" s="4">
        <v>2000</v>
      </c>
      <c r="K686" t="s">
        <v>901</v>
      </c>
      <c r="L686" s="4" t="str">
        <f>VLOOKUP(K686, 'Items Master'!A:E,5,0)</f>
        <v>MRPL</v>
      </c>
      <c r="M686" s="4" t="str">
        <f>VLOOKUP(K686, 'Items Master'!A:D,4,0)</f>
        <v>PP</v>
      </c>
      <c r="N686" s="4" t="s">
        <v>24</v>
      </c>
      <c r="Q686" s="6">
        <v>45875</v>
      </c>
      <c r="R686" s="6" t="str">
        <f>TEXT(Q686, "MMM-YY")</f>
        <v>Aug-25</v>
      </c>
      <c r="W686" s="25">
        <v>98</v>
      </c>
      <c r="Y686"/>
      <c r="Z686"/>
      <c r="AB686"/>
      <c r="AC686"/>
      <c r="AD686"/>
      <c r="AE686"/>
      <c r="AF686"/>
      <c r="AG686"/>
      <c r="AH686"/>
      <c r="AI686"/>
      <c r="AJ686"/>
      <c r="AK686"/>
      <c r="AL686"/>
      <c r="AM686"/>
      <c r="AN686" s="9">
        <f t="shared" si="21"/>
        <v>0</v>
      </c>
      <c r="AO686" s="8"/>
      <c r="AP686" s="9">
        <f>I686-W686-X686-AN686</f>
        <v>0</v>
      </c>
      <c r="AQ686" t="s">
        <v>1316</v>
      </c>
    </row>
    <row r="687" spans="1:43" x14ac:dyDescent="0.3">
      <c r="A687" s="11">
        <f t="shared" si="22"/>
        <v>685</v>
      </c>
      <c r="B687" s="5" t="s">
        <v>1675</v>
      </c>
      <c r="C687" t="s">
        <v>893</v>
      </c>
      <c r="D687" s="24" t="s">
        <v>824</v>
      </c>
      <c r="E687" s="24" t="str">
        <f>IFERROR(VLOOKUP(D687,Dropdown!A:B,2,0),D687)</f>
        <v>Paragon</v>
      </c>
      <c r="F687" s="6">
        <v>45876</v>
      </c>
      <c r="G687" s="6" t="str">
        <f>TEXT(F687, "MMM-YY")</f>
        <v>Aug-25</v>
      </c>
      <c r="H687" t="s">
        <v>656</v>
      </c>
      <c r="I687" s="25">
        <v>103.39</v>
      </c>
      <c r="J687" s="4">
        <v>2000</v>
      </c>
      <c r="K687" t="s">
        <v>916</v>
      </c>
      <c r="L687" s="4" t="str">
        <f>VLOOKUP(K687, 'Items Master'!A:E,5,0)</f>
        <v>RIL</v>
      </c>
      <c r="M687" s="4" t="str">
        <f>VLOOKUP(K687, 'Items Master'!A:D,4,0)</f>
        <v>PP</v>
      </c>
      <c r="N687" s="4" t="s">
        <v>49</v>
      </c>
      <c r="Q687" s="6">
        <v>45876</v>
      </c>
      <c r="R687" s="6" t="str">
        <f>TEXT(Q687, "MMM-YY")</f>
        <v>Aug-25</v>
      </c>
      <c r="X687" s="25">
        <v>103.39</v>
      </c>
      <c r="Y687" s="25" t="s">
        <v>1303</v>
      </c>
      <c r="AB687"/>
      <c r="AC687"/>
      <c r="AD687"/>
      <c r="AE687"/>
      <c r="AF687"/>
      <c r="AG687"/>
      <c r="AH687"/>
      <c r="AI687"/>
      <c r="AJ687"/>
      <c r="AK687"/>
      <c r="AL687"/>
      <c r="AM687"/>
      <c r="AN687" s="9">
        <f t="shared" si="21"/>
        <v>0</v>
      </c>
      <c r="AO687" s="8"/>
      <c r="AP687" s="9">
        <f>I687-W687-X687-AN687</f>
        <v>0</v>
      </c>
      <c r="AQ687" t="s">
        <v>1324</v>
      </c>
    </row>
    <row r="688" spans="1:43" x14ac:dyDescent="0.3">
      <c r="A688" s="11">
        <f t="shared" si="22"/>
        <v>686</v>
      </c>
      <c r="B688" s="5" t="s">
        <v>1675</v>
      </c>
      <c r="C688" t="s">
        <v>894</v>
      </c>
      <c r="D688" s="24" t="s">
        <v>837</v>
      </c>
      <c r="E688" s="24" t="str">
        <f>IFERROR(VLOOKUP(D688,Dropdown!A:B,2,0),D688)</f>
        <v>SYNTHETIC PACKERS LIMITED</v>
      </c>
      <c r="F688" s="6">
        <v>45876</v>
      </c>
      <c r="G688" s="6" t="str">
        <f>TEXT(F688, "MMM-YY")</f>
        <v>Aug-25</v>
      </c>
      <c r="H688" t="s">
        <v>657</v>
      </c>
      <c r="I688" s="25">
        <v>94</v>
      </c>
      <c r="J688" s="4">
        <v>9800</v>
      </c>
      <c r="K688" t="s">
        <v>906</v>
      </c>
      <c r="L688" s="4" t="str">
        <f>VLOOKUP(K688, 'Items Master'!A:E,5,0)</f>
        <v>EQUATE</v>
      </c>
      <c r="M688" s="4" t="str">
        <f>VLOOKUP(K688, 'Items Master'!A:D,4,0)</f>
        <v>HDPE</v>
      </c>
      <c r="N688" s="4" t="s">
        <v>24</v>
      </c>
      <c r="Q688" s="6">
        <v>45876</v>
      </c>
      <c r="R688" s="6" t="str">
        <f>TEXT(Q688, "MMM-YY")</f>
        <v>Aug-25</v>
      </c>
      <c r="W688" s="25">
        <v>94</v>
      </c>
      <c r="Y688"/>
      <c r="Z688"/>
      <c r="AB688"/>
      <c r="AC688"/>
      <c r="AD688"/>
      <c r="AE688"/>
      <c r="AF688"/>
      <c r="AG688"/>
      <c r="AH688"/>
      <c r="AI688"/>
      <c r="AJ688"/>
      <c r="AK688"/>
      <c r="AL688"/>
      <c r="AM688"/>
      <c r="AN688" s="9">
        <f t="shared" si="21"/>
        <v>0</v>
      </c>
      <c r="AO688" s="8"/>
      <c r="AP688" s="9">
        <f>I688-W688-X688-AN688</f>
        <v>0</v>
      </c>
      <c r="AQ688" t="s">
        <v>1316</v>
      </c>
    </row>
    <row r="689" spans="1:43" x14ac:dyDescent="0.3">
      <c r="A689" s="11">
        <f t="shared" si="22"/>
        <v>687</v>
      </c>
      <c r="B689" s="5" t="s">
        <v>1675</v>
      </c>
      <c r="C689" t="s">
        <v>893</v>
      </c>
      <c r="D689" s="24" t="s">
        <v>48</v>
      </c>
      <c r="E689" s="24" t="str">
        <f>IFERROR(VLOOKUP(D689,Dropdown!A:B,2,0),D689)</f>
        <v>CVPL</v>
      </c>
      <c r="F689" s="6">
        <v>45876</v>
      </c>
      <c r="G689" s="6" t="str">
        <f>TEXT(F689, "MMM-YY")</f>
        <v>Aug-25</v>
      </c>
      <c r="H689" t="s">
        <v>658</v>
      </c>
      <c r="I689" s="25">
        <v>97</v>
      </c>
      <c r="J689" s="4">
        <v>6000</v>
      </c>
      <c r="K689" t="s">
        <v>1008</v>
      </c>
      <c r="L689" s="4" t="str">
        <f>VLOOKUP(K689, 'Items Master'!A:E,5,0)</f>
        <v>RIL</v>
      </c>
      <c r="M689" s="4" t="str">
        <f>VLOOKUP(K689, 'Items Master'!A:D,4,0)</f>
        <v>PP</v>
      </c>
      <c r="N689" s="4" t="s">
        <v>24</v>
      </c>
      <c r="Q689" s="6">
        <v>45876</v>
      </c>
      <c r="R689" s="6" t="str">
        <f>TEXT(Q689, "MMM-YY")</f>
        <v>Aug-25</v>
      </c>
      <c r="W689" s="25">
        <v>97</v>
      </c>
      <c r="Y689"/>
      <c r="Z689"/>
      <c r="AB689"/>
      <c r="AC689"/>
      <c r="AD689"/>
      <c r="AE689"/>
      <c r="AF689"/>
      <c r="AG689"/>
      <c r="AH689"/>
      <c r="AI689"/>
      <c r="AJ689"/>
      <c r="AK689"/>
      <c r="AL689"/>
      <c r="AM689"/>
      <c r="AN689" s="9">
        <f t="shared" si="21"/>
        <v>0</v>
      </c>
      <c r="AO689" s="8"/>
      <c r="AP689" s="9">
        <f>I689-W689-X689-AN689</f>
        <v>0</v>
      </c>
      <c r="AQ689" t="s">
        <v>1316</v>
      </c>
    </row>
    <row r="690" spans="1:43" x14ac:dyDescent="0.3">
      <c r="A690" s="11">
        <f t="shared" si="22"/>
        <v>688</v>
      </c>
      <c r="B690" s="5" t="s">
        <v>1675</v>
      </c>
      <c r="C690" t="s">
        <v>893</v>
      </c>
      <c r="D690" s="24" t="s">
        <v>836</v>
      </c>
      <c r="E690" s="24" t="str">
        <f>IFERROR(VLOOKUP(D690,Dropdown!A:B,2,0),D690)</f>
        <v>Intime</v>
      </c>
      <c r="F690" s="6">
        <v>45877</v>
      </c>
      <c r="G690" s="6" t="str">
        <f>TEXT(F690, "MMM-YY")</f>
        <v>Aug-25</v>
      </c>
      <c r="H690" t="s">
        <v>659</v>
      </c>
      <c r="I690" s="25">
        <v>99.474000000000004</v>
      </c>
      <c r="J690" s="4">
        <v>15000</v>
      </c>
      <c r="K690" t="s">
        <v>903</v>
      </c>
      <c r="L690" s="4" t="str">
        <f>VLOOKUP(K690, 'Items Master'!A:E,5,0)</f>
        <v>GAIL</v>
      </c>
      <c r="M690" s="4" t="str">
        <f>VLOOKUP(K690, 'Items Master'!A:D,4,0)</f>
        <v>LLDPE</v>
      </c>
      <c r="N690" s="4" t="s">
        <v>49</v>
      </c>
      <c r="Q690" s="6">
        <v>45877</v>
      </c>
      <c r="R690" s="6" t="str">
        <f>TEXT(Q690, "MMM-YY")</f>
        <v>Aug-25</v>
      </c>
      <c r="X690" s="25">
        <v>99.474000000000004</v>
      </c>
      <c r="Y690" s="25" t="s">
        <v>1304</v>
      </c>
      <c r="Z690" s="25" t="s">
        <v>1308</v>
      </c>
      <c r="AB690"/>
      <c r="AC690"/>
      <c r="AD690"/>
      <c r="AE690"/>
      <c r="AF690"/>
      <c r="AG690"/>
      <c r="AH690"/>
      <c r="AI690"/>
      <c r="AJ690"/>
      <c r="AK690"/>
      <c r="AL690"/>
      <c r="AM690"/>
      <c r="AN690" s="9">
        <f t="shared" si="21"/>
        <v>0</v>
      </c>
      <c r="AO690" s="8"/>
      <c r="AP690" s="9">
        <f>I690-W690-X690-AN690</f>
        <v>0</v>
      </c>
      <c r="AQ690" t="s">
        <v>1324</v>
      </c>
    </row>
    <row r="691" spans="1:43" x14ac:dyDescent="0.3">
      <c r="A691" s="11">
        <f t="shared" si="22"/>
        <v>689</v>
      </c>
      <c r="B691" s="5" t="s">
        <v>1675</v>
      </c>
      <c r="C691" t="s">
        <v>893</v>
      </c>
      <c r="D691" s="24" t="s">
        <v>826</v>
      </c>
      <c r="E691" s="24" t="str">
        <f>IFERROR(VLOOKUP(D691,Dropdown!A:B,2,0),D691)</f>
        <v>Kamakya</v>
      </c>
      <c r="F691" s="6">
        <v>45877</v>
      </c>
      <c r="G691" s="6" t="str">
        <f>TEXT(F691, "MMM-YY")</f>
        <v>Aug-25</v>
      </c>
      <c r="H691" t="s">
        <v>660</v>
      </c>
      <c r="I691" s="25">
        <v>101.2</v>
      </c>
      <c r="J691" s="4">
        <v>20000</v>
      </c>
      <c r="K691" t="s">
        <v>901</v>
      </c>
      <c r="L691" s="4" t="str">
        <f>VLOOKUP(K691, 'Items Master'!A:E,5,0)</f>
        <v>MRPL</v>
      </c>
      <c r="M691" s="4" t="str">
        <f>VLOOKUP(K691, 'Items Master'!A:D,4,0)</f>
        <v>PP</v>
      </c>
      <c r="N691" s="4" t="s">
        <v>49</v>
      </c>
      <c r="Q691" s="6">
        <v>45877</v>
      </c>
      <c r="R691" s="6" t="str">
        <f>TEXT(Q691, "MMM-YY")</f>
        <v>Aug-25</v>
      </c>
      <c r="X691" s="25">
        <v>99.45</v>
      </c>
      <c r="Y691" t="s">
        <v>1304</v>
      </c>
      <c r="Z691" t="s">
        <v>1305</v>
      </c>
      <c r="AI691" s="8">
        <v>1.75</v>
      </c>
      <c r="AN691" s="9">
        <f t="shared" si="21"/>
        <v>1.75</v>
      </c>
      <c r="AO691" s="8"/>
      <c r="AP691" s="9">
        <f>I691-W691-X691-AN691</f>
        <v>0</v>
      </c>
      <c r="AQ691" t="s">
        <v>1316</v>
      </c>
    </row>
    <row r="692" spans="1:43" x14ac:dyDescent="0.3">
      <c r="A692" s="11">
        <f t="shared" si="22"/>
        <v>690</v>
      </c>
      <c r="B692" s="5" t="s">
        <v>1675</v>
      </c>
      <c r="C692" t="s">
        <v>893</v>
      </c>
      <c r="D692" s="24" t="s">
        <v>826</v>
      </c>
      <c r="E692" s="24" t="str">
        <f>IFERROR(VLOOKUP(D692,Dropdown!A:B,2,0),D692)</f>
        <v>Kamakya</v>
      </c>
      <c r="F692" s="6">
        <v>45877</v>
      </c>
      <c r="G692" s="6" t="str">
        <f>TEXT(F692, "MMM-YY")</f>
        <v>Aug-25</v>
      </c>
      <c r="H692" t="s">
        <v>660</v>
      </c>
      <c r="I692" s="25">
        <v>101.42</v>
      </c>
      <c r="J692" s="4">
        <v>5000</v>
      </c>
      <c r="K692" t="s">
        <v>976</v>
      </c>
      <c r="L692" s="4" t="str">
        <f>VLOOKUP(K692, 'Items Master'!A:E,5,0)</f>
        <v>MRPL</v>
      </c>
      <c r="M692" s="4" t="str">
        <f>VLOOKUP(K692, 'Items Master'!A:D,4,0)</f>
        <v>PP</v>
      </c>
      <c r="N692" s="4" t="s">
        <v>49</v>
      </c>
      <c r="Q692" s="6">
        <v>45877</v>
      </c>
      <c r="R692" s="6" t="str">
        <f>TEXT(Q692, "MMM-YY")</f>
        <v>Aug-25</v>
      </c>
      <c r="X692" s="25">
        <v>99.67</v>
      </c>
      <c r="Y692" t="s">
        <v>1304</v>
      </c>
      <c r="Z692" t="s">
        <v>1305</v>
      </c>
      <c r="AI692" s="8">
        <v>1.75</v>
      </c>
      <c r="AN692" s="9">
        <f t="shared" si="21"/>
        <v>1.75</v>
      </c>
      <c r="AO692" s="8"/>
      <c r="AP692" s="9">
        <f>I692-W692-X692-AN692</f>
        <v>0</v>
      </c>
      <c r="AQ692" t="s">
        <v>1316</v>
      </c>
    </row>
    <row r="693" spans="1:43" x14ac:dyDescent="0.3">
      <c r="A693" s="11">
        <f t="shared" si="22"/>
        <v>691</v>
      </c>
      <c r="B693" s="5" t="s">
        <v>1675</v>
      </c>
      <c r="C693" t="s">
        <v>893</v>
      </c>
      <c r="D693" s="24" t="s">
        <v>48</v>
      </c>
      <c r="E693" s="24" t="str">
        <f>IFERROR(VLOOKUP(D693,Dropdown!A:B,2,0),D693)</f>
        <v>CVPL</v>
      </c>
      <c r="F693" s="6">
        <v>45877</v>
      </c>
      <c r="G693" s="6" t="str">
        <f>TEXT(F693, "MMM-YY")</f>
        <v>Aug-25</v>
      </c>
      <c r="H693" t="s">
        <v>661</v>
      </c>
      <c r="I693" s="25">
        <v>99.99</v>
      </c>
      <c r="J693" s="4">
        <v>2500</v>
      </c>
      <c r="K693" t="s">
        <v>903</v>
      </c>
      <c r="L693" s="4" t="str">
        <f>VLOOKUP(K693, 'Items Master'!A:E,5,0)</f>
        <v>GAIL</v>
      </c>
      <c r="M693" s="4" t="str">
        <f>VLOOKUP(K693, 'Items Master'!A:D,4,0)</f>
        <v>LLDPE</v>
      </c>
      <c r="N693" s="4" t="s">
        <v>49</v>
      </c>
      <c r="Q693" s="6">
        <v>45877</v>
      </c>
      <c r="R693" s="6" t="str">
        <f>TEXT(Q693, "MMM-YY")</f>
        <v>Aug-25</v>
      </c>
      <c r="X693" s="25">
        <v>99.99</v>
      </c>
      <c r="Y693" s="25" t="s">
        <v>1304</v>
      </c>
      <c r="Z693" s="25" t="s">
        <v>1305</v>
      </c>
      <c r="AB693"/>
      <c r="AC693"/>
      <c r="AD693"/>
      <c r="AE693"/>
      <c r="AF693"/>
      <c r="AG693"/>
      <c r="AH693"/>
      <c r="AI693"/>
      <c r="AJ693"/>
      <c r="AK693"/>
      <c r="AL693"/>
      <c r="AM693"/>
      <c r="AN693" s="9">
        <f t="shared" si="21"/>
        <v>0</v>
      </c>
      <c r="AO693" s="8"/>
      <c r="AP693" s="9">
        <f>I693-W693-X693-AN693</f>
        <v>0</v>
      </c>
      <c r="AQ693" t="s">
        <v>1324</v>
      </c>
    </row>
    <row r="694" spans="1:43" x14ac:dyDescent="0.3">
      <c r="A694" s="11">
        <f t="shared" si="22"/>
        <v>692</v>
      </c>
      <c r="B694" s="5" t="s">
        <v>1675</v>
      </c>
      <c r="C694" t="s">
        <v>893</v>
      </c>
      <c r="D694" s="24" t="s">
        <v>48</v>
      </c>
      <c r="E694" s="24" t="str">
        <f>IFERROR(VLOOKUP(D694,Dropdown!A:B,2,0),D694)</f>
        <v>CVPL</v>
      </c>
      <c r="F694" s="6">
        <v>45878</v>
      </c>
      <c r="G694" s="6" t="str">
        <f>TEXT(F694, "MMM-YY")</f>
        <v>Aug-25</v>
      </c>
      <c r="H694" t="s">
        <v>662</v>
      </c>
      <c r="I694" s="25">
        <v>101.25</v>
      </c>
      <c r="J694" s="4">
        <v>10000</v>
      </c>
      <c r="K694" t="s">
        <v>901</v>
      </c>
      <c r="L694" s="4" t="str">
        <f>VLOOKUP(K694, 'Items Master'!A:E,5,0)</f>
        <v>MRPL</v>
      </c>
      <c r="M694" s="4" t="str">
        <f>VLOOKUP(K694, 'Items Master'!A:D,4,0)</f>
        <v>PP</v>
      </c>
      <c r="N694" s="4" t="s">
        <v>49</v>
      </c>
      <c r="O694" t="s">
        <v>1298</v>
      </c>
      <c r="Q694" s="6">
        <v>45878</v>
      </c>
      <c r="R694" s="6" t="str">
        <f>TEXT(Q694, "MMM-YY")</f>
        <v>Aug-25</v>
      </c>
      <c r="X694" s="25">
        <v>99.445999999999998</v>
      </c>
      <c r="Y694" s="25" t="s">
        <v>1304</v>
      </c>
      <c r="Z694" s="25" t="s">
        <v>1305</v>
      </c>
      <c r="AB694"/>
      <c r="AC694"/>
      <c r="AD694"/>
      <c r="AE694"/>
      <c r="AF694"/>
      <c r="AG694"/>
      <c r="AH694"/>
      <c r="AI694"/>
      <c r="AJ694"/>
      <c r="AK694"/>
      <c r="AL694"/>
      <c r="AM694"/>
      <c r="AN694" s="9">
        <f t="shared" si="21"/>
        <v>0</v>
      </c>
      <c r="AO694" s="8"/>
      <c r="AP694" s="9">
        <f>I694-W694-X694-AN694</f>
        <v>1.804000000000002</v>
      </c>
      <c r="AQ694" t="s">
        <v>1324</v>
      </c>
    </row>
    <row r="695" spans="1:43" x14ac:dyDescent="0.3">
      <c r="A695" s="11">
        <f t="shared" si="22"/>
        <v>693</v>
      </c>
      <c r="B695" s="5" t="s">
        <v>1675</v>
      </c>
      <c r="C695" t="s">
        <v>893</v>
      </c>
      <c r="D695" s="24" t="s">
        <v>824</v>
      </c>
      <c r="E695" s="24" t="str">
        <f>IFERROR(VLOOKUP(D695,Dropdown!A:B,2,0),D695)</f>
        <v>Paragon</v>
      </c>
      <c r="F695" s="6">
        <v>45878</v>
      </c>
      <c r="G695" s="6" t="str">
        <f>TEXT(F695, "MMM-YY")</f>
        <v>Aug-25</v>
      </c>
      <c r="H695" t="s">
        <v>663</v>
      </c>
      <c r="I695" s="25">
        <v>104.89</v>
      </c>
      <c r="J695" s="4">
        <v>3000</v>
      </c>
      <c r="K695" t="s">
        <v>925</v>
      </c>
      <c r="L695" s="4" t="str">
        <f>VLOOKUP(K695, 'Items Master'!A:E,5,0)</f>
        <v>RIL</v>
      </c>
      <c r="M695" s="4" t="str">
        <f>VLOOKUP(K695, 'Items Master'!A:D,4,0)</f>
        <v>PP ICP</v>
      </c>
      <c r="N695" s="4" t="s">
        <v>49</v>
      </c>
      <c r="Q695" s="6">
        <v>45878</v>
      </c>
      <c r="R695" s="6" t="str">
        <f>TEXT(Q695, "MMM-YY")</f>
        <v>Aug-25</v>
      </c>
      <c r="X695" s="25">
        <v>104.89</v>
      </c>
      <c r="Y695" s="25" t="s">
        <v>1303</v>
      </c>
      <c r="Z695" s="25" t="s">
        <v>1305</v>
      </c>
      <c r="AB695"/>
      <c r="AC695"/>
      <c r="AD695"/>
      <c r="AE695"/>
      <c r="AF695"/>
      <c r="AG695"/>
      <c r="AH695"/>
      <c r="AI695"/>
      <c r="AJ695"/>
      <c r="AK695"/>
      <c r="AL695"/>
      <c r="AM695"/>
      <c r="AN695" s="9">
        <f t="shared" si="21"/>
        <v>0</v>
      </c>
      <c r="AO695" s="8"/>
      <c r="AP695" s="9">
        <f>I695-W695-X695-AN695</f>
        <v>0</v>
      </c>
      <c r="AQ695" t="s">
        <v>1324</v>
      </c>
    </row>
    <row r="696" spans="1:43" x14ac:dyDescent="0.3">
      <c r="A696" s="11">
        <f t="shared" si="22"/>
        <v>694</v>
      </c>
      <c r="B696" s="5" t="s">
        <v>1675</v>
      </c>
      <c r="C696" t="s">
        <v>893</v>
      </c>
      <c r="D696" s="24" t="s">
        <v>48</v>
      </c>
      <c r="E696" s="24" t="str">
        <f>IFERROR(VLOOKUP(D696,Dropdown!A:B,2,0),D696)</f>
        <v>CVPL</v>
      </c>
      <c r="F696" s="6">
        <v>45880</v>
      </c>
      <c r="G696" s="6" t="str">
        <f>TEXT(F696, "MMM-YY")</f>
        <v>Aug-25</v>
      </c>
      <c r="H696" t="s">
        <v>664</v>
      </c>
      <c r="I696" s="25">
        <v>100.37</v>
      </c>
      <c r="J696" s="4">
        <v>2500</v>
      </c>
      <c r="K696" t="s">
        <v>952</v>
      </c>
      <c r="L696" s="4" t="str">
        <f>VLOOKUP(K696, 'Items Master'!A:E,5,0)</f>
        <v>GAIL</v>
      </c>
      <c r="M696" s="4" t="str">
        <f>VLOOKUP(K696, 'Items Master'!A:D,4,0)</f>
        <v>HDPE</v>
      </c>
      <c r="N696" s="4" t="s">
        <v>49</v>
      </c>
      <c r="O696" t="s">
        <v>1298</v>
      </c>
      <c r="Q696" s="6">
        <v>45880</v>
      </c>
      <c r="R696" s="6" t="str">
        <f>TEXT(Q696, "MMM-YY")</f>
        <v>Aug-25</v>
      </c>
      <c r="X696" s="25">
        <v>96.59</v>
      </c>
      <c r="Y696" s="25" t="s">
        <v>1304</v>
      </c>
      <c r="AB696"/>
      <c r="AC696"/>
      <c r="AD696"/>
      <c r="AE696"/>
      <c r="AF696"/>
      <c r="AG696"/>
      <c r="AH696"/>
      <c r="AI696"/>
      <c r="AJ696"/>
      <c r="AK696"/>
      <c r="AL696"/>
      <c r="AM696"/>
      <c r="AN696" s="9">
        <f t="shared" si="21"/>
        <v>0</v>
      </c>
      <c r="AO696" s="8"/>
      <c r="AP696" s="9">
        <f>I696-W696-X696-AN696</f>
        <v>3.7800000000000011</v>
      </c>
      <c r="AQ696" t="s">
        <v>1324</v>
      </c>
    </row>
    <row r="697" spans="1:43" x14ac:dyDescent="0.3">
      <c r="A697" s="11">
        <f t="shared" si="22"/>
        <v>695</v>
      </c>
      <c r="B697" s="5" t="s">
        <v>1675</v>
      </c>
      <c r="C697" t="s">
        <v>893</v>
      </c>
      <c r="D697" s="24" t="s">
        <v>48</v>
      </c>
      <c r="E697" s="24" t="str">
        <f>IFERROR(VLOOKUP(D697,Dropdown!A:B,2,0),D697)</f>
        <v>CVPL</v>
      </c>
      <c r="F697" s="6">
        <v>45880</v>
      </c>
      <c r="G697" s="6" t="str">
        <f>TEXT(F697, "MMM-YY")</f>
        <v>Aug-25</v>
      </c>
      <c r="H697" t="s">
        <v>665</v>
      </c>
      <c r="I697" s="25">
        <v>100.37</v>
      </c>
      <c r="J697" s="4">
        <v>2500</v>
      </c>
      <c r="K697" t="s">
        <v>952</v>
      </c>
      <c r="L697" s="4" t="str">
        <f>VLOOKUP(K697, 'Items Master'!A:E,5,0)</f>
        <v>GAIL</v>
      </c>
      <c r="M697" s="4" t="str">
        <f>VLOOKUP(K697, 'Items Master'!A:D,4,0)</f>
        <v>HDPE</v>
      </c>
      <c r="N697" s="4" t="s">
        <v>49</v>
      </c>
      <c r="O697" t="s">
        <v>1298</v>
      </c>
      <c r="Q697" s="6">
        <v>45880</v>
      </c>
      <c r="R697" s="6" t="str">
        <f>TEXT(Q697, "MMM-YY")</f>
        <v>Aug-25</v>
      </c>
      <c r="X697" s="25">
        <v>96.59</v>
      </c>
      <c r="Y697" s="25" t="s">
        <v>1304</v>
      </c>
      <c r="AB697"/>
      <c r="AC697"/>
      <c r="AD697"/>
      <c r="AE697"/>
      <c r="AF697"/>
      <c r="AG697"/>
      <c r="AH697"/>
      <c r="AI697"/>
      <c r="AJ697"/>
      <c r="AK697"/>
      <c r="AL697"/>
      <c r="AM697"/>
      <c r="AN697" s="9">
        <f t="shared" si="21"/>
        <v>0</v>
      </c>
      <c r="AO697" s="8"/>
      <c r="AP697" s="9">
        <f>I697-W697-X697-AN697</f>
        <v>3.7800000000000011</v>
      </c>
      <c r="AQ697" t="s">
        <v>1324</v>
      </c>
    </row>
    <row r="698" spans="1:43" x14ac:dyDescent="0.3">
      <c r="A698" s="11">
        <f t="shared" si="22"/>
        <v>696</v>
      </c>
      <c r="B698" s="5" t="s">
        <v>1675</v>
      </c>
      <c r="C698" t="s">
        <v>894</v>
      </c>
      <c r="D698" s="24" t="s">
        <v>857</v>
      </c>
      <c r="E698" s="24" t="str">
        <f>IFERROR(VLOOKUP(D698,Dropdown!A:B,2,0),D698)</f>
        <v>Purav</v>
      </c>
      <c r="F698" s="6">
        <v>45880</v>
      </c>
      <c r="G698" s="6" t="str">
        <f>TEXT(F698, "MMM-YY")</f>
        <v>Aug-25</v>
      </c>
      <c r="H698" t="s">
        <v>666</v>
      </c>
      <c r="I698" s="25">
        <v>97.95</v>
      </c>
      <c r="J698" s="4">
        <v>12000</v>
      </c>
      <c r="K698" t="s">
        <v>896</v>
      </c>
      <c r="L698" s="4" t="str">
        <f>VLOOKUP(K698, 'Items Master'!A:E,5,0)</f>
        <v>OPAL</v>
      </c>
      <c r="M698" s="4" t="str">
        <f>VLOOKUP(K698, 'Items Master'!A:D,4,0)</f>
        <v>HDPE</v>
      </c>
      <c r="N698" s="4" t="s">
        <v>49</v>
      </c>
      <c r="O698" t="s">
        <v>1298</v>
      </c>
      <c r="Q698" s="6">
        <v>45880</v>
      </c>
      <c r="R698" s="6" t="str">
        <f>TEXT(Q698, "MMM-YY")</f>
        <v>Aug-25</v>
      </c>
      <c r="S698" t="s">
        <v>21</v>
      </c>
      <c r="U698" t="s">
        <v>1605</v>
      </c>
      <c r="X698" s="25">
        <v>98.75</v>
      </c>
      <c r="Y698" s="25" t="s">
        <v>1303</v>
      </c>
      <c r="AB698" s="8">
        <v>-0.9</v>
      </c>
      <c r="AH698" s="8">
        <v>0.1</v>
      </c>
      <c r="AN698" s="9">
        <f t="shared" si="21"/>
        <v>-0.8</v>
      </c>
      <c r="AO698" s="8"/>
      <c r="AP698" s="9">
        <f>I698-W698-X698-AN698</f>
        <v>2.886579864025407E-15</v>
      </c>
      <c r="AQ698" t="s">
        <v>1316</v>
      </c>
    </row>
    <row r="699" spans="1:43" x14ac:dyDescent="0.3">
      <c r="A699" s="11">
        <f t="shared" si="22"/>
        <v>697</v>
      </c>
      <c r="B699" s="5" t="s">
        <v>1675</v>
      </c>
      <c r="C699" t="s">
        <v>894</v>
      </c>
      <c r="D699" s="24" t="s">
        <v>883</v>
      </c>
      <c r="E699" s="24" t="str">
        <f>IFERROR(VLOOKUP(D699,Dropdown!A:B,2,0),D699)</f>
        <v>VIDHI PETRO PRODUCTS PRIVATE LIMITED</v>
      </c>
      <c r="F699" s="6">
        <v>45880</v>
      </c>
      <c r="G699" s="6" t="str">
        <f>TEXT(F699, "MMM-YY")</f>
        <v>Aug-25</v>
      </c>
      <c r="H699" t="s">
        <v>667</v>
      </c>
      <c r="I699" s="25">
        <v>93</v>
      </c>
      <c r="J699" s="4">
        <v>12000</v>
      </c>
      <c r="K699" t="s">
        <v>982</v>
      </c>
      <c r="L699" s="4" t="str">
        <f>VLOOKUP(K699, 'Items Master'!A:E,5,0)</f>
        <v>SABIC</v>
      </c>
      <c r="M699" s="4" t="str">
        <f>VLOOKUP(K699, 'Items Master'!A:D,4,0)</f>
        <v>HDPE</v>
      </c>
      <c r="N699" s="4" t="s">
        <v>24</v>
      </c>
      <c r="Q699" s="6">
        <v>45880</v>
      </c>
      <c r="R699" s="6" t="str">
        <f>TEXT(Q699, "MMM-YY")</f>
        <v>Aug-25</v>
      </c>
      <c r="W699" s="25">
        <v>93</v>
      </c>
      <c r="Y699"/>
      <c r="Z699"/>
      <c r="AB699"/>
      <c r="AC699"/>
      <c r="AD699"/>
      <c r="AE699"/>
      <c r="AF699"/>
      <c r="AG699"/>
      <c r="AH699"/>
      <c r="AI699"/>
      <c r="AJ699"/>
      <c r="AK699"/>
      <c r="AL699"/>
      <c r="AM699"/>
      <c r="AN699" s="9">
        <f t="shared" si="21"/>
        <v>0</v>
      </c>
      <c r="AO699" s="8"/>
      <c r="AP699" s="9">
        <f>I699-W699-X699-AN699</f>
        <v>0</v>
      </c>
      <c r="AQ699" t="s">
        <v>1316</v>
      </c>
    </row>
    <row r="700" spans="1:43" x14ac:dyDescent="0.3">
      <c r="A700" s="11">
        <f t="shared" si="22"/>
        <v>698</v>
      </c>
      <c r="B700" s="5" t="s">
        <v>1675</v>
      </c>
      <c r="C700" t="s">
        <v>893</v>
      </c>
      <c r="D700" s="24" t="s">
        <v>824</v>
      </c>
      <c r="E700" s="24" t="str">
        <f>IFERROR(VLOOKUP(D700,Dropdown!A:B,2,0),D700)</f>
        <v>Paragon</v>
      </c>
      <c r="F700" s="6">
        <v>45881</v>
      </c>
      <c r="G700" s="6" t="str">
        <f>TEXT(F700, "MMM-YY")</f>
        <v>Aug-25</v>
      </c>
      <c r="H700" t="s">
        <v>668</v>
      </c>
      <c r="I700" s="25">
        <v>104.89</v>
      </c>
      <c r="J700" s="4">
        <v>1500</v>
      </c>
      <c r="K700" t="s">
        <v>925</v>
      </c>
      <c r="L700" s="4" t="str">
        <f>VLOOKUP(K700, 'Items Master'!A:E,5,0)</f>
        <v>RIL</v>
      </c>
      <c r="M700" s="4" t="str">
        <f>VLOOKUP(K700, 'Items Master'!A:D,4,0)</f>
        <v>PP ICP</v>
      </c>
      <c r="N700" s="4" t="s">
        <v>49</v>
      </c>
      <c r="Q700" s="6">
        <v>45881</v>
      </c>
      <c r="R700" s="6" t="str">
        <f>TEXT(Q700, "MMM-YY")</f>
        <v>Aug-25</v>
      </c>
      <c r="X700" s="25">
        <v>104.89</v>
      </c>
      <c r="AB700"/>
      <c r="AC700"/>
      <c r="AD700"/>
      <c r="AE700"/>
      <c r="AF700"/>
      <c r="AG700"/>
      <c r="AH700"/>
      <c r="AI700"/>
      <c r="AJ700"/>
      <c r="AK700"/>
      <c r="AL700"/>
      <c r="AM700"/>
      <c r="AN700" s="9">
        <f t="shared" si="21"/>
        <v>0</v>
      </c>
      <c r="AO700" s="8"/>
      <c r="AP700" s="9">
        <f>I700-W700-X700-AN700</f>
        <v>0</v>
      </c>
      <c r="AQ700" t="s">
        <v>1324</v>
      </c>
    </row>
    <row r="701" spans="1:43" x14ac:dyDescent="0.3">
      <c r="A701" s="11">
        <f t="shared" si="22"/>
        <v>699</v>
      </c>
      <c r="B701" s="5" t="s">
        <v>1675</v>
      </c>
      <c r="C701" t="s">
        <v>893</v>
      </c>
      <c r="D701" s="24" t="s">
        <v>48</v>
      </c>
      <c r="E701" s="24" t="str">
        <f>IFERROR(VLOOKUP(D701,Dropdown!A:B,2,0),D701)</f>
        <v>CVPL</v>
      </c>
      <c r="F701" s="6">
        <v>45881</v>
      </c>
      <c r="G701" s="6" t="str">
        <f>TEXT(F701, "MMM-YY")</f>
        <v>Aug-25</v>
      </c>
      <c r="H701" t="s">
        <v>669</v>
      </c>
      <c r="I701" s="25">
        <v>100.37</v>
      </c>
      <c r="J701" s="4">
        <v>500</v>
      </c>
      <c r="K701" t="s">
        <v>952</v>
      </c>
      <c r="L701" s="4" t="str">
        <f>VLOOKUP(K701, 'Items Master'!A:E,5,0)</f>
        <v>GAIL</v>
      </c>
      <c r="M701" s="4" t="str">
        <f>VLOOKUP(K701, 'Items Master'!A:D,4,0)</f>
        <v>HDPE</v>
      </c>
      <c r="N701" s="4" t="s">
        <v>49</v>
      </c>
      <c r="O701" t="s">
        <v>1298</v>
      </c>
      <c r="Q701" s="6">
        <v>45881</v>
      </c>
      <c r="R701" s="6" t="str">
        <f>TEXT(Q701, "MMM-YY")</f>
        <v>Aug-25</v>
      </c>
      <c r="X701" s="25">
        <v>96.59</v>
      </c>
      <c r="AB701"/>
      <c r="AC701"/>
      <c r="AD701"/>
      <c r="AE701"/>
      <c r="AF701"/>
      <c r="AG701"/>
      <c r="AH701"/>
      <c r="AI701"/>
      <c r="AJ701"/>
      <c r="AK701"/>
      <c r="AL701"/>
      <c r="AM701"/>
      <c r="AN701" s="9">
        <f t="shared" si="21"/>
        <v>0</v>
      </c>
      <c r="AO701" s="8"/>
      <c r="AP701" s="9">
        <f>I701-W701-X701-AN701</f>
        <v>3.7800000000000011</v>
      </c>
      <c r="AQ701" t="s">
        <v>1324</v>
      </c>
    </row>
    <row r="702" spans="1:43" x14ac:dyDescent="0.3">
      <c r="A702" s="11">
        <f t="shared" si="22"/>
        <v>700</v>
      </c>
      <c r="B702" s="5" t="s">
        <v>1675</v>
      </c>
      <c r="C702" t="s">
        <v>893</v>
      </c>
      <c r="D702" s="24" t="s">
        <v>48</v>
      </c>
      <c r="E702" s="24" t="str">
        <f>IFERROR(VLOOKUP(D702,Dropdown!A:B,2,0),D702)</f>
        <v>CVPL</v>
      </c>
      <c r="F702" s="6">
        <v>45881</v>
      </c>
      <c r="G702" s="6" t="str">
        <f>TEXT(F702, "MMM-YY")</f>
        <v>Aug-25</v>
      </c>
      <c r="H702" t="s">
        <v>670</v>
      </c>
      <c r="I702" s="25">
        <v>99.25</v>
      </c>
      <c r="J702" s="4">
        <v>1500</v>
      </c>
      <c r="K702" t="s">
        <v>956</v>
      </c>
      <c r="L702" s="4" t="str">
        <f>VLOOKUP(K702, 'Items Master'!A:E,5,0)</f>
        <v>GAIL</v>
      </c>
      <c r="M702" s="4" t="str">
        <f>VLOOKUP(K702, 'Items Master'!A:D,4,0)</f>
        <v>HDPE</v>
      </c>
      <c r="N702" s="4" t="s">
        <v>49</v>
      </c>
      <c r="O702" t="s">
        <v>1298</v>
      </c>
      <c r="Q702" s="6">
        <v>45881</v>
      </c>
      <c r="R702" s="6" t="str">
        <f>TEXT(Q702, "MMM-YY")</f>
        <v>Aug-25</v>
      </c>
      <c r="X702" s="25">
        <v>94.47</v>
      </c>
      <c r="AB702"/>
      <c r="AC702"/>
      <c r="AD702"/>
      <c r="AE702"/>
      <c r="AF702"/>
      <c r="AG702"/>
      <c r="AH702"/>
      <c r="AI702"/>
      <c r="AJ702"/>
      <c r="AK702"/>
      <c r="AL702"/>
      <c r="AM702"/>
      <c r="AN702" s="9">
        <f t="shared" si="21"/>
        <v>0</v>
      </c>
      <c r="AO702" s="8"/>
      <c r="AP702" s="9">
        <f>I702-W702-X702-AN702</f>
        <v>4.7800000000000011</v>
      </c>
      <c r="AQ702" t="s">
        <v>1324</v>
      </c>
    </row>
    <row r="703" spans="1:43" x14ac:dyDescent="0.3">
      <c r="A703" s="11">
        <f t="shared" si="22"/>
        <v>701</v>
      </c>
      <c r="B703" s="5" t="s">
        <v>1675</v>
      </c>
      <c r="C703" t="s">
        <v>893</v>
      </c>
      <c r="D703" s="24" t="s">
        <v>48</v>
      </c>
      <c r="E703" s="24" t="str">
        <f>IFERROR(VLOOKUP(D703,Dropdown!A:B,2,0),D703)</f>
        <v>CVPL</v>
      </c>
      <c r="F703" s="6">
        <v>45881</v>
      </c>
      <c r="G703" s="6" t="str">
        <f>TEXT(F703, "MMM-YY")</f>
        <v>Aug-25</v>
      </c>
      <c r="H703" t="s">
        <v>670</v>
      </c>
      <c r="I703" s="25">
        <v>105.25</v>
      </c>
      <c r="J703" s="4">
        <v>100</v>
      </c>
      <c r="K703" t="s">
        <v>1009</v>
      </c>
      <c r="L703" s="4" t="str">
        <f>VLOOKUP(K703, 'Items Master'!A:E,5,0)</f>
        <v>OPAL</v>
      </c>
      <c r="M703" s="4" t="str">
        <f>VLOOKUP(K703, 'Items Master'!A:D,4,0)</f>
        <v>LLDPE</v>
      </c>
      <c r="N703" s="4" t="s">
        <v>24</v>
      </c>
      <c r="Q703" s="6">
        <v>45881</v>
      </c>
      <c r="R703" s="6" t="str">
        <f>TEXT(Q703, "MMM-YY")</f>
        <v>Aug-25</v>
      </c>
      <c r="W703" s="25">
        <v>105.25</v>
      </c>
      <c r="Y703"/>
      <c r="Z703"/>
      <c r="AB703"/>
      <c r="AC703"/>
      <c r="AD703"/>
      <c r="AE703"/>
      <c r="AF703"/>
      <c r="AG703"/>
      <c r="AH703"/>
      <c r="AI703"/>
      <c r="AJ703"/>
      <c r="AK703"/>
      <c r="AL703"/>
      <c r="AM703"/>
      <c r="AN703" s="9">
        <f t="shared" si="21"/>
        <v>0</v>
      </c>
      <c r="AO703" s="8"/>
      <c r="AP703" s="9">
        <f>I703-W703-X703-AN703</f>
        <v>0</v>
      </c>
      <c r="AQ703" t="s">
        <v>1316</v>
      </c>
    </row>
    <row r="704" spans="1:43" x14ac:dyDescent="0.3">
      <c r="A704" s="11">
        <f t="shared" si="22"/>
        <v>702</v>
      </c>
      <c r="B704" s="5" t="s">
        <v>1675</v>
      </c>
      <c r="C704" t="s">
        <v>893</v>
      </c>
      <c r="D704" s="24" t="s">
        <v>857</v>
      </c>
      <c r="E704" s="24" t="str">
        <f>IFERROR(VLOOKUP(D704,Dropdown!A:B,2,0),D704)</f>
        <v>Purav</v>
      </c>
      <c r="F704" s="6">
        <v>45882</v>
      </c>
      <c r="G704" s="6" t="str">
        <f>TEXT(F704, "MMM-YY")</f>
        <v>Aug-25</v>
      </c>
      <c r="H704" t="s">
        <v>671</v>
      </c>
      <c r="I704" s="25">
        <v>98</v>
      </c>
      <c r="J704" s="4">
        <v>10000</v>
      </c>
      <c r="K704" t="s">
        <v>17</v>
      </c>
      <c r="L704" s="4" t="str">
        <f>VLOOKUP(K704, 'Items Master'!A:E,5,0)</f>
        <v>OPAL</v>
      </c>
      <c r="M704" s="4" t="str">
        <f>VLOOKUP(K704, 'Items Master'!A:D,4,0)</f>
        <v>LLDPE</v>
      </c>
      <c r="N704" s="4" t="s">
        <v>49</v>
      </c>
      <c r="O704" t="s">
        <v>1298</v>
      </c>
      <c r="Q704" s="6">
        <v>45882</v>
      </c>
      <c r="R704" s="6" t="str">
        <f>TEXT(Q704, "MMM-YY")</f>
        <v>Aug-25</v>
      </c>
      <c r="S704" t="s">
        <v>21</v>
      </c>
      <c r="U704" t="s">
        <v>1605</v>
      </c>
      <c r="X704" s="25">
        <v>98.8</v>
      </c>
      <c r="AB704" s="8">
        <v>-0.9</v>
      </c>
      <c r="AH704" s="8">
        <v>0.1</v>
      </c>
      <c r="AN704" s="9">
        <f t="shared" si="21"/>
        <v>-0.8</v>
      </c>
      <c r="AO704" s="8"/>
      <c r="AP704" s="9">
        <f>I704-W704-X704-AN704</f>
        <v>2.886579864025407E-15</v>
      </c>
      <c r="AQ704" t="s">
        <v>1316</v>
      </c>
    </row>
    <row r="705" spans="1:43" x14ac:dyDescent="0.3">
      <c r="A705" s="11">
        <f t="shared" si="22"/>
        <v>703</v>
      </c>
      <c r="B705" s="5" t="s">
        <v>1675</v>
      </c>
      <c r="C705" t="s">
        <v>893</v>
      </c>
      <c r="D705" s="24" t="s">
        <v>857</v>
      </c>
      <c r="E705" s="24" t="str">
        <f>IFERROR(VLOOKUP(D705,Dropdown!A:B,2,0),D705)</f>
        <v>Purav</v>
      </c>
      <c r="F705" s="6">
        <v>45882</v>
      </c>
      <c r="G705" s="6" t="str">
        <f>TEXT(F705, "MMM-YY")</f>
        <v>Aug-25</v>
      </c>
      <c r="H705" t="s">
        <v>672</v>
      </c>
      <c r="I705" s="25">
        <v>98.25</v>
      </c>
      <c r="J705" s="4">
        <v>12000</v>
      </c>
      <c r="K705" t="s">
        <v>898</v>
      </c>
      <c r="L705" s="4" t="str">
        <f>VLOOKUP(K705, 'Items Master'!A:E,5,0)</f>
        <v>OPAL</v>
      </c>
      <c r="M705" s="4" t="str">
        <f>VLOOKUP(K705, 'Items Master'!A:D,4,0)</f>
        <v>LLDPE</v>
      </c>
      <c r="N705" s="4" t="s">
        <v>49</v>
      </c>
      <c r="O705" t="s">
        <v>1298</v>
      </c>
      <c r="Q705" s="6">
        <v>45882</v>
      </c>
      <c r="R705" s="6" t="str">
        <f>TEXT(Q705, "MMM-YY")</f>
        <v>Aug-25</v>
      </c>
      <c r="S705" t="s">
        <v>21</v>
      </c>
      <c r="U705" t="s">
        <v>1605</v>
      </c>
      <c r="X705" s="25">
        <v>99.05</v>
      </c>
      <c r="AB705" s="8">
        <v>-0.9</v>
      </c>
      <c r="AH705" s="8">
        <v>0.1</v>
      </c>
      <c r="AN705" s="9">
        <f t="shared" si="21"/>
        <v>-0.8</v>
      </c>
      <c r="AO705" s="8"/>
      <c r="AP705" s="9">
        <f>I705-W705-X705-AN705</f>
        <v>2.886579864025407E-15</v>
      </c>
      <c r="AQ705" t="s">
        <v>1316</v>
      </c>
    </row>
    <row r="706" spans="1:43" x14ac:dyDescent="0.3">
      <c r="A706" s="11">
        <f t="shared" si="22"/>
        <v>704</v>
      </c>
      <c r="B706" s="5" t="s">
        <v>1675</v>
      </c>
      <c r="C706" t="s">
        <v>893</v>
      </c>
      <c r="D706" s="24" t="s">
        <v>48</v>
      </c>
      <c r="E706" s="24" t="str">
        <f>IFERROR(VLOOKUP(D706,Dropdown!A:B,2,0),D706)</f>
        <v>CVPL</v>
      </c>
      <c r="F706" s="6">
        <v>45882</v>
      </c>
      <c r="G706" s="6" t="str">
        <f>TEXT(F706, "MMM-YY")</f>
        <v>Aug-25</v>
      </c>
      <c r="H706" t="s">
        <v>673</v>
      </c>
      <c r="I706" s="25">
        <v>93.25</v>
      </c>
      <c r="J706" s="4">
        <v>2500</v>
      </c>
      <c r="K706" t="s">
        <v>914</v>
      </c>
      <c r="L706" s="4" t="str">
        <f>VLOOKUP(K706, 'Items Master'!A:E,5,0)</f>
        <v>HMEL</v>
      </c>
      <c r="M706" s="4" t="str">
        <f>VLOOKUP(K706, 'Items Master'!A:D,4,0)</f>
        <v>LLDPE</v>
      </c>
      <c r="N706" s="4" t="s">
        <v>24</v>
      </c>
      <c r="Q706" s="6">
        <v>45882</v>
      </c>
      <c r="R706" s="6" t="str">
        <f>TEXT(Q706, "MMM-YY")</f>
        <v>Aug-25</v>
      </c>
      <c r="W706" s="25">
        <v>93.25</v>
      </c>
      <c r="Y706"/>
      <c r="Z706"/>
      <c r="AB706"/>
      <c r="AC706"/>
      <c r="AD706"/>
      <c r="AE706"/>
      <c r="AF706"/>
      <c r="AG706"/>
      <c r="AH706"/>
      <c r="AI706"/>
      <c r="AJ706"/>
      <c r="AK706"/>
      <c r="AL706"/>
      <c r="AM706"/>
      <c r="AN706" s="9">
        <f t="shared" si="21"/>
        <v>0</v>
      </c>
      <c r="AO706" s="8"/>
      <c r="AP706" s="9">
        <f>I706-W706-X706-AN706</f>
        <v>0</v>
      </c>
      <c r="AQ706" t="s">
        <v>1316</v>
      </c>
    </row>
    <row r="707" spans="1:43" x14ac:dyDescent="0.3">
      <c r="A707" s="11">
        <f t="shared" si="22"/>
        <v>705</v>
      </c>
      <c r="B707" s="5" t="s">
        <v>1675</v>
      </c>
      <c r="C707" t="s">
        <v>894</v>
      </c>
      <c r="D707" s="24" t="s">
        <v>855</v>
      </c>
      <c r="E707" s="24" t="str">
        <f>IFERROR(VLOOKUP(D707,Dropdown!A:B,2,0),D707)</f>
        <v>TEGRAL INDIA PRIVATE LIMITED</v>
      </c>
      <c r="F707" s="6">
        <v>45882</v>
      </c>
      <c r="G707" s="6" t="str">
        <f>TEXT(F707, "MMM-YY")</f>
        <v>Aug-25</v>
      </c>
      <c r="H707" t="s">
        <v>674</v>
      </c>
      <c r="I707" s="25">
        <v>94.11</v>
      </c>
      <c r="J707" s="4">
        <v>12000</v>
      </c>
      <c r="K707" t="s">
        <v>909</v>
      </c>
      <c r="L707" s="4" t="str">
        <f>VLOOKUP(K707, 'Items Master'!A:E,5,0)</f>
        <v>LUBAN</v>
      </c>
      <c r="M707" s="4" t="str">
        <f>VLOOKUP(K707, 'Items Master'!A:D,4,0)</f>
        <v>HDPE</v>
      </c>
      <c r="N707" s="4" t="s">
        <v>24</v>
      </c>
      <c r="Q707" s="6">
        <v>45882</v>
      </c>
      <c r="R707" s="6" t="str">
        <f>TEXT(Q707, "MMM-YY")</f>
        <v>Aug-25</v>
      </c>
      <c r="W707" s="25">
        <v>94.11</v>
      </c>
      <c r="Y707"/>
      <c r="Z707"/>
      <c r="AB707"/>
      <c r="AC707"/>
      <c r="AD707"/>
      <c r="AE707"/>
      <c r="AF707"/>
      <c r="AG707"/>
      <c r="AH707"/>
      <c r="AI707"/>
      <c r="AJ707"/>
      <c r="AK707"/>
      <c r="AL707"/>
      <c r="AM707"/>
      <c r="AN707" s="9">
        <f t="shared" si="21"/>
        <v>0</v>
      </c>
      <c r="AO707" s="8"/>
      <c r="AP707" s="9">
        <f>I707-W707-X707-AN707</f>
        <v>0</v>
      </c>
      <c r="AQ707" t="s">
        <v>1316</v>
      </c>
    </row>
    <row r="708" spans="1:43" x14ac:dyDescent="0.3">
      <c r="A708" s="11">
        <f t="shared" si="22"/>
        <v>706</v>
      </c>
      <c r="B708" s="5" t="s">
        <v>1675</v>
      </c>
      <c r="C708" t="s">
        <v>893</v>
      </c>
      <c r="D708" s="24" t="s">
        <v>48</v>
      </c>
      <c r="E708" s="24" t="str">
        <f>IFERROR(VLOOKUP(D708,Dropdown!A:B,2,0),D708)</f>
        <v>CVPL</v>
      </c>
      <c r="F708" s="6">
        <v>45882</v>
      </c>
      <c r="G708" s="6" t="str">
        <f>TEXT(F708, "MMM-YY")</f>
        <v>Aug-25</v>
      </c>
      <c r="H708" t="s">
        <v>675</v>
      </c>
      <c r="I708" s="25">
        <v>99.99</v>
      </c>
      <c r="J708" s="4">
        <v>3000</v>
      </c>
      <c r="K708" t="s">
        <v>17</v>
      </c>
      <c r="L708" s="4" t="str">
        <f>VLOOKUP(K708, 'Items Master'!A:E,5,0)</f>
        <v>OPAL</v>
      </c>
      <c r="M708" s="4" t="str">
        <f>VLOOKUP(K708, 'Items Master'!A:D,4,0)</f>
        <v>LLDPE</v>
      </c>
      <c r="N708" s="4" t="s">
        <v>49</v>
      </c>
      <c r="O708" t="s">
        <v>1301</v>
      </c>
      <c r="Q708" s="6">
        <v>45882</v>
      </c>
      <c r="R708" s="6" t="str">
        <f>TEXT(Q708, "MMM-YY")</f>
        <v>Aug-25</v>
      </c>
      <c r="X708" s="25">
        <v>99.79</v>
      </c>
      <c r="AB708"/>
      <c r="AC708"/>
      <c r="AD708"/>
      <c r="AE708"/>
      <c r="AF708"/>
      <c r="AG708"/>
      <c r="AH708"/>
      <c r="AI708"/>
      <c r="AJ708"/>
      <c r="AK708"/>
      <c r="AL708"/>
      <c r="AM708"/>
      <c r="AN708" s="9">
        <f t="shared" ref="AN708:AN772" si="23">SUM(AB708:AM708)</f>
        <v>0</v>
      </c>
      <c r="AO708" s="8"/>
      <c r="AP708" s="9">
        <f>I708-W708-X708-AN708</f>
        <v>0.19999999999998863</v>
      </c>
      <c r="AQ708" t="s">
        <v>1324</v>
      </c>
    </row>
    <row r="709" spans="1:43" x14ac:dyDescent="0.3">
      <c r="A709" s="11">
        <f t="shared" si="22"/>
        <v>707</v>
      </c>
      <c r="B709" s="5" t="s">
        <v>1675</v>
      </c>
      <c r="C709" t="s">
        <v>893</v>
      </c>
      <c r="D709" s="24" t="s">
        <v>48</v>
      </c>
      <c r="E709" s="24" t="str">
        <f>IFERROR(VLOOKUP(D709,Dropdown!A:B,2,0),D709)</f>
        <v>CVPL</v>
      </c>
      <c r="F709" s="6">
        <v>45882</v>
      </c>
      <c r="G709" s="6" t="str">
        <f>TEXT(F709, "MMM-YY")</f>
        <v>Aug-25</v>
      </c>
      <c r="H709" t="s">
        <v>676</v>
      </c>
      <c r="I709" s="25">
        <v>100.37</v>
      </c>
      <c r="J709" s="4">
        <v>4500</v>
      </c>
      <c r="K709" t="s">
        <v>952</v>
      </c>
      <c r="L709" s="4" t="str">
        <f>VLOOKUP(K709, 'Items Master'!A:E,5,0)</f>
        <v>GAIL</v>
      </c>
      <c r="M709" s="4" t="str">
        <f>VLOOKUP(K709, 'Items Master'!A:D,4,0)</f>
        <v>HDPE</v>
      </c>
      <c r="N709" s="4" t="s">
        <v>49</v>
      </c>
      <c r="O709" t="s">
        <v>1298</v>
      </c>
      <c r="Q709" s="6">
        <v>45882</v>
      </c>
      <c r="R709" s="6" t="str">
        <f>TEXT(Q709, "MMM-YY")</f>
        <v>Aug-25</v>
      </c>
      <c r="X709" s="25">
        <v>99.87</v>
      </c>
      <c r="AB709"/>
      <c r="AC709"/>
      <c r="AD709"/>
      <c r="AE709"/>
      <c r="AF709"/>
      <c r="AG709"/>
      <c r="AH709"/>
      <c r="AI709"/>
      <c r="AJ709"/>
      <c r="AK709"/>
      <c r="AL709"/>
      <c r="AM709"/>
      <c r="AN709" s="9">
        <f t="shared" si="23"/>
        <v>0</v>
      </c>
      <c r="AO709" s="8"/>
      <c r="AP709" s="9">
        <f>I709-W709-X709-AN709</f>
        <v>0.5</v>
      </c>
      <c r="AQ709" t="s">
        <v>1324</v>
      </c>
    </row>
    <row r="710" spans="1:43" x14ac:dyDescent="0.3">
      <c r="A710" s="11">
        <f t="shared" si="22"/>
        <v>708</v>
      </c>
      <c r="B710" s="5" t="s">
        <v>1675</v>
      </c>
      <c r="C710" t="s">
        <v>893</v>
      </c>
      <c r="D710" s="24" t="s">
        <v>48</v>
      </c>
      <c r="E710" s="24" t="str">
        <f>IFERROR(VLOOKUP(D710,Dropdown!A:B,2,0),D710)</f>
        <v>CVPL</v>
      </c>
      <c r="F710" s="6">
        <v>45882</v>
      </c>
      <c r="G710" s="6" t="str">
        <f>TEXT(F710, "MMM-YY")</f>
        <v>Aug-25</v>
      </c>
      <c r="H710" t="s">
        <v>677</v>
      </c>
      <c r="I710" s="25">
        <v>100.37</v>
      </c>
      <c r="J710" s="4">
        <v>500</v>
      </c>
      <c r="K710" t="s">
        <v>952</v>
      </c>
      <c r="L710" s="4" t="str">
        <f>VLOOKUP(K710, 'Items Master'!A:E,5,0)</f>
        <v>GAIL</v>
      </c>
      <c r="M710" s="4" t="str">
        <f>VLOOKUP(K710, 'Items Master'!A:D,4,0)</f>
        <v>HDPE</v>
      </c>
      <c r="N710" s="4" t="s">
        <v>49</v>
      </c>
      <c r="O710" t="s">
        <v>1298</v>
      </c>
      <c r="Q710" s="6">
        <v>45882</v>
      </c>
      <c r="R710" s="6" t="str">
        <f>TEXT(Q710, "MMM-YY")</f>
        <v>Aug-25</v>
      </c>
      <c r="X710" s="25">
        <v>99.87</v>
      </c>
      <c r="AB710"/>
      <c r="AC710"/>
      <c r="AD710"/>
      <c r="AE710"/>
      <c r="AF710"/>
      <c r="AG710"/>
      <c r="AH710"/>
      <c r="AI710"/>
      <c r="AJ710"/>
      <c r="AK710"/>
      <c r="AL710"/>
      <c r="AM710"/>
      <c r="AN710" s="9">
        <f t="shared" si="23"/>
        <v>0</v>
      </c>
      <c r="AO710" s="8"/>
      <c r="AP710" s="9">
        <f>I710-W710-X710-AN710</f>
        <v>0.5</v>
      </c>
      <c r="AQ710" t="s">
        <v>1324</v>
      </c>
    </row>
    <row r="711" spans="1:43" x14ac:dyDescent="0.3">
      <c r="A711" s="11">
        <f t="shared" ref="A711:A775" si="24">A710+1</f>
        <v>709</v>
      </c>
      <c r="B711" s="5" t="s">
        <v>1675</v>
      </c>
      <c r="C711" t="s">
        <v>893</v>
      </c>
      <c r="D711" s="24" t="s">
        <v>48</v>
      </c>
      <c r="E711" s="24" t="str">
        <f>IFERROR(VLOOKUP(D711,Dropdown!A:B,2,0),D711)</f>
        <v>CVPL</v>
      </c>
      <c r="F711" s="6">
        <v>45882</v>
      </c>
      <c r="G711" s="6" t="str">
        <f>TEXT(F711, "MMM-YY")</f>
        <v>Aug-25</v>
      </c>
      <c r="H711" t="s">
        <v>678</v>
      </c>
      <c r="I711" s="25">
        <v>93.25</v>
      </c>
      <c r="J711" s="4">
        <v>2500</v>
      </c>
      <c r="K711" t="s">
        <v>914</v>
      </c>
      <c r="L711" s="4" t="str">
        <f>VLOOKUP(K711, 'Items Master'!A:E,5,0)</f>
        <v>HMEL</v>
      </c>
      <c r="M711" s="4" t="str">
        <f>VLOOKUP(K711, 'Items Master'!A:D,4,0)</f>
        <v>LLDPE</v>
      </c>
      <c r="N711" s="4" t="s">
        <v>24</v>
      </c>
      <c r="Q711" s="6">
        <v>45882</v>
      </c>
      <c r="R711" s="6" t="str">
        <f>TEXT(Q711, "MMM-YY")</f>
        <v>Aug-25</v>
      </c>
      <c r="W711" s="25">
        <v>93.25</v>
      </c>
      <c r="Y711"/>
      <c r="Z711"/>
      <c r="AB711"/>
      <c r="AC711"/>
      <c r="AD711"/>
      <c r="AE711"/>
      <c r="AF711"/>
      <c r="AG711"/>
      <c r="AH711"/>
      <c r="AI711"/>
      <c r="AJ711"/>
      <c r="AK711"/>
      <c r="AL711"/>
      <c r="AM711"/>
      <c r="AN711" s="9">
        <f t="shared" si="23"/>
        <v>0</v>
      </c>
      <c r="AO711" s="8"/>
      <c r="AP711" s="9">
        <f>I711-W711-X711-AN711</f>
        <v>0</v>
      </c>
      <c r="AQ711" t="s">
        <v>1316</v>
      </c>
    </row>
    <row r="712" spans="1:43" x14ac:dyDescent="0.3">
      <c r="A712" s="11">
        <f t="shared" si="24"/>
        <v>710</v>
      </c>
      <c r="B712" s="5" t="s">
        <v>1675</v>
      </c>
      <c r="C712" t="s">
        <v>893</v>
      </c>
      <c r="D712" s="24" t="s">
        <v>887</v>
      </c>
      <c r="E712" s="24" t="str">
        <f>IFERROR(VLOOKUP(D712,Dropdown!A:B,2,0),D712)</f>
        <v>J  P  POLYMERS PRIVATE LIMITED</v>
      </c>
      <c r="F712" s="6">
        <v>45882</v>
      </c>
      <c r="G712" s="6" t="str">
        <f>TEXT(F712, "MMM-YY")</f>
        <v>Aug-25</v>
      </c>
      <c r="H712" t="s">
        <v>679</v>
      </c>
      <c r="I712" s="25">
        <v>158</v>
      </c>
      <c r="J712" s="4">
        <v>500</v>
      </c>
      <c r="K712" t="s">
        <v>1010</v>
      </c>
      <c r="L712" s="4" t="str">
        <f>VLOOKUP(K712, 'Items Master'!A:E,5,0)</f>
        <v>NA</v>
      </c>
      <c r="M712" s="4" t="str">
        <f>VLOOKUP(K712, 'Items Master'!A:D,4,0)</f>
        <v>POM</v>
      </c>
      <c r="N712" s="4" t="s">
        <v>24</v>
      </c>
      <c r="Q712" s="6">
        <v>45882</v>
      </c>
      <c r="R712" s="6" t="str">
        <f>TEXT(Q712, "MMM-YY")</f>
        <v>Aug-25</v>
      </c>
      <c r="W712" s="25">
        <v>158</v>
      </c>
      <c r="Y712"/>
      <c r="Z712"/>
      <c r="AB712"/>
      <c r="AC712"/>
      <c r="AD712"/>
      <c r="AE712"/>
      <c r="AF712"/>
      <c r="AG712"/>
      <c r="AH712"/>
      <c r="AI712"/>
      <c r="AJ712"/>
      <c r="AK712"/>
      <c r="AL712"/>
      <c r="AM712"/>
      <c r="AN712" s="9">
        <f t="shared" si="23"/>
        <v>0</v>
      </c>
      <c r="AO712" s="8"/>
      <c r="AP712" s="9">
        <f>I712-W712-X712-AN712</f>
        <v>0</v>
      </c>
      <c r="AQ712" t="s">
        <v>1316</v>
      </c>
    </row>
    <row r="713" spans="1:43" x14ac:dyDescent="0.3">
      <c r="A713" s="11">
        <f t="shared" si="24"/>
        <v>711</v>
      </c>
      <c r="B713" s="5" t="s">
        <v>1675</v>
      </c>
      <c r="C713" t="s">
        <v>893</v>
      </c>
      <c r="D713" s="24" t="s">
        <v>880</v>
      </c>
      <c r="E713" s="24" t="str">
        <f>IFERROR(VLOOKUP(D713,Dropdown!A:B,2,0),D713)</f>
        <v>ORGANIC INDUSTRIES  PRIVATE LIMITED</v>
      </c>
      <c r="F713" s="6">
        <v>45883</v>
      </c>
      <c r="G713" s="6" t="str">
        <f>TEXT(F713, "MMM-YY")</f>
        <v>Aug-25</v>
      </c>
      <c r="H713" t="s">
        <v>680</v>
      </c>
      <c r="I713" s="25">
        <v>0.39</v>
      </c>
      <c r="J713" s="4">
        <v>115000</v>
      </c>
      <c r="K713" t="s">
        <v>995</v>
      </c>
      <c r="L713" s="4" t="str">
        <f>VLOOKUP(K713, 'Items Master'!A:E,5,0)</f>
        <v>MD</v>
      </c>
      <c r="M713" s="4" t="str">
        <f>VLOOKUP(K713, 'Items Master'!A:D,4,0)</f>
        <v>PET Closure</v>
      </c>
      <c r="N713" s="4" t="s">
        <v>24</v>
      </c>
      <c r="Q713" s="6">
        <v>45883</v>
      </c>
      <c r="R713" s="6" t="str">
        <f>TEXT(Q713, "MMM-YY")</f>
        <v>Aug-25</v>
      </c>
      <c r="W713" s="25">
        <v>0.39</v>
      </c>
      <c r="Y713"/>
      <c r="Z713"/>
      <c r="AB713"/>
      <c r="AC713"/>
      <c r="AD713"/>
      <c r="AE713"/>
      <c r="AF713"/>
      <c r="AG713"/>
      <c r="AH713"/>
      <c r="AI713"/>
      <c r="AJ713"/>
      <c r="AK713"/>
      <c r="AL713"/>
      <c r="AM713"/>
      <c r="AN713" s="9">
        <f t="shared" si="23"/>
        <v>0</v>
      </c>
      <c r="AO713" s="8"/>
      <c r="AP713" s="9">
        <f>I713-W713-X713-AN713</f>
        <v>0</v>
      </c>
      <c r="AQ713" t="s">
        <v>1316</v>
      </c>
    </row>
    <row r="714" spans="1:43" x14ac:dyDescent="0.3">
      <c r="A714" s="11">
        <f t="shared" si="24"/>
        <v>712</v>
      </c>
      <c r="B714" s="5" t="s">
        <v>1675</v>
      </c>
      <c r="C714" t="s">
        <v>893</v>
      </c>
      <c r="D714" s="24" t="s">
        <v>880</v>
      </c>
      <c r="E714" s="24" t="str">
        <f>IFERROR(VLOOKUP(D714,Dropdown!A:B,2,0),D714)</f>
        <v>ORGANIC INDUSTRIES  PRIVATE LIMITED</v>
      </c>
      <c r="F714" s="6">
        <v>45883</v>
      </c>
      <c r="G714" s="6" t="str">
        <f>TEXT(F714, "MMM-YY")</f>
        <v>Aug-25</v>
      </c>
      <c r="H714" t="s">
        <v>680</v>
      </c>
      <c r="I714" s="25">
        <v>0.39</v>
      </c>
      <c r="J714" s="4">
        <v>35000</v>
      </c>
      <c r="K714" t="s">
        <v>1011</v>
      </c>
      <c r="L714" s="4" t="str">
        <f>VLOOKUP(K714, 'Items Master'!A:E,5,0)</f>
        <v>NA</v>
      </c>
      <c r="M714" s="4" t="str">
        <f>VLOOKUP(K714, 'Items Master'!A:D,4,0)</f>
        <v>CLOSURE</v>
      </c>
      <c r="N714" s="4" t="s">
        <v>24</v>
      </c>
      <c r="Q714" s="6">
        <v>45883</v>
      </c>
      <c r="R714" s="6" t="str">
        <f>TEXT(Q714, "MMM-YY")</f>
        <v>Aug-25</v>
      </c>
      <c r="W714" s="25">
        <v>0.39</v>
      </c>
      <c r="Y714"/>
      <c r="Z714"/>
      <c r="AB714"/>
      <c r="AC714"/>
      <c r="AD714"/>
      <c r="AE714"/>
      <c r="AF714"/>
      <c r="AG714"/>
      <c r="AH714"/>
      <c r="AI714"/>
      <c r="AJ714"/>
      <c r="AK714"/>
      <c r="AL714"/>
      <c r="AM714"/>
      <c r="AN714" s="9">
        <f t="shared" si="23"/>
        <v>0</v>
      </c>
      <c r="AO714" s="8"/>
      <c r="AP714" s="9">
        <f>I714-W714-X714-AN714</f>
        <v>0</v>
      </c>
      <c r="AQ714" t="s">
        <v>1316</v>
      </c>
    </row>
    <row r="715" spans="1:43" x14ac:dyDescent="0.3">
      <c r="A715" s="11">
        <f t="shared" si="24"/>
        <v>713</v>
      </c>
      <c r="B715" s="5" t="s">
        <v>1675</v>
      </c>
      <c r="C715" t="s">
        <v>893</v>
      </c>
      <c r="D715" s="24" t="s">
        <v>864</v>
      </c>
      <c r="E715" s="24" t="str">
        <f>IFERROR(VLOOKUP(D715,Dropdown!A:B,2,0),D715)</f>
        <v>SVP</v>
      </c>
      <c r="F715" s="6">
        <v>45883</v>
      </c>
      <c r="G715" s="6" t="str">
        <f>TEXT(F715, "MMM-YY")</f>
        <v>Aug-25</v>
      </c>
      <c r="H715" t="s">
        <v>681</v>
      </c>
      <c r="I715" s="25">
        <v>96.2</v>
      </c>
      <c r="J715" s="4">
        <v>1500</v>
      </c>
      <c r="K715" t="s">
        <v>975</v>
      </c>
      <c r="L715" s="4" t="str">
        <f>VLOOKUP(K715, 'Items Master'!A:E,5,0)</f>
        <v>HMEL</v>
      </c>
      <c r="M715" s="4" t="str">
        <f>VLOOKUP(K715, 'Items Master'!A:D,4,0)</f>
        <v>LLDPE</v>
      </c>
      <c r="N715" s="4" t="s">
        <v>49</v>
      </c>
      <c r="Q715" s="6">
        <v>45883</v>
      </c>
      <c r="R715" s="6" t="str">
        <f>TEXT(Q715, "MMM-YY")</f>
        <v>Aug-25</v>
      </c>
      <c r="X715" s="25">
        <v>99.3</v>
      </c>
      <c r="Y715" t="s">
        <v>1303</v>
      </c>
      <c r="Z715" t="s">
        <v>1305</v>
      </c>
      <c r="AB715" s="8">
        <v>-1.1000000000000001</v>
      </c>
      <c r="AC715" s="8">
        <v>-1</v>
      </c>
      <c r="AD715" s="8">
        <v>-1</v>
      </c>
      <c r="AN715" s="9">
        <f t="shared" si="23"/>
        <v>-3.1</v>
      </c>
      <c r="AO715" s="8"/>
      <c r="AP715" s="9">
        <f>I715-W715-X715-AN715</f>
        <v>5.773159728050814E-15</v>
      </c>
      <c r="AQ715" t="s">
        <v>1316</v>
      </c>
    </row>
    <row r="716" spans="1:43" x14ac:dyDescent="0.3">
      <c r="A716" s="11">
        <f t="shared" si="24"/>
        <v>714</v>
      </c>
      <c r="B716" s="5" t="s">
        <v>1675</v>
      </c>
      <c r="C716" t="s">
        <v>893</v>
      </c>
      <c r="D716" s="24" t="s">
        <v>48</v>
      </c>
      <c r="E716" s="24" t="str">
        <f>IFERROR(VLOOKUP(D716,Dropdown!A:B,2,0),D716)</f>
        <v>CVPL</v>
      </c>
      <c r="F716" s="6">
        <v>45883</v>
      </c>
      <c r="G716" s="6" t="str">
        <f>TEXT(F716, "MMM-YY")</f>
        <v>Aug-25</v>
      </c>
      <c r="H716" t="s">
        <v>682</v>
      </c>
      <c r="I716" s="25">
        <v>93.25</v>
      </c>
      <c r="J716" s="4">
        <v>2500</v>
      </c>
      <c r="K716" t="s">
        <v>1012</v>
      </c>
      <c r="L716" s="4" t="str">
        <f>VLOOKUP(K716, 'Items Master'!A:E,5,0)</f>
        <v>HMEL</v>
      </c>
      <c r="M716" s="4" t="str">
        <f>VLOOKUP(K716, 'Items Master'!A:D,4,0)</f>
        <v>LLDPE</v>
      </c>
      <c r="N716" s="4" t="s">
        <v>24</v>
      </c>
      <c r="Q716" s="6">
        <v>45883</v>
      </c>
      <c r="R716" s="6" t="str">
        <f>TEXT(Q716, "MMM-YY")</f>
        <v>Aug-25</v>
      </c>
      <c r="W716" s="25">
        <v>93.25</v>
      </c>
      <c r="Y716"/>
      <c r="Z716"/>
      <c r="AB716"/>
      <c r="AC716"/>
      <c r="AD716"/>
      <c r="AE716"/>
      <c r="AF716"/>
      <c r="AG716"/>
      <c r="AH716"/>
      <c r="AI716"/>
      <c r="AJ716"/>
      <c r="AK716"/>
      <c r="AL716"/>
      <c r="AM716"/>
      <c r="AN716" s="9">
        <f t="shared" si="23"/>
        <v>0</v>
      </c>
      <c r="AO716" s="8"/>
      <c r="AP716" s="9">
        <f>I716-W716-X716-AN716</f>
        <v>0</v>
      </c>
      <c r="AQ716" t="s">
        <v>1316</v>
      </c>
    </row>
    <row r="717" spans="1:43" x14ac:dyDescent="0.3">
      <c r="A717" s="11">
        <f t="shared" si="24"/>
        <v>715</v>
      </c>
      <c r="B717" s="5" t="s">
        <v>1675</v>
      </c>
      <c r="C717" t="s">
        <v>893</v>
      </c>
      <c r="D717" s="24" t="s">
        <v>824</v>
      </c>
      <c r="E717" s="24" t="str">
        <f>IFERROR(VLOOKUP(D717,Dropdown!A:B,2,0),D717)</f>
        <v>Paragon</v>
      </c>
      <c r="F717" s="6">
        <v>45883</v>
      </c>
      <c r="G717" s="6" t="str">
        <f>TEXT(F717, "MMM-YY")</f>
        <v>Aug-25</v>
      </c>
      <c r="H717" t="s">
        <v>683</v>
      </c>
      <c r="I717" s="25">
        <v>101.79</v>
      </c>
      <c r="J717" s="4">
        <v>2500</v>
      </c>
      <c r="K717" t="s">
        <v>912</v>
      </c>
      <c r="L717" s="4" t="str">
        <f>VLOOKUP(K717, 'Items Master'!A:E,5,0)</f>
        <v>RIL</v>
      </c>
      <c r="M717" s="4" t="str">
        <f>VLOOKUP(K717, 'Items Master'!A:D,4,0)</f>
        <v>PP</v>
      </c>
      <c r="N717" s="4" t="s">
        <v>49</v>
      </c>
      <c r="Q717" s="6">
        <v>45883</v>
      </c>
      <c r="R717" s="6" t="str">
        <f>TEXT(Q717, "MMM-YY")</f>
        <v>Aug-25</v>
      </c>
      <c r="X717" s="25">
        <v>101.99</v>
      </c>
      <c r="Y717" s="25" t="s">
        <v>1303</v>
      </c>
      <c r="AB717"/>
      <c r="AC717"/>
      <c r="AD717"/>
      <c r="AE717"/>
      <c r="AF717"/>
      <c r="AG717"/>
      <c r="AH717"/>
      <c r="AI717"/>
      <c r="AJ717"/>
      <c r="AK717"/>
      <c r="AL717"/>
      <c r="AM717"/>
      <c r="AN717" s="9">
        <f t="shared" si="23"/>
        <v>0</v>
      </c>
      <c r="AO717" s="8"/>
      <c r="AP717" s="9">
        <f>I717-W717-X717-AN717</f>
        <v>-0.19999999999998863</v>
      </c>
      <c r="AQ717" t="s">
        <v>1324</v>
      </c>
    </row>
    <row r="718" spans="1:43" x14ac:dyDescent="0.3">
      <c r="A718" s="11">
        <f t="shared" si="24"/>
        <v>716</v>
      </c>
      <c r="B718" s="5" t="s">
        <v>1675</v>
      </c>
      <c r="C718" t="s">
        <v>893</v>
      </c>
      <c r="D718" s="24" t="s">
        <v>857</v>
      </c>
      <c r="E718" s="24" t="str">
        <f>IFERROR(VLOOKUP(D718,Dropdown!A:B,2,0),D718)</f>
        <v>Purav</v>
      </c>
      <c r="F718" s="6">
        <v>45883</v>
      </c>
      <c r="G718" s="6" t="str">
        <f>TEXT(F718, "MMM-YY")</f>
        <v>Aug-25</v>
      </c>
      <c r="H718" t="s">
        <v>684</v>
      </c>
      <c r="I718" s="25">
        <v>99.85</v>
      </c>
      <c r="J718" s="4">
        <v>5000</v>
      </c>
      <c r="K718" t="s">
        <v>921</v>
      </c>
      <c r="L718" s="4" t="str">
        <f>VLOOKUP(K718, 'Items Master'!A:E,5,0)</f>
        <v>OPAL</v>
      </c>
      <c r="M718" s="4" t="str">
        <f>VLOOKUP(K718, 'Items Master'!A:D,4,0)</f>
        <v>HDPE</v>
      </c>
      <c r="N718" s="4" t="s">
        <v>49</v>
      </c>
      <c r="O718" t="s">
        <v>1298</v>
      </c>
      <c r="Q718" s="6">
        <v>45883</v>
      </c>
      <c r="R718" s="6" t="str">
        <f>TEXT(Q718, "MMM-YY")</f>
        <v>Aug-25</v>
      </c>
      <c r="S718" t="s">
        <v>21</v>
      </c>
      <c r="U718" t="s">
        <v>1605</v>
      </c>
      <c r="X718" s="25">
        <v>100.61</v>
      </c>
      <c r="Y718" s="25" t="s">
        <v>1303</v>
      </c>
      <c r="AB718" s="8">
        <v>-0.9</v>
      </c>
      <c r="AH718" s="8">
        <v>0.1</v>
      </c>
      <c r="AK718" s="8">
        <v>0.04</v>
      </c>
      <c r="AN718" s="9">
        <f t="shared" si="23"/>
        <v>-0.76</v>
      </c>
      <c r="AO718" s="8"/>
      <c r="AP718" s="9">
        <f>I718-W718-X718-AN718</f>
        <v>-5.1070259132757201E-15</v>
      </c>
      <c r="AQ718" t="s">
        <v>1316</v>
      </c>
    </row>
    <row r="719" spans="1:43" x14ac:dyDescent="0.3">
      <c r="A719" s="11">
        <f t="shared" si="24"/>
        <v>717</v>
      </c>
      <c r="B719" s="5" t="s">
        <v>1675</v>
      </c>
      <c r="C719" t="s">
        <v>893</v>
      </c>
      <c r="D719" s="24" t="s">
        <v>857</v>
      </c>
      <c r="E719" s="24" t="str">
        <f>IFERROR(VLOOKUP(D719,Dropdown!A:B,2,0),D719)</f>
        <v>Purav</v>
      </c>
      <c r="F719" s="6">
        <v>45883</v>
      </c>
      <c r="G719" s="6" t="str">
        <f>TEXT(F719, "MMM-YY")</f>
        <v>Aug-25</v>
      </c>
      <c r="H719" t="s">
        <v>685</v>
      </c>
      <c r="I719" s="25">
        <v>98</v>
      </c>
      <c r="J719" s="4">
        <v>5000</v>
      </c>
      <c r="K719" t="s">
        <v>17</v>
      </c>
      <c r="L719" s="4" t="str">
        <f>VLOOKUP(K719, 'Items Master'!A:E,5,0)</f>
        <v>OPAL</v>
      </c>
      <c r="M719" s="4" t="str">
        <f>VLOOKUP(K719, 'Items Master'!A:D,4,0)</f>
        <v>LLDPE</v>
      </c>
      <c r="N719" s="4" t="s">
        <v>49</v>
      </c>
      <c r="O719" t="s">
        <v>1298</v>
      </c>
      <c r="Q719" s="6">
        <v>45883</v>
      </c>
      <c r="R719" s="6" t="str">
        <f>TEXT(Q719, "MMM-YY")</f>
        <v>Aug-25</v>
      </c>
      <c r="S719" t="s">
        <v>21</v>
      </c>
      <c r="U719" t="s">
        <v>1605</v>
      </c>
      <c r="X719" s="25">
        <v>98.8</v>
      </c>
      <c r="Y719" s="25" t="s">
        <v>1303</v>
      </c>
      <c r="AB719" s="8">
        <v>-0.9</v>
      </c>
      <c r="AH719" s="8">
        <v>0.1</v>
      </c>
      <c r="AN719" s="9">
        <f t="shared" si="23"/>
        <v>-0.8</v>
      </c>
      <c r="AO719" s="8"/>
      <c r="AP719" s="9">
        <f>I719-W719-X719-AN719</f>
        <v>2.886579864025407E-15</v>
      </c>
      <c r="AQ719" t="s">
        <v>1316</v>
      </c>
    </row>
    <row r="720" spans="1:43" x14ac:dyDescent="0.3">
      <c r="A720" s="11">
        <f t="shared" si="24"/>
        <v>718</v>
      </c>
      <c r="B720" s="5" t="s">
        <v>1675</v>
      </c>
      <c r="C720" t="s">
        <v>893</v>
      </c>
      <c r="D720" s="24" t="s">
        <v>824</v>
      </c>
      <c r="E720" s="24" t="str">
        <f>IFERROR(VLOOKUP(D720,Dropdown!A:B,2,0),D720)</f>
        <v>Paragon</v>
      </c>
      <c r="F720" s="6">
        <v>45883</v>
      </c>
      <c r="G720" s="6" t="str">
        <f>TEXT(F720, "MMM-YY")</f>
        <v>Aug-25</v>
      </c>
      <c r="H720" t="s">
        <v>686</v>
      </c>
      <c r="I720" s="25">
        <v>99.5</v>
      </c>
      <c r="J720" s="4">
        <v>2500</v>
      </c>
      <c r="K720" t="s">
        <v>915</v>
      </c>
      <c r="L720" s="4" t="str">
        <f>VLOOKUP(K720, 'Items Master'!A:E,5,0)</f>
        <v>RIL</v>
      </c>
      <c r="M720" s="4" t="str">
        <f>VLOOKUP(K720, 'Items Master'!A:D,4,0)</f>
        <v>LLDPE</v>
      </c>
      <c r="N720" s="4" t="s">
        <v>49</v>
      </c>
      <c r="Q720" s="6">
        <v>45883</v>
      </c>
      <c r="R720" s="6" t="str">
        <f>TEXT(Q720, "MMM-YY")</f>
        <v>Aug-25</v>
      </c>
      <c r="X720" s="25">
        <v>99.5</v>
      </c>
      <c r="Y720" s="25" t="s">
        <v>1303</v>
      </c>
      <c r="AB720"/>
      <c r="AC720"/>
      <c r="AD720"/>
      <c r="AE720"/>
      <c r="AF720"/>
      <c r="AG720"/>
      <c r="AH720"/>
      <c r="AI720"/>
      <c r="AJ720"/>
      <c r="AK720"/>
      <c r="AL720"/>
      <c r="AM720"/>
      <c r="AN720" s="9">
        <f t="shared" si="23"/>
        <v>0</v>
      </c>
      <c r="AO720" s="8"/>
      <c r="AP720" s="9">
        <f>I720-W720-X720-AN720</f>
        <v>0</v>
      </c>
      <c r="AQ720" t="s">
        <v>1324</v>
      </c>
    </row>
    <row r="721" spans="1:43" x14ac:dyDescent="0.3">
      <c r="A721" s="11">
        <f t="shared" si="24"/>
        <v>719</v>
      </c>
      <c r="B721" s="5" t="s">
        <v>1676</v>
      </c>
      <c r="C721" t="s">
        <v>893</v>
      </c>
      <c r="D721" s="24" t="s">
        <v>880</v>
      </c>
      <c r="E721" s="24" t="str">
        <f>IFERROR(VLOOKUP(D721,Dropdown!A:B,2,0),D721)</f>
        <v>ORGANIC INDUSTRIES  PRIVATE LIMITED</v>
      </c>
      <c r="F721" s="6">
        <v>45883</v>
      </c>
      <c r="G721" s="6" t="str">
        <f>TEXT(F721, "MMM-YY")</f>
        <v>Aug-25</v>
      </c>
      <c r="H721" s="28" t="s">
        <v>1679</v>
      </c>
      <c r="I721" s="25">
        <v>0.39</v>
      </c>
      <c r="J721" s="4">
        <v>-15000</v>
      </c>
      <c r="K721" t="s">
        <v>995</v>
      </c>
      <c r="L721" s="4" t="str">
        <f>VLOOKUP(K721, 'Items Master'!A:E,5,0)</f>
        <v>MD</v>
      </c>
      <c r="M721" s="4" t="str">
        <f>VLOOKUP(K721, 'Items Master'!A:D,4,0)</f>
        <v>PET Closure</v>
      </c>
      <c r="N721" s="4" t="s">
        <v>24</v>
      </c>
      <c r="Q721" s="6">
        <v>45883</v>
      </c>
      <c r="R721" s="6" t="str">
        <f>TEXT(Q721, "MMM-YY")</f>
        <v>Aug-25</v>
      </c>
      <c r="W721" s="25">
        <v>0.39</v>
      </c>
      <c r="AB721"/>
      <c r="AC721"/>
      <c r="AD721"/>
      <c r="AE721"/>
      <c r="AF721"/>
      <c r="AG721"/>
      <c r="AH721"/>
      <c r="AI721"/>
      <c r="AJ721"/>
      <c r="AK721"/>
      <c r="AL721"/>
      <c r="AM721"/>
      <c r="AN721" s="9">
        <f t="shared" ref="AN721" si="25">SUM(AB721:AM721)</f>
        <v>0</v>
      </c>
      <c r="AO721" s="8"/>
      <c r="AP721" s="9">
        <f>I721-W721-X721-AN721</f>
        <v>0</v>
      </c>
      <c r="AQ721" t="s">
        <v>1316</v>
      </c>
    </row>
    <row r="722" spans="1:43" x14ac:dyDescent="0.3">
      <c r="A722" s="11">
        <f t="shared" si="24"/>
        <v>720</v>
      </c>
      <c r="B722" s="5" t="s">
        <v>1675</v>
      </c>
      <c r="C722" t="s">
        <v>893</v>
      </c>
      <c r="D722" s="24" t="s">
        <v>48</v>
      </c>
      <c r="E722" s="24" t="str">
        <f>IFERROR(VLOOKUP(D722,Dropdown!A:B,2,0),D722)</f>
        <v>CVPL</v>
      </c>
      <c r="F722" s="6">
        <v>45884</v>
      </c>
      <c r="G722" s="6" t="str">
        <f>TEXT(F722, "MMM-YY")</f>
        <v>Aug-25</v>
      </c>
      <c r="H722" t="s">
        <v>687</v>
      </c>
      <c r="I722" s="25">
        <v>93.25</v>
      </c>
      <c r="J722" s="4">
        <v>2500</v>
      </c>
      <c r="K722" t="s">
        <v>914</v>
      </c>
      <c r="L722" s="4" t="str">
        <f>VLOOKUP(K722, 'Items Master'!A:E,5,0)</f>
        <v>HMEL</v>
      </c>
      <c r="M722" s="4" t="str">
        <f>VLOOKUP(K722, 'Items Master'!A:D,4,0)</f>
        <v>LLDPE</v>
      </c>
      <c r="N722" s="4" t="s">
        <v>24</v>
      </c>
      <c r="Q722" s="6">
        <v>45884</v>
      </c>
      <c r="R722" s="6" t="str">
        <f>TEXT(Q722, "MMM-YY")</f>
        <v>Aug-25</v>
      </c>
      <c r="W722" s="25">
        <v>93.25</v>
      </c>
      <c r="Y722"/>
      <c r="Z722"/>
      <c r="AB722"/>
      <c r="AC722"/>
      <c r="AD722"/>
      <c r="AE722"/>
      <c r="AF722"/>
      <c r="AG722"/>
      <c r="AH722"/>
      <c r="AI722"/>
      <c r="AJ722"/>
      <c r="AK722"/>
      <c r="AL722"/>
      <c r="AM722"/>
      <c r="AN722" s="9">
        <f t="shared" si="23"/>
        <v>0</v>
      </c>
      <c r="AO722" s="8"/>
      <c r="AP722" s="9">
        <f>I722-W722-X722-AN722</f>
        <v>0</v>
      </c>
      <c r="AQ722" t="s">
        <v>1316</v>
      </c>
    </row>
    <row r="723" spans="1:43" x14ac:dyDescent="0.3">
      <c r="A723" s="11">
        <f t="shared" si="24"/>
        <v>721</v>
      </c>
      <c r="B723" s="5" t="s">
        <v>1675</v>
      </c>
      <c r="C723" t="s">
        <v>893</v>
      </c>
      <c r="D723" s="24" t="s">
        <v>836</v>
      </c>
      <c r="E723" s="24" t="str">
        <f>IFERROR(VLOOKUP(D723,Dropdown!A:B,2,0),D723)</f>
        <v>Intime</v>
      </c>
      <c r="F723" s="6">
        <v>45885</v>
      </c>
      <c r="G723" s="6" t="str">
        <f>TEXT(F723, "MMM-YY")</f>
        <v>Aug-25</v>
      </c>
      <c r="H723" t="s">
        <v>688</v>
      </c>
      <c r="I723" s="25">
        <v>99.474000000000004</v>
      </c>
      <c r="J723" s="4">
        <v>15000</v>
      </c>
      <c r="K723" t="s">
        <v>902</v>
      </c>
      <c r="L723" s="4" t="str">
        <f>VLOOKUP(K723, 'Items Master'!A:E,5,0)</f>
        <v>GAIL</v>
      </c>
      <c r="M723" s="4" t="str">
        <f>VLOOKUP(K723, 'Items Master'!A:D,4,0)</f>
        <v>LLDPE</v>
      </c>
      <c r="N723" s="4" t="s">
        <v>49</v>
      </c>
      <c r="Q723" s="6">
        <v>45885</v>
      </c>
      <c r="R723" s="6" t="str">
        <f>TEXT(Q723, "MMM-YY")</f>
        <v>Aug-25</v>
      </c>
      <c r="X723" s="25">
        <v>99.47</v>
      </c>
      <c r="Y723" s="25" t="s">
        <v>1304</v>
      </c>
      <c r="AB723"/>
      <c r="AC723"/>
      <c r="AD723"/>
      <c r="AE723"/>
      <c r="AF723"/>
      <c r="AG723"/>
      <c r="AH723"/>
      <c r="AI723"/>
      <c r="AJ723"/>
      <c r="AK723"/>
      <c r="AL723"/>
      <c r="AM723"/>
      <c r="AN723" s="9">
        <f t="shared" si="23"/>
        <v>0</v>
      </c>
      <c r="AO723" s="8"/>
      <c r="AP723" s="9">
        <f>I723-W723-X723-AN723</f>
        <v>4.0000000000048885E-3</v>
      </c>
      <c r="AQ723" t="s">
        <v>1324</v>
      </c>
    </row>
    <row r="724" spans="1:43" x14ac:dyDescent="0.3">
      <c r="A724" s="11">
        <f t="shared" si="24"/>
        <v>722</v>
      </c>
      <c r="B724" s="5" t="s">
        <v>1675</v>
      </c>
      <c r="C724" t="s">
        <v>894</v>
      </c>
      <c r="D724" s="24" t="s">
        <v>857</v>
      </c>
      <c r="E724" s="24" t="str">
        <f>IFERROR(VLOOKUP(D724,Dropdown!A:B,2,0),D724)</f>
        <v>Purav</v>
      </c>
      <c r="F724" s="6">
        <v>45885</v>
      </c>
      <c r="G724" s="6" t="str">
        <f>TEXT(F724, "MMM-YY")</f>
        <v>Aug-25</v>
      </c>
      <c r="H724" t="s">
        <v>689</v>
      </c>
      <c r="I724" s="25">
        <v>94.1</v>
      </c>
      <c r="J724" s="4">
        <v>1000</v>
      </c>
      <c r="K724" t="s">
        <v>974</v>
      </c>
      <c r="L724" s="4" t="str">
        <f>VLOOKUP(K724, 'Items Master'!A:E,5,0)</f>
        <v>GAIL</v>
      </c>
      <c r="M724" s="4" t="str">
        <f>VLOOKUP(K724, 'Items Master'!A:D,4,0)</f>
        <v>LLDPE</v>
      </c>
      <c r="N724" s="4" t="s">
        <v>24</v>
      </c>
      <c r="Q724" s="6">
        <v>45885</v>
      </c>
      <c r="R724" s="6" t="str">
        <f>TEXT(Q724, "MMM-YY")</f>
        <v>Aug-25</v>
      </c>
      <c r="S724" t="s">
        <v>21</v>
      </c>
      <c r="U724" t="s">
        <v>1606</v>
      </c>
      <c r="W724" s="25">
        <v>94</v>
      </c>
      <c r="Y724"/>
      <c r="Z724"/>
      <c r="AH724" s="8">
        <v>0.1</v>
      </c>
      <c r="AN724" s="9">
        <f t="shared" si="23"/>
        <v>0.1</v>
      </c>
      <c r="AO724" s="8"/>
      <c r="AP724" s="9">
        <f>I724-W724-X724-AN724</f>
        <v>-5.6898930012039273E-15</v>
      </c>
      <c r="AQ724" t="s">
        <v>1316</v>
      </c>
    </row>
    <row r="725" spans="1:43" x14ac:dyDescent="0.3">
      <c r="A725" s="11">
        <f t="shared" si="24"/>
        <v>723</v>
      </c>
      <c r="B725" s="5" t="s">
        <v>1675</v>
      </c>
      <c r="C725" t="s">
        <v>894</v>
      </c>
      <c r="D725" s="24" t="s">
        <v>857</v>
      </c>
      <c r="E725" s="24" t="str">
        <f>IFERROR(VLOOKUP(D725,Dropdown!A:B,2,0),D725)</f>
        <v>Purav</v>
      </c>
      <c r="F725" s="6">
        <v>45885</v>
      </c>
      <c r="G725" s="6" t="str">
        <f>TEXT(F725, "MMM-YY")</f>
        <v>Aug-25</v>
      </c>
      <c r="H725" t="s">
        <v>690</v>
      </c>
      <c r="I725" s="25">
        <v>93.6</v>
      </c>
      <c r="J725" s="4">
        <v>3000</v>
      </c>
      <c r="K725" t="s">
        <v>942</v>
      </c>
      <c r="L725" s="4" t="str">
        <f>VLOOKUP(K725, 'Items Master'!A:E,5,0)</f>
        <v>GAIL</v>
      </c>
      <c r="M725" s="4" t="str">
        <f>VLOOKUP(K725, 'Items Master'!A:D,4,0)</f>
        <v>HDPE</v>
      </c>
      <c r="N725" s="4" t="s">
        <v>24</v>
      </c>
      <c r="Q725" s="6">
        <v>45885</v>
      </c>
      <c r="R725" s="6" t="str">
        <f>TEXT(Q725, "MMM-YY")</f>
        <v>Aug-25</v>
      </c>
      <c r="S725" t="s">
        <v>21</v>
      </c>
      <c r="U725" t="s">
        <v>1606</v>
      </c>
      <c r="W725" s="25">
        <v>93.5</v>
      </c>
      <c r="Y725"/>
      <c r="Z725"/>
      <c r="AH725" s="8">
        <v>0.1</v>
      </c>
      <c r="AN725" s="9">
        <f t="shared" si="23"/>
        <v>0.1</v>
      </c>
      <c r="AO725" s="8"/>
      <c r="AP725" s="9">
        <f>I725-W725-X725-AN725</f>
        <v>-5.6898930012039273E-15</v>
      </c>
      <c r="AQ725" t="s">
        <v>1316</v>
      </c>
    </row>
    <row r="726" spans="1:43" x14ac:dyDescent="0.3">
      <c r="A726" s="11">
        <f t="shared" si="24"/>
        <v>724</v>
      </c>
      <c r="B726" s="5" t="s">
        <v>1675</v>
      </c>
      <c r="C726" t="s">
        <v>894</v>
      </c>
      <c r="D726" s="24" t="s">
        <v>860</v>
      </c>
      <c r="E726" s="24" t="str">
        <f>IFERROR(VLOOKUP(D726,Dropdown!A:B,2,0),D726)</f>
        <v>VINAY PLASTICS</v>
      </c>
      <c r="F726" s="6">
        <v>45885</v>
      </c>
      <c r="G726" s="6" t="str">
        <f>TEXT(F726, "MMM-YY")</f>
        <v>Aug-25</v>
      </c>
      <c r="H726" t="s">
        <v>691</v>
      </c>
      <c r="I726" s="25">
        <v>94</v>
      </c>
      <c r="J726" s="4">
        <v>9000</v>
      </c>
      <c r="K726" t="s">
        <v>915</v>
      </c>
      <c r="L726" s="4" t="str">
        <f>VLOOKUP(K726, 'Items Master'!A:E,5,0)</f>
        <v>RIL</v>
      </c>
      <c r="M726" s="4" t="str">
        <f>VLOOKUP(K726, 'Items Master'!A:D,4,0)</f>
        <v>LLDPE</v>
      </c>
      <c r="N726" s="4" t="s">
        <v>24</v>
      </c>
      <c r="Q726" s="6">
        <v>45885</v>
      </c>
      <c r="R726" s="6" t="str">
        <f>TEXT(Q726, "MMM-YY")</f>
        <v>Aug-25</v>
      </c>
      <c r="W726" s="25">
        <v>94</v>
      </c>
      <c r="Y726"/>
      <c r="Z726"/>
      <c r="AB726"/>
      <c r="AC726"/>
      <c r="AD726"/>
      <c r="AE726"/>
      <c r="AF726"/>
      <c r="AG726"/>
      <c r="AH726"/>
      <c r="AI726"/>
      <c r="AJ726"/>
      <c r="AK726"/>
      <c r="AL726"/>
      <c r="AM726"/>
      <c r="AN726" s="9">
        <f t="shared" si="23"/>
        <v>0</v>
      </c>
      <c r="AO726" s="8"/>
      <c r="AP726" s="9">
        <f>I726-W726-X726-AN726</f>
        <v>0</v>
      </c>
      <c r="AQ726" t="s">
        <v>1316</v>
      </c>
    </row>
    <row r="727" spans="1:43" x14ac:dyDescent="0.3">
      <c r="A727" s="11">
        <f t="shared" si="24"/>
        <v>725</v>
      </c>
      <c r="B727" s="5" t="s">
        <v>1675</v>
      </c>
      <c r="C727" t="s">
        <v>893</v>
      </c>
      <c r="D727" s="24" t="s">
        <v>48</v>
      </c>
      <c r="E727" s="24" t="str">
        <f>IFERROR(VLOOKUP(D727,Dropdown!A:B,2,0),D727)</f>
        <v>CVPL</v>
      </c>
      <c r="F727" s="6">
        <v>45885</v>
      </c>
      <c r="G727" s="6" t="str">
        <f>TEXT(F727, "MMM-YY")</f>
        <v>Aug-25</v>
      </c>
      <c r="H727" t="s">
        <v>692</v>
      </c>
      <c r="I727" s="25">
        <v>99.8</v>
      </c>
      <c r="J727" s="4">
        <v>10000</v>
      </c>
      <c r="K727" t="s">
        <v>899</v>
      </c>
      <c r="L727" s="4" t="str">
        <f>VLOOKUP(K727, 'Items Master'!A:E,5,0)</f>
        <v>MRPL</v>
      </c>
      <c r="M727" s="4" t="str">
        <f>VLOOKUP(K727, 'Items Master'!A:D,4,0)</f>
        <v>PP</v>
      </c>
      <c r="N727" s="4" t="s">
        <v>49</v>
      </c>
      <c r="O727" t="s">
        <v>1298</v>
      </c>
      <c r="Q727" s="6">
        <v>45885</v>
      </c>
      <c r="R727" s="6" t="str">
        <f>TEXT(Q727, "MMM-YY")</f>
        <v>Aug-25</v>
      </c>
      <c r="X727" s="25">
        <v>97.995999999999995</v>
      </c>
      <c r="AB727"/>
      <c r="AC727"/>
      <c r="AD727"/>
      <c r="AE727"/>
      <c r="AF727"/>
      <c r="AG727"/>
      <c r="AH727"/>
      <c r="AI727"/>
      <c r="AJ727"/>
      <c r="AK727"/>
      <c r="AL727"/>
      <c r="AM727"/>
      <c r="AN727" s="9">
        <f t="shared" si="23"/>
        <v>0</v>
      </c>
      <c r="AO727" s="8"/>
      <c r="AP727" s="9">
        <f>I727-W727-X727-AN727</f>
        <v>1.804000000000002</v>
      </c>
      <c r="AQ727" t="s">
        <v>1324</v>
      </c>
    </row>
    <row r="728" spans="1:43" x14ac:dyDescent="0.3">
      <c r="A728" s="11">
        <f t="shared" si="24"/>
        <v>726</v>
      </c>
      <c r="B728" s="5" t="s">
        <v>1675</v>
      </c>
      <c r="C728" t="s">
        <v>893</v>
      </c>
      <c r="D728" s="24" t="s">
        <v>48</v>
      </c>
      <c r="E728" s="24" t="str">
        <f>IFERROR(VLOOKUP(D728,Dropdown!A:B,2,0),D728)</f>
        <v>CVPL</v>
      </c>
      <c r="F728" s="6">
        <v>45888</v>
      </c>
      <c r="G728" s="6" t="str">
        <f>TEXT(F728, "MMM-YY")</f>
        <v>Aug-25</v>
      </c>
      <c r="H728" t="s">
        <v>693</v>
      </c>
      <c r="I728" s="25">
        <v>115.75</v>
      </c>
      <c r="J728" s="4">
        <v>1200</v>
      </c>
      <c r="K728" t="s">
        <v>953</v>
      </c>
      <c r="L728" s="4" t="str">
        <f>VLOOKUP(K728, 'Items Master'!A:E,5,0)</f>
        <v>LOTRENE</v>
      </c>
      <c r="M728" s="4" t="str">
        <f>VLOOKUP(K728, 'Items Master'!A:D,4,0)</f>
        <v>LDPE</v>
      </c>
      <c r="N728" s="4" t="s">
        <v>24</v>
      </c>
      <c r="Q728" s="6">
        <v>45888</v>
      </c>
      <c r="R728" s="6" t="str">
        <f>TEXT(Q728, "MMM-YY")</f>
        <v>Aug-25</v>
      </c>
      <c r="W728" s="25">
        <v>115.75</v>
      </c>
      <c r="Y728"/>
      <c r="Z728"/>
      <c r="AB728"/>
      <c r="AC728"/>
      <c r="AD728"/>
      <c r="AE728"/>
      <c r="AF728"/>
      <c r="AG728"/>
      <c r="AH728"/>
      <c r="AI728"/>
      <c r="AJ728"/>
      <c r="AK728"/>
      <c r="AL728"/>
      <c r="AM728"/>
      <c r="AN728" s="9">
        <f t="shared" si="23"/>
        <v>0</v>
      </c>
      <c r="AO728" s="8"/>
      <c r="AP728" s="9">
        <f>I728-W728-X728-AN728</f>
        <v>0</v>
      </c>
      <c r="AQ728" t="s">
        <v>1316</v>
      </c>
    </row>
    <row r="729" spans="1:43" x14ac:dyDescent="0.3">
      <c r="A729" s="11">
        <f t="shared" si="24"/>
        <v>727</v>
      </c>
      <c r="B729" s="5" t="s">
        <v>1675</v>
      </c>
      <c r="C729" t="s">
        <v>893</v>
      </c>
      <c r="D729" s="24" t="s">
        <v>864</v>
      </c>
      <c r="E729" s="24" t="str">
        <f>IFERROR(VLOOKUP(D729,Dropdown!A:B,2,0),D729)</f>
        <v>SVP</v>
      </c>
      <c r="F729" s="6">
        <v>45888</v>
      </c>
      <c r="G729" s="6" t="str">
        <f>TEXT(F729, "MMM-YY")</f>
        <v>Aug-25</v>
      </c>
      <c r="H729" t="s">
        <v>694</v>
      </c>
      <c r="I729" s="25">
        <v>97.69</v>
      </c>
      <c r="J729" s="4">
        <v>12000</v>
      </c>
      <c r="K729" t="s">
        <v>958</v>
      </c>
      <c r="L729" s="4" t="str">
        <f>VLOOKUP(K729, 'Items Master'!A:E,5,0)</f>
        <v>HMEL</v>
      </c>
      <c r="M729" s="4" t="str">
        <f>VLOOKUP(K729, 'Items Master'!A:D,4,0)</f>
        <v>PP</v>
      </c>
      <c r="N729" s="4" t="s">
        <v>49</v>
      </c>
      <c r="Q729" s="6">
        <v>45888</v>
      </c>
      <c r="R729" s="6" t="str">
        <f>TEXT(Q729, "MMM-YY")</f>
        <v>Aug-25</v>
      </c>
      <c r="X729" s="25">
        <v>101.59</v>
      </c>
      <c r="Y729" t="s">
        <v>1303</v>
      </c>
      <c r="Z729" t="s">
        <v>1305</v>
      </c>
      <c r="AB729" s="8">
        <v>-1.1000000000000001</v>
      </c>
      <c r="AC729" s="8">
        <v>-0.3</v>
      </c>
      <c r="AD729" s="8">
        <v>-2.5</v>
      </c>
      <c r="AN729" s="9">
        <f t="shared" si="23"/>
        <v>-3.9000000000000004</v>
      </c>
      <c r="AO729" s="8"/>
      <c r="AP729" s="9">
        <f>I729-W729-X729-AN729</f>
        <v>-5.3290705182007514E-15</v>
      </c>
      <c r="AQ729" t="s">
        <v>1316</v>
      </c>
    </row>
    <row r="730" spans="1:43" x14ac:dyDescent="0.3">
      <c r="A730" s="11">
        <f t="shared" si="24"/>
        <v>728</v>
      </c>
      <c r="B730" s="5" t="s">
        <v>1675</v>
      </c>
      <c r="C730" t="s">
        <v>893</v>
      </c>
      <c r="D730" s="24" t="s">
        <v>864</v>
      </c>
      <c r="E730" s="24" t="str">
        <f>IFERROR(VLOOKUP(D730,Dropdown!A:B,2,0),D730)</f>
        <v>SVP</v>
      </c>
      <c r="F730" s="6">
        <v>45888</v>
      </c>
      <c r="G730" s="6" t="str">
        <f>TEXT(F730, "MMM-YY")</f>
        <v>Aug-25</v>
      </c>
      <c r="H730" t="s">
        <v>695</v>
      </c>
      <c r="I730" s="25">
        <v>96.19</v>
      </c>
      <c r="J730" s="4">
        <v>2500</v>
      </c>
      <c r="K730" t="s">
        <v>914</v>
      </c>
      <c r="L730" s="4" t="str">
        <f>VLOOKUP(K730, 'Items Master'!A:E,5,0)</f>
        <v>HMEL</v>
      </c>
      <c r="M730" s="4" t="str">
        <f>VLOOKUP(K730, 'Items Master'!A:D,4,0)</f>
        <v>LLDPE</v>
      </c>
      <c r="N730" s="4" t="s">
        <v>49</v>
      </c>
      <c r="Q730" s="6">
        <v>45888</v>
      </c>
      <c r="R730" s="6" t="str">
        <f>TEXT(Q730, "MMM-YY")</f>
        <v>Aug-25</v>
      </c>
      <c r="X730" s="25">
        <v>99.29</v>
      </c>
      <c r="Y730" t="s">
        <v>1303</v>
      </c>
      <c r="Z730" t="s">
        <v>1305</v>
      </c>
      <c r="AB730" s="8">
        <v>-1.1000000000000001</v>
      </c>
      <c r="AC730" s="8">
        <v>-1</v>
      </c>
      <c r="AD730" s="8">
        <v>-1</v>
      </c>
      <c r="AN730" s="9">
        <f t="shared" si="23"/>
        <v>-3.1</v>
      </c>
      <c r="AO730" s="8"/>
      <c r="AP730" s="9">
        <f>I730-W730-X730-AN730</f>
        <v>-8.4376949871511897E-15</v>
      </c>
      <c r="AQ730" t="s">
        <v>1316</v>
      </c>
    </row>
    <row r="731" spans="1:43" x14ac:dyDescent="0.3">
      <c r="A731" s="11">
        <f t="shared" si="24"/>
        <v>729</v>
      </c>
      <c r="B731" s="5" t="s">
        <v>1675</v>
      </c>
      <c r="C731" t="s">
        <v>893</v>
      </c>
      <c r="D731" s="24" t="s">
        <v>828</v>
      </c>
      <c r="E731" s="24" t="str">
        <f>IFERROR(VLOOKUP(D731,Dropdown!A:B,2,0),D731)</f>
        <v>SHUBHAM INTERNATIONAL PRIVATE LIMITED</v>
      </c>
      <c r="F731" s="6">
        <v>45889</v>
      </c>
      <c r="G731" s="6" t="str">
        <f>TEXT(F731, "MMM-YY")</f>
        <v>Aug-25</v>
      </c>
      <c r="H731" t="s">
        <v>696</v>
      </c>
      <c r="I731" s="25">
        <v>100.72</v>
      </c>
      <c r="J731" s="4">
        <v>5000</v>
      </c>
      <c r="K731" t="s">
        <v>976</v>
      </c>
      <c r="L731" s="4" t="str">
        <f>VLOOKUP(K731, 'Items Master'!A:E,5,0)</f>
        <v>MRPL</v>
      </c>
      <c r="M731" s="4" t="str">
        <f>VLOOKUP(K731, 'Items Master'!A:D,4,0)</f>
        <v>PP</v>
      </c>
      <c r="N731" s="4" t="s">
        <v>24</v>
      </c>
      <c r="Q731" s="6">
        <v>45889</v>
      </c>
      <c r="R731" s="6" t="str">
        <f>TEXT(Q731, "MMM-YY")</f>
        <v>Aug-25</v>
      </c>
      <c r="W731" s="25">
        <v>100.72</v>
      </c>
      <c r="Y731"/>
      <c r="Z731"/>
      <c r="AB731"/>
      <c r="AC731"/>
      <c r="AD731"/>
      <c r="AE731"/>
      <c r="AF731"/>
      <c r="AG731"/>
      <c r="AH731"/>
      <c r="AI731"/>
      <c r="AJ731"/>
      <c r="AK731"/>
      <c r="AL731"/>
      <c r="AM731"/>
      <c r="AN731" s="9">
        <f t="shared" si="23"/>
        <v>0</v>
      </c>
      <c r="AO731" s="8"/>
      <c r="AP731" s="9">
        <f>I731-W731-X731-AN731</f>
        <v>0</v>
      </c>
      <c r="AQ731" t="s">
        <v>1316</v>
      </c>
    </row>
    <row r="732" spans="1:43" x14ac:dyDescent="0.3">
      <c r="A732" s="11">
        <f t="shared" si="24"/>
        <v>730</v>
      </c>
      <c r="B732" s="5" t="s">
        <v>1675</v>
      </c>
      <c r="C732" t="s">
        <v>893</v>
      </c>
      <c r="D732" s="24" t="s">
        <v>48</v>
      </c>
      <c r="E732" s="24" t="str">
        <f>IFERROR(VLOOKUP(D732,Dropdown!A:B,2,0),D732)</f>
        <v>CVPL</v>
      </c>
      <c r="F732" s="6">
        <v>45889</v>
      </c>
      <c r="G732" s="6" t="str">
        <f>TEXT(F732, "MMM-YY")</f>
        <v>Aug-25</v>
      </c>
      <c r="H732" t="s">
        <v>697</v>
      </c>
      <c r="I732" s="25">
        <v>100.47</v>
      </c>
      <c r="J732" s="4">
        <v>3000</v>
      </c>
      <c r="K732" t="s">
        <v>1013</v>
      </c>
      <c r="L732" s="4" t="str">
        <f>VLOOKUP(K732, 'Items Master'!A:E,5,0)</f>
        <v>GAIL</v>
      </c>
      <c r="M732" s="4" t="str">
        <f>VLOOKUP(K732, 'Items Master'!A:D,4,0)</f>
        <v>HDPE</v>
      </c>
      <c r="N732" s="4" t="s">
        <v>49</v>
      </c>
      <c r="O732" t="s">
        <v>1298</v>
      </c>
      <c r="Q732" s="6">
        <v>45889</v>
      </c>
      <c r="R732" s="6" t="str">
        <f>TEXT(Q732, "MMM-YY")</f>
        <v>Aug-25</v>
      </c>
      <c r="X732" s="25">
        <v>99.965999999999994</v>
      </c>
      <c r="Y732" s="25" t="s">
        <v>1304</v>
      </c>
      <c r="Z732" s="25" t="s">
        <v>1305</v>
      </c>
      <c r="AB732"/>
      <c r="AC732"/>
      <c r="AD732"/>
      <c r="AE732"/>
      <c r="AF732"/>
      <c r="AG732"/>
      <c r="AH732"/>
      <c r="AI732"/>
      <c r="AJ732"/>
      <c r="AK732"/>
      <c r="AL732"/>
      <c r="AM732"/>
      <c r="AN732" s="9">
        <f t="shared" si="23"/>
        <v>0</v>
      </c>
      <c r="AO732" s="8"/>
      <c r="AP732" s="9">
        <f>I732-W732-X732-AN732</f>
        <v>0.50400000000000489</v>
      </c>
      <c r="AQ732" t="s">
        <v>1324</v>
      </c>
    </row>
    <row r="733" spans="1:43" x14ac:dyDescent="0.3">
      <c r="A733" s="11">
        <f t="shared" si="24"/>
        <v>731</v>
      </c>
      <c r="B733" s="5" t="s">
        <v>1675</v>
      </c>
      <c r="C733" t="s">
        <v>893</v>
      </c>
      <c r="D733" s="24" t="s">
        <v>824</v>
      </c>
      <c r="E733" s="24" t="str">
        <f>IFERROR(VLOOKUP(D733,Dropdown!A:B,2,0),D733)</f>
        <v>Paragon</v>
      </c>
      <c r="F733" s="6">
        <v>45889</v>
      </c>
      <c r="G733" s="6" t="str">
        <f>TEXT(F733, "MMM-YY")</f>
        <v>Aug-25</v>
      </c>
      <c r="H733" t="s">
        <v>698</v>
      </c>
      <c r="I733" s="25">
        <v>105.86</v>
      </c>
      <c r="J733" s="4">
        <v>3000</v>
      </c>
      <c r="K733" t="s">
        <v>944</v>
      </c>
      <c r="L733" s="4" t="str">
        <f>VLOOKUP(K733, 'Items Master'!A:E,5,0)</f>
        <v>RIL</v>
      </c>
      <c r="M733" s="4" t="str">
        <f>VLOOKUP(K733, 'Items Master'!A:D,4,0)</f>
        <v>PP ICP</v>
      </c>
      <c r="N733" s="4" t="s">
        <v>49</v>
      </c>
      <c r="Q733" s="6">
        <v>45889</v>
      </c>
      <c r="R733" s="6" t="str">
        <f>TEXT(Q733, "MMM-YY")</f>
        <v>Aug-25</v>
      </c>
      <c r="X733" s="25">
        <v>105.86</v>
      </c>
      <c r="Y733" s="25" t="s">
        <v>1303</v>
      </c>
      <c r="Z733" s="25" t="s">
        <v>1305</v>
      </c>
      <c r="AB733"/>
      <c r="AC733"/>
      <c r="AD733"/>
      <c r="AE733"/>
      <c r="AF733"/>
      <c r="AG733"/>
      <c r="AH733"/>
      <c r="AI733"/>
      <c r="AJ733"/>
      <c r="AK733"/>
      <c r="AL733"/>
      <c r="AM733"/>
      <c r="AN733" s="9">
        <f t="shared" si="23"/>
        <v>0</v>
      </c>
      <c r="AO733" s="8"/>
      <c r="AP733" s="9">
        <f>I733-W733-X733-AN733</f>
        <v>0</v>
      </c>
      <c r="AQ733" t="s">
        <v>1324</v>
      </c>
    </row>
    <row r="734" spans="1:43" x14ac:dyDescent="0.3">
      <c r="A734" s="11">
        <f t="shared" si="24"/>
        <v>732</v>
      </c>
      <c r="B734" s="5" t="s">
        <v>1675</v>
      </c>
      <c r="C734" t="s">
        <v>893</v>
      </c>
      <c r="D734" s="24" t="s">
        <v>864</v>
      </c>
      <c r="E734" s="24" t="str">
        <f>IFERROR(VLOOKUP(D734,Dropdown!A:B,2,0),D734)</f>
        <v>SVP</v>
      </c>
      <c r="F734" s="6">
        <v>45889</v>
      </c>
      <c r="G734" s="6" t="str">
        <f>TEXT(F734, "MMM-YY")</f>
        <v>Aug-25</v>
      </c>
      <c r="H734" t="s">
        <v>699</v>
      </c>
      <c r="I734" s="25">
        <v>96.19</v>
      </c>
      <c r="J734" s="4">
        <v>3000</v>
      </c>
      <c r="K734" t="s">
        <v>914</v>
      </c>
      <c r="L734" s="4" t="str">
        <f>VLOOKUP(K734, 'Items Master'!A:E,5,0)</f>
        <v>HMEL</v>
      </c>
      <c r="M734" s="4" t="str">
        <f>VLOOKUP(K734, 'Items Master'!A:D,4,0)</f>
        <v>LLDPE</v>
      </c>
      <c r="N734" s="4" t="s">
        <v>49</v>
      </c>
      <c r="Q734" s="6">
        <v>45889</v>
      </c>
      <c r="R734" s="6" t="str">
        <f>TEXT(Q734, "MMM-YY")</f>
        <v>Aug-25</v>
      </c>
      <c r="X734" s="25">
        <v>99.29</v>
      </c>
      <c r="Y734" t="s">
        <v>1303</v>
      </c>
      <c r="Z734" t="s">
        <v>1305</v>
      </c>
      <c r="AB734" s="8">
        <v>-1.1000000000000001</v>
      </c>
      <c r="AC734" s="8">
        <v>-1</v>
      </c>
      <c r="AD734" s="8">
        <v>-1</v>
      </c>
      <c r="AN734" s="9">
        <f t="shared" si="23"/>
        <v>-3.1</v>
      </c>
      <c r="AO734" s="8"/>
      <c r="AP734" s="9">
        <f>I734-W734-X734-AN734</f>
        <v>-8.4376949871511897E-15</v>
      </c>
      <c r="AQ734" t="s">
        <v>1316</v>
      </c>
    </row>
    <row r="735" spans="1:43" x14ac:dyDescent="0.3">
      <c r="A735" s="11">
        <f t="shared" si="24"/>
        <v>733</v>
      </c>
      <c r="B735" s="5" t="s">
        <v>1675</v>
      </c>
      <c r="C735" t="s">
        <v>893</v>
      </c>
      <c r="D735" s="24" t="s">
        <v>836</v>
      </c>
      <c r="E735" s="24" t="str">
        <f>IFERROR(VLOOKUP(D735,Dropdown!A:B,2,0),D735)</f>
        <v>Intime</v>
      </c>
      <c r="F735" s="6">
        <v>45889</v>
      </c>
      <c r="G735" s="6" t="str">
        <f>TEXT(F735, "MMM-YY")</f>
        <v>Aug-25</v>
      </c>
      <c r="H735" t="s">
        <v>700</v>
      </c>
      <c r="I735" s="25">
        <v>98.433000000000007</v>
      </c>
      <c r="J735" s="4">
        <v>13000</v>
      </c>
      <c r="K735" t="s">
        <v>911</v>
      </c>
      <c r="L735" s="4" t="str">
        <f>VLOOKUP(K735, 'Items Master'!A:E,5,0)</f>
        <v>BCPL</v>
      </c>
      <c r="M735" s="4" t="str">
        <f>VLOOKUP(K735, 'Items Master'!A:D,4,0)</f>
        <v>LLDPE</v>
      </c>
      <c r="N735" s="4" t="s">
        <v>49</v>
      </c>
      <c r="Q735" s="6">
        <v>45889</v>
      </c>
      <c r="R735" s="6" t="str">
        <f>TEXT(Q735, "MMM-YY")</f>
        <v>Aug-25</v>
      </c>
      <c r="X735" s="25">
        <v>98.433000000000007</v>
      </c>
      <c r="Y735" s="25" t="s">
        <v>1304</v>
      </c>
      <c r="Z735" s="25" t="s">
        <v>1308</v>
      </c>
      <c r="AB735"/>
      <c r="AC735"/>
      <c r="AD735"/>
      <c r="AE735"/>
      <c r="AF735"/>
      <c r="AG735"/>
      <c r="AH735"/>
      <c r="AI735"/>
      <c r="AJ735"/>
      <c r="AK735"/>
      <c r="AL735"/>
      <c r="AM735"/>
      <c r="AN735" s="9">
        <f t="shared" si="23"/>
        <v>0</v>
      </c>
      <c r="AO735" s="8"/>
      <c r="AP735" s="9">
        <f>I735-W735-X735-AN735</f>
        <v>0</v>
      </c>
      <c r="AQ735" t="s">
        <v>1324</v>
      </c>
    </row>
    <row r="736" spans="1:43" x14ac:dyDescent="0.3">
      <c r="A736" s="11">
        <f t="shared" si="24"/>
        <v>734</v>
      </c>
      <c r="B736" s="5" t="s">
        <v>1675</v>
      </c>
      <c r="C736" t="s">
        <v>893</v>
      </c>
      <c r="D736" s="24" t="s">
        <v>848</v>
      </c>
      <c r="E736" s="24" t="str">
        <f>IFERROR(VLOOKUP(D736,Dropdown!A:B,2,0),D736)</f>
        <v>ASHOKA ENTERPRISE</v>
      </c>
      <c r="F736" s="6">
        <v>45889</v>
      </c>
      <c r="G736" s="6" t="str">
        <f>TEXT(F736, "MMM-YY")</f>
        <v>Aug-25</v>
      </c>
      <c r="H736" t="s">
        <v>701</v>
      </c>
      <c r="I736" s="25">
        <v>73</v>
      </c>
      <c r="J736" s="4">
        <v>2000</v>
      </c>
      <c r="K736" t="s">
        <v>936</v>
      </c>
      <c r="L736" s="4" t="str">
        <f>VLOOKUP(K736, 'Items Master'!A:E,5,0)</f>
        <v>FORMOSA</v>
      </c>
      <c r="M736" s="4" t="str">
        <f>VLOOKUP(K736, 'Items Master'!A:D,4,0)</f>
        <v>PVC</v>
      </c>
      <c r="N736" s="4" t="s">
        <v>24</v>
      </c>
      <c r="Q736" s="6">
        <v>45889</v>
      </c>
      <c r="R736" s="6" t="str">
        <f>TEXT(Q736, "MMM-YY")</f>
        <v>Aug-25</v>
      </c>
      <c r="W736" s="25">
        <v>73</v>
      </c>
      <c r="Y736"/>
      <c r="Z736"/>
      <c r="AB736"/>
      <c r="AC736"/>
      <c r="AD736"/>
      <c r="AE736"/>
      <c r="AF736"/>
      <c r="AG736"/>
      <c r="AH736"/>
      <c r="AI736"/>
      <c r="AJ736"/>
      <c r="AK736"/>
      <c r="AL736"/>
      <c r="AM736"/>
      <c r="AN736" s="9">
        <f t="shared" si="23"/>
        <v>0</v>
      </c>
      <c r="AO736" s="8"/>
      <c r="AP736" s="9">
        <f>I736-W736-X736-AN736</f>
        <v>0</v>
      </c>
      <c r="AQ736" t="s">
        <v>1316</v>
      </c>
    </row>
    <row r="737" spans="1:43" x14ac:dyDescent="0.3">
      <c r="A737" s="11">
        <f t="shared" si="24"/>
        <v>735</v>
      </c>
      <c r="B737" s="5" t="s">
        <v>1675</v>
      </c>
      <c r="C737" t="s">
        <v>894</v>
      </c>
      <c r="D737" s="24" t="s">
        <v>857</v>
      </c>
      <c r="E737" s="24" t="str">
        <f>IFERROR(VLOOKUP(D737,Dropdown!A:B,2,0),D737)</f>
        <v>Purav</v>
      </c>
      <c r="F737" s="6">
        <v>45889</v>
      </c>
      <c r="G737" s="6" t="str">
        <f>TEXT(F737, "MMM-YY")</f>
        <v>Aug-25</v>
      </c>
      <c r="H737" t="s">
        <v>702</v>
      </c>
      <c r="I737" s="25">
        <v>98</v>
      </c>
      <c r="J737" s="4">
        <v>10000</v>
      </c>
      <c r="K737" t="s">
        <v>17</v>
      </c>
      <c r="L737" s="4" t="str">
        <f>VLOOKUP(K737, 'Items Master'!A:E,5,0)</f>
        <v>OPAL</v>
      </c>
      <c r="M737" s="4" t="str">
        <f>VLOOKUP(K737, 'Items Master'!A:D,4,0)</f>
        <v>LLDPE</v>
      </c>
      <c r="N737" s="4" t="s">
        <v>49</v>
      </c>
      <c r="O737" t="s">
        <v>1298</v>
      </c>
      <c r="Q737" s="6">
        <v>45889</v>
      </c>
      <c r="R737" s="6" t="str">
        <f>TEXT(Q737, "MMM-YY")</f>
        <v>Aug-25</v>
      </c>
      <c r="S737" t="s">
        <v>21</v>
      </c>
      <c r="U737" t="s">
        <v>1605</v>
      </c>
      <c r="X737" s="25">
        <v>98.8</v>
      </c>
      <c r="Y737" s="25" t="s">
        <v>1303</v>
      </c>
      <c r="Z737" s="25" t="s">
        <v>1306</v>
      </c>
      <c r="AB737" s="8">
        <v>-0.9</v>
      </c>
      <c r="AH737" s="8">
        <v>0.1</v>
      </c>
      <c r="AN737" s="9">
        <f t="shared" si="23"/>
        <v>-0.8</v>
      </c>
      <c r="AO737" s="8"/>
      <c r="AP737" s="9">
        <f>I737-W737-X737-AN737</f>
        <v>2.886579864025407E-15</v>
      </c>
      <c r="AQ737" t="s">
        <v>1316</v>
      </c>
    </row>
    <row r="738" spans="1:43" x14ac:dyDescent="0.3">
      <c r="A738" s="11">
        <f t="shared" si="24"/>
        <v>736</v>
      </c>
      <c r="B738" s="5" t="s">
        <v>1675</v>
      </c>
      <c r="C738" t="s">
        <v>894</v>
      </c>
      <c r="D738" s="24" t="s">
        <v>857</v>
      </c>
      <c r="E738" s="24" t="str">
        <f>IFERROR(VLOOKUP(D738,Dropdown!A:B,2,0),D738)</f>
        <v>Purav</v>
      </c>
      <c r="F738" s="6">
        <v>45889</v>
      </c>
      <c r="G738" s="6" t="str">
        <f>TEXT(F738, "MMM-YY")</f>
        <v>Aug-25</v>
      </c>
      <c r="H738" t="s">
        <v>703</v>
      </c>
      <c r="I738" s="25">
        <v>97.95</v>
      </c>
      <c r="J738" s="4">
        <v>10000</v>
      </c>
      <c r="K738" t="s">
        <v>896</v>
      </c>
      <c r="L738" s="4" t="str">
        <f>VLOOKUP(K738, 'Items Master'!A:E,5,0)</f>
        <v>OPAL</v>
      </c>
      <c r="M738" s="4" t="str">
        <f>VLOOKUP(K738, 'Items Master'!A:D,4,0)</f>
        <v>HDPE</v>
      </c>
      <c r="N738" s="4" t="s">
        <v>49</v>
      </c>
      <c r="O738" t="s">
        <v>1298</v>
      </c>
      <c r="Q738" s="6">
        <v>45889</v>
      </c>
      <c r="R738" s="6" t="str">
        <f>TEXT(Q738, "MMM-YY")</f>
        <v>Aug-25</v>
      </c>
      <c r="S738" t="s">
        <v>21</v>
      </c>
      <c r="U738" t="s">
        <v>1605</v>
      </c>
      <c r="X738" s="25">
        <v>98.75</v>
      </c>
      <c r="Y738" s="25" t="s">
        <v>1303</v>
      </c>
      <c r="Z738" s="25" t="s">
        <v>1306</v>
      </c>
      <c r="AB738" s="8">
        <v>-0.9</v>
      </c>
      <c r="AH738" s="8">
        <v>0.1</v>
      </c>
      <c r="AN738" s="9">
        <f t="shared" si="23"/>
        <v>-0.8</v>
      </c>
      <c r="AO738" s="8"/>
      <c r="AP738" s="9">
        <f>I738-W738-X738-AN738</f>
        <v>2.886579864025407E-15</v>
      </c>
      <c r="AQ738" t="s">
        <v>1316</v>
      </c>
    </row>
    <row r="739" spans="1:43" x14ac:dyDescent="0.3">
      <c r="A739" s="11">
        <f t="shared" si="24"/>
        <v>737</v>
      </c>
      <c r="B739" s="5" t="s">
        <v>1675</v>
      </c>
      <c r="C739" t="s">
        <v>893</v>
      </c>
      <c r="D739" s="24" t="s">
        <v>48</v>
      </c>
      <c r="E739" s="24" t="str">
        <f>IFERROR(VLOOKUP(D739,Dropdown!A:B,2,0),D739)</f>
        <v>CVPL</v>
      </c>
      <c r="F739" s="6">
        <v>45889</v>
      </c>
      <c r="G739" s="6" t="str">
        <f>TEXT(F739, "MMM-YY")</f>
        <v>Aug-25</v>
      </c>
      <c r="H739" t="s">
        <v>704</v>
      </c>
      <c r="I739" s="25">
        <v>99.65</v>
      </c>
      <c r="J739" s="4">
        <v>2500</v>
      </c>
      <c r="K739" t="s">
        <v>937</v>
      </c>
      <c r="L739" s="4" t="str">
        <f>VLOOKUP(K739, 'Items Master'!A:E,5,0)</f>
        <v>MRPL</v>
      </c>
      <c r="M739" s="4" t="str">
        <f>VLOOKUP(K739, 'Items Master'!A:D,4,0)</f>
        <v>PP</v>
      </c>
      <c r="N739" s="4" t="s">
        <v>49</v>
      </c>
      <c r="O739" t="s">
        <v>1298</v>
      </c>
      <c r="Q739" s="6">
        <v>45889</v>
      </c>
      <c r="R739" s="6" t="str">
        <f>TEXT(Q739, "MMM-YY")</f>
        <v>Aug-25</v>
      </c>
      <c r="X739" s="25">
        <v>97.846000000000004</v>
      </c>
      <c r="Y739" s="25" t="s">
        <v>1304</v>
      </c>
      <c r="Z739" s="25" t="s">
        <v>1305</v>
      </c>
      <c r="AB739"/>
      <c r="AC739"/>
      <c r="AD739"/>
      <c r="AE739"/>
      <c r="AF739"/>
      <c r="AG739"/>
      <c r="AH739"/>
      <c r="AI739"/>
      <c r="AJ739"/>
      <c r="AK739"/>
      <c r="AL739"/>
      <c r="AM739"/>
      <c r="AN739" s="9">
        <f t="shared" si="23"/>
        <v>0</v>
      </c>
      <c r="AO739" s="8"/>
      <c r="AP739" s="9">
        <f>I739-W739-X739-AN739</f>
        <v>1.804000000000002</v>
      </c>
      <c r="AQ739" t="s">
        <v>1324</v>
      </c>
    </row>
    <row r="740" spans="1:43" x14ac:dyDescent="0.3">
      <c r="A740" s="11">
        <f t="shared" si="24"/>
        <v>738</v>
      </c>
      <c r="B740" s="5" t="s">
        <v>1675</v>
      </c>
      <c r="C740" t="s">
        <v>893</v>
      </c>
      <c r="D740" s="24" t="s">
        <v>48</v>
      </c>
      <c r="E740" s="24" t="str">
        <f>IFERROR(VLOOKUP(D740,Dropdown!A:B,2,0),D740)</f>
        <v>CVPL</v>
      </c>
      <c r="F740" s="6">
        <v>45889</v>
      </c>
      <c r="G740" s="6" t="str">
        <f>TEXT(F740, "MMM-YY")</f>
        <v>Aug-25</v>
      </c>
      <c r="H740" t="s">
        <v>706</v>
      </c>
      <c r="I740" s="25">
        <v>100.47</v>
      </c>
      <c r="J740" s="4">
        <v>3000</v>
      </c>
      <c r="K740" t="s">
        <v>1013</v>
      </c>
      <c r="L740" s="4" t="str">
        <f>VLOOKUP(K740, 'Items Master'!A:E,5,0)</f>
        <v>GAIL</v>
      </c>
      <c r="M740" s="4" t="str">
        <f>VLOOKUP(K740, 'Items Master'!A:D,4,0)</f>
        <v>HDPE</v>
      </c>
      <c r="N740" s="4" t="s">
        <v>49</v>
      </c>
      <c r="O740" t="s">
        <v>1298</v>
      </c>
      <c r="Q740" s="6">
        <v>45889</v>
      </c>
      <c r="R740" s="6" t="str">
        <f>TEXT(Q740, "MMM-YY")</f>
        <v>Aug-25</v>
      </c>
      <c r="X740" s="25">
        <v>99.965999999999994</v>
      </c>
      <c r="Y740" s="25" t="s">
        <v>1304</v>
      </c>
      <c r="Z740" s="25" t="s">
        <v>1305</v>
      </c>
      <c r="AB740"/>
      <c r="AC740"/>
      <c r="AD740"/>
      <c r="AE740"/>
      <c r="AF740"/>
      <c r="AG740"/>
      <c r="AH740"/>
      <c r="AI740"/>
      <c r="AJ740"/>
      <c r="AK740"/>
      <c r="AL740"/>
      <c r="AM740"/>
      <c r="AN740" s="9">
        <f t="shared" si="23"/>
        <v>0</v>
      </c>
      <c r="AO740" s="8"/>
      <c r="AP740" s="9">
        <f>I740-W740-X740-AN740</f>
        <v>0.50400000000000489</v>
      </c>
      <c r="AQ740" t="s">
        <v>1324</v>
      </c>
    </row>
    <row r="741" spans="1:43" x14ac:dyDescent="0.3">
      <c r="A741" s="11">
        <f t="shared" si="24"/>
        <v>739</v>
      </c>
      <c r="B741" s="5" t="s">
        <v>1675</v>
      </c>
      <c r="C741" t="s">
        <v>893</v>
      </c>
      <c r="D741" s="24" t="s">
        <v>864</v>
      </c>
      <c r="E741" s="24" t="str">
        <f>IFERROR(VLOOKUP(D741,Dropdown!A:B,2,0),D741)</f>
        <v>SVP</v>
      </c>
      <c r="F741" s="6">
        <v>45890</v>
      </c>
      <c r="G741" s="6" t="str">
        <f>TEXT(F741, "MMM-YY")</f>
        <v>Aug-25</v>
      </c>
      <c r="H741" t="s">
        <v>705</v>
      </c>
      <c r="I741" s="25">
        <v>97.19</v>
      </c>
      <c r="J741" s="4">
        <v>2500</v>
      </c>
      <c r="K741" t="s">
        <v>1012</v>
      </c>
      <c r="L741" s="4" t="str">
        <f>VLOOKUP(K741, 'Items Master'!A:E,5,0)</f>
        <v>HMEL</v>
      </c>
      <c r="M741" s="4" t="str">
        <f>VLOOKUP(K741, 'Items Master'!A:D,4,0)</f>
        <v>LLDPE</v>
      </c>
      <c r="N741" s="4" t="s">
        <v>49</v>
      </c>
      <c r="Q741" s="6">
        <v>45889</v>
      </c>
      <c r="R741" s="6" t="str">
        <f>TEXT(Q741, "MMM-YY")</f>
        <v>Aug-25</v>
      </c>
      <c r="X741" s="25">
        <v>99.29</v>
      </c>
      <c r="Y741" t="s">
        <v>1303</v>
      </c>
      <c r="Z741" t="s">
        <v>1305</v>
      </c>
      <c r="AB741" s="8">
        <v>-1.1000000000000001</v>
      </c>
      <c r="AC741" s="8">
        <v>-1</v>
      </c>
      <c r="AN741" s="9">
        <f t="shared" si="23"/>
        <v>-2.1</v>
      </c>
      <c r="AO741" s="8"/>
      <c r="AP741" s="9">
        <f>I741-W741-X741-AN741</f>
        <v>-8.4376949871511897E-15</v>
      </c>
      <c r="AQ741" t="s">
        <v>1316</v>
      </c>
    </row>
    <row r="742" spans="1:43" x14ac:dyDescent="0.3">
      <c r="A742" s="11">
        <f t="shared" si="24"/>
        <v>740</v>
      </c>
      <c r="B742" s="5" t="s">
        <v>1675</v>
      </c>
      <c r="C742" t="s">
        <v>893</v>
      </c>
      <c r="D742" s="24" t="s">
        <v>857</v>
      </c>
      <c r="E742" s="24" t="str">
        <f>IFERROR(VLOOKUP(D742,Dropdown!A:B,2,0),D742)</f>
        <v>Purav</v>
      </c>
      <c r="F742" s="6">
        <v>45890</v>
      </c>
      <c r="G742" s="6" t="str">
        <f>TEXT(F742, "MMM-YY")</f>
        <v>Aug-25</v>
      </c>
      <c r="H742" t="s">
        <v>707</v>
      </c>
      <c r="I742" s="25">
        <v>97.95</v>
      </c>
      <c r="J742" s="4">
        <v>5000</v>
      </c>
      <c r="K742" t="s">
        <v>896</v>
      </c>
      <c r="L742" s="4" t="str">
        <f>VLOOKUP(K742, 'Items Master'!A:E,5,0)</f>
        <v>OPAL</v>
      </c>
      <c r="M742" s="4" t="str">
        <f>VLOOKUP(K742, 'Items Master'!A:D,4,0)</f>
        <v>HDPE</v>
      </c>
      <c r="N742" s="4" t="s">
        <v>49</v>
      </c>
      <c r="O742" s="51" t="s">
        <v>1302</v>
      </c>
      <c r="Q742" s="6">
        <v>45890</v>
      </c>
      <c r="R742" s="6" t="str">
        <f>TEXT(Q742, "MMM-YY")</f>
        <v>Aug-25</v>
      </c>
      <c r="S742" s="51"/>
      <c r="U742" t="s">
        <v>1605</v>
      </c>
      <c r="X742" s="25">
        <v>98.75</v>
      </c>
      <c r="Y742" s="25" t="s">
        <v>1303</v>
      </c>
      <c r="Z742" s="25" t="s">
        <v>1306</v>
      </c>
      <c r="AB742" s="8">
        <v>-0.9</v>
      </c>
      <c r="AH742" s="8">
        <v>0.1</v>
      </c>
      <c r="AN742" s="9">
        <f t="shared" si="23"/>
        <v>-0.8</v>
      </c>
      <c r="AO742" s="8"/>
      <c r="AP742" s="9">
        <f>I742-W742-X742-AN742</f>
        <v>2.886579864025407E-15</v>
      </c>
      <c r="AQ742" t="s">
        <v>1316</v>
      </c>
    </row>
    <row r="743" spans="1:43" x14ac:dyDescent="0.3">
      <c r="A743" s="11">
        <f t="shared" si="24"/>
        <v>741</v>
      </c>
      <c r="B743" s="5" t="s">
        <v>1675</v>
      </c>
      <c r="C743" t="s">
        <v>893</v>
      </c>
      <c r="D743" s="24" t="s">
        <v>857</v>
      </c>
      <c r="E743" s="24" t="str">
        <f>IFERROR(VLOOKUP(D743,Dropdown!A:B,2,0),D743)</f>
        <v>Purav</v>
      </c>
      <c r="F743" s="6">
        <v>45890</v>
      </c>
      <c r="G743" s="6" t="str">
        <f>TEXT(F743, "MMM-YY")</f>
        <v>Aug-25</v>
      </c>
      <c r="H743" t="s">
        <v>708</v>
      </c>
      <c r="I743" s="25">
        <v>98.25</v>
      </c>
      <c r="J743" s="4">
        <v>5000</v>
      </c>
      <c r="K743" t="s">
        <v>898</v>
      </c>
      <c r="L743" s="4" t="str">
        <f>VLOOKUP(K743, 'Items Master'!A:E,5,0)</f>
        <v>OPAL</v>
      </c>
      <c r="M743" s="4" t="str">
        <f>VLOOKUP(K743, 'Items Master'!A:D,4,0)</f>
        <v>LLDPE</v>
      </c>
      <c r="N743" s="4" t="s">
        <v>49</v>
      </c>
      <c r="O743" t="s">
        <v>1298</v>
      </c>
      <c r="Q743" s="6">
        <v>45890</v>
      </c>
      <c r="R743" s="6" t="str">
        <f>TEXT(Q743, "MMM-YY")</f>
        <v>Aug-25</v>
      </c>
      <c r="U743" t="s">
        <v>1605</v>
      </c>
      <c r="X743" s="25">
        <v>99.05</v>
      </c>
      <c r="Y743" s="25" t="s">
        <v>1303</v>
      </c>
      <c r="Z743" s="25" t="s">
        <v>1306</v>
      </c>
      <c r="AB743" s="8">
        <v>-0.9</v>
      </c>
      <c r="AH743" s="8">
        <v>0.1</v>
      </c>
      <c r="AN743" s="9">
        <f t="shared" si="23"/>
        <v>-0.8</v>
      </c>
      <c r="AO743" s="8"/>
      <c r="AP743" s="9">
        <f>I743-W743-X743-AN743</f>
        <v>2.886579864025407E-15</v>
      </c>
      <c r="AQ743" t="s">
        <v>1316</v>
      </c>
    </row>
    <row r="744" spans="1:43" x14ac:dyDescent="0.3">
      <c r="A744" s="11">
        <f t="shared" si="24"/>
        <v>742</v>
      </c>
      <c r="B744" s="5" t="s">
        <v>1675</v>
      </c>
      <c r="C744" t="s">
        <v>893</v>
      </c>
      <c r="D744" s="24" t="s">
        <v>856</v>
      </c>
      <c r="E744" s="24" t="str">
        <f>IFERROR(VLOOKUP(D744,Dropdown!A:B,2,0),D744)</f>
        <v>SRI LAKOSHA POLYMER PRIVATE LTD</v>
      </c>
      <c r="F744" s="6">
        <v>45890</v>
      </c>
      <c r="G744" s="6" t="str">
        <f>TEXT(F744, "MMM-YY")</f>
        <v>Aug-25</v>
      </c>
      <c r="H744" t="s">
        <v>709</v>
      </c>
      <c r="I744" s="25">
        <v>72.55</v>
      </c>
      <c r="J744" s="4">
        <v>25000</v>
      </c>
      <c r="K744" t="s">
        <v>900</v>
      </c>
      <c r="L744" s="4" t="str">
        <f>VLOOKUP(K744, 'Items Master'!A:E,5,0)</f>
        <v>HANWHA</v>
      </c>
      <c r="M744" s="4" t="str">
        <f>VLOOKUP(K744, 'Items Master'!A:D,4,0)</f>
        <v>PVC</v>
      </c>
      <c r="N744" s="4" t="s">
        <v>24</v>
      </c>
      <c r="Q744" s="6">
        <v>45890</v>
      </c>
      <c r="R744" s="6" t="str">
        <f>TEXT(Q744, "MMM-YY")</f>
        <v>Aug-25</v>
      </c>
      <c r="W744" s="25">
        <v>72.55</v>
      </c>
      <c r="Y744"/>
      <c r="Z744"/>
      <c r="AB744"/>
      <c r="AC744"/>
      <c r="AD744"/>
      <c r="AE744"/>
      <c r="AF744"/>
      <c r="AG744"/>
      <c r="AH744"/>
      <c r="AI744"/>
      <c r="AJ744"/>
      <c r="AK744"/>
      <c r="AL744"/>
      <c r="AM744"/>
      <c r="AN744" s="9">
        <f t="shared" si="23"/>
        <v>0</v>
      </c>
      <c r="AO744" s="8"/>
      <c r="AP744" s="9">
        <f>I744-W744-X744-AN744</f>
        <v>0</v>
      </c>
      <c r="AQ744" t="s">
        <v>1316</v>
      </c>
    </row>
    <row r="745" spans="1:43" x14ac:dyDescent="0.3">
      <c r="A745" s="11">
        <f t="shared" si="24"/>
        <v>743</v>
      </c>
      <c r="B745" s="5" t="s">
        <v>1675</v>
      </c>
      <c r="C745" t="s">
        <v>893</v>
      </c>
      <c r="D745" s="24" t="s">
        <v>864</v>
      </c>
      <c r="E745" s="24" t="str">
        <f>IFERROR(VLOOKUP(D745,Dropdown!A:B,2,0),D745)</f>
        <v>SVP</v>
      </c>
      <c r="F745" s="6">
        <v>45890</v>
      </c>
      <c r="G745" s="6" t="str">
        <f>TEXT(F745, "MMM-YY")</f>
        <v>Aug-25</v>
      </c>
      <c r="H745" t="s">
        <v>710</v>
      </c>
      <c r="I745" s="25">
        <v>98.69</v>
      </c>
      <c r="J745" s="4">
        <v>2500</v>
      </c>
      <c r="K745" t="s">
        <v>958</v>
      </c>
      <c r="L745" s="4" t="str">
        <f>VLOOKUP(K745, 'Items Master'!A:E,5,0)</f>
        <v>HMEL</v>
      </c>
      <c r="M745" s="4" t="str">
        <f>VLOOKUP(K745, 'Items Master'!A:D,4,0)</f>
        <v>PP</v>
      </c>
      <c r="N745" s="4" t="s">
        <v>49</v>
      </c>
      <c r="Q745" s="6">
        <v>45890</v>
      </c>
      <c r="R745" s="6" t="str">
        <f>TEXT(Q745, "MMM-YY")</f>
        <v>Aug-25</v>
      </c>
      <c r="X745" s="25">
        <v>100.09</v>
      </c>
      <c r="Y745" t="s">
        <v>1303</v>
      </c>
      <c r="Z745" t="s">
        <v>1305</v>
      </c>
      <c r="AB745" s="8">
        <v>-1.1000000000000001</v>
      </c>
      <c r="AC745" s="8">
        <v>-0.3</v>
      </c>
      <c r="AN745" s="9">
        <f t="shared" si="23"/>
        <v>-1.4000000000000001</v>
      </c>
      <c r="AO745" s="8"/>
      <c r="AP745" s="9">
        <f>I745-W745-X745-AN745</f>
        <v>-5.5511151231257827E-15</v>
      </c>
      <c r="AQ745" t="s">
        <v>1316</v>
      </c>
    </row>
    <row r="746" spans="1:43" x14ac:dyDescent="0.3">
      <c r="A746" s="11">
        <f t="shared" si="24"/>
        <v>744</v>
      </c>
      <c r="B746" s="5" t="s">
        <v>1675</v>
      </c>
      <c r="C746" t="s">
        <v>893</v>
      </c>
      <c r="D746" s="24" t="s">
        <v>836</v>
      </c>
      <c r="E746" s="24" t="str">
        <f>IFERROR(VLOOKUP(D746,Dropdown!A:B,2,0),D746)</f>
        <v>Intime</v>
      </c>
      <c r="F746" s="6">
        <v>45890</v>
      </c>
      <c r="G746" s="6" t="str">
        <f>TEXT(F746, "MMM-YY")</f>
        <v>Aug-25</v>
      </c>
      <c r="H746" t="s">
        <v>711</v>
      </c>
      <c r="I746" s="25">
        <v>98.433000000000007</v>
      </c>
      <c r="J746" s="4">
        <v>13000</v>
      </c>
      <c r="K746" t="s">
        <v>911</v>
      </c>
      <c r="L746" s="4" t="str">
        <f>VLOOKUP(K746, 'Items Master'!A:E,5,0)</f>
        <v>BCPL</v>
      </c>
      <c r="M746" s="4" t="str">
        <f>VLOOKUP(K746, 'Items Master'!A:D,4,0)</f>
        <v>LLDPE</v>
      </c>
      <c r="N746" s="4" t="s">
        <v>49</v>
      </c>
      <c r="Q746" s="6">
        <v>45890</v>
      </c>
      <c r="R746" s="6" t="str">
        <f>TEXT(Q746, "MMM-YY")</f>
        <v>Aug-25</v>
      </c>
      <c r="X746" s="25">
        <v>98.433000000000007</v>
      </c>
      <c r="Y746" s="25" t="s">
        <v>1304</v>
      </c>
      <c r="Z746" s="25" t="s">
        <v>1308</v>
      </c>
      <c r="AB746"/>
      <c r="AC746"/>
      <c r="AD746"/>
      <c r="AE746"/>
      <c r="AF746"/>
      <c r="AG746"/>
      <c r="AH746"/>
      <c r="AI746"/>
      <c r="AJ746"/>
      <c r="AK746"/>
      <c r="AL746"/>
      <c r="AM746"/>
      <c r="AN746" s="9">
        <f t="shared" si="23"/>
        <v>0</v>
      </c>
      <c r="AO746" s="8"/>
      <c r="AP746" s="9">
        <f>I746-W746-X746-AN746</f>
        <v>0</v>
      </c>
      <c r="AQ746" t="s">
        <v>1324</v>
      </c>
    </row>
    <row r="747" spans="1:43" x14ac:dyDescent="0.3">
      <c r="A747" s="11">
        <f t="shared" si="24"/>
        <v>745</v>
      </c>
      <c r="B747" s="5" t="s">
        <v>1675</v>
      </c>
      <c r="C747" t="s">
        <v>894</v>
      </c>
      <c r="D747" s="24" t="s">
        <v>883</v>
      </c>
      <c r="E747" s="24" t="str">
        <f>IFERROR(VLOOKUP(D747,Dropdown!A:B,2,0),D747)</f>
        <v>VIDHI PETRO PRODUCTS PRIVATE LIMITED</v>
      </c>
      <c r="F747" s="6">
        <v>45890</v>
      </c>
      <c r="G747" s="6" t="str">
        <f>TEXT(F747, "MMM-YY")</f>
        <v>Aug-25</v>
      </c>
      <c r="H747" t="s">
        <v>712</v>
      </c>
      <c r="I747" s="25">
        <v>93</v>
      </c>
      <c r="J747" s="4">
        <v>13500</v>
      </c>
      <c r="K747" t="s">
        <v>982</v>
      </c>
      <c r="L747" s="4" t="str">
        <f>VLOOKUP(K747, 'Items Master'!A:E,5,0)</f>
        <v>SABIC</v>
      </c>
      <c r="M747" s="4" t="str">
        <f>VLOOKUP(K747, 'Items Master'!A:D,4,0)</f>
        <v>HDPE</v>
      </c>
      <c r="N747" s="4" t="s">
        <v>24</v>
      </c>
      <c r="Q747" s="6">
        <v>45890</v>
      </c>
      <c r="R747" s="6" t="str">
        <f>TEXT(Q747, "MMM-YY")</f>
        <v>Aug-25</v>
      </c>
      <c r="W747" s="25">
        <v>93</v>
      </c>
      <c r="Y747"/>
      <c r="Z747"/>
      <c r="AB747"/>
      <c r="AC747"/>
      <c r="AD747"/>
      <c r="AE747"/>
      <c r="AF747"/>
      <c r="AG747"/>
      <c r="AH747"/>
      <c r="AI747"/>
      <c r="AJ747"/>
      <c r="AK747"/>
      <c r="AL747"/>
      <c r="AM747"/>
      <c r="AN747" s="9">
        <f t="shared" si="23"/>
        <v>0</v>
      </c>
      <c r="AO747" s="8"/>
      <c r="AP747" s="9">
        <f>I747-W747-X747-AN747</f>
        <v>0</v>
      </c>
      <c r="AQ747" t="s">
        <v>1316</v>
      </c>
    </row>
    <row r="748" spans="1:43" x14ac:dyDescent="0.3">
      <c r="A748" s="11">
        <f t="shared" si="24"/>
        <v>746</v>
      </c>
      <c r="B748" s="5" t="s">
        <v>1675</v>
      </c>
      <c r="C748" t="s">
        <v>894</v>
      </c>
      <c r="D748" s="24" t="s">
        <v>857</v>
      </c>
      <c r="E748" s="24" t="str">
        <f>IFERROR(VLOOKUP(D748,Dropdown!A:B,2,0),D748)</f>
        <v>Purav</v>
      </c>
      <c r="F748" s="6">
        <v>45890</v>
      </c>
      <c r="G748" s="6" t="str">
        <f>TEXT(F748, "MMM-YY")</f>
        <v>Aug-25</v>
      </c>
      <c r="H748" t="s">
        <v>1604</v>
      </c>
      <c r="I748" s="25">
        <v>97.95</v>
      </c>
      <c r="J748" s="4">
        <v>5000</v>
      </c>
      <c r="K748" t="s">
        <v>896</v>
      </c>
      <c r="L748" s="4" t="str">
        <f>VLOOKUP(K748, 'Items Master'!A:E,5,0)</f>
        <v>OPAL</v>
      </c>
      <c r="M748" s="4" t="str">
        <f>VLOOKUP(K748, 'Items Master'!A:D,4,0)</f>
        <v>HDPE</v>
      </c>
      <c r="N748" t="s">
        <v>49</v>
      </c>
      <c r="Q748" s="6">
        <v>45890</v>
      </c>
      <c r="R748" s="6" t="str">
        <f>TEXT(Q748, "MMM-YY")</f>
        <v>Aug-25</v>
      </c>
      <c r="U748" t="s">
        <v>1605</v>
      </c>
      <c r="X748" s="25">
        <v>98.75</v>
      </c>
      <c r="Y748" s="25" t="s">
        <v>1303</v>
      </c>
      <c r="Z748" s="25" t="s">
        <v>1306</v>
      </c>
      <c r="AB748" s="8">
        <v>-0.9</v>
      </c>
      <c r="AC748"/>
      <c r="AD748"/>
      <c r="AE748"/>
      <c r="AF748"/>
      <c r="AG748"/>
      <c r="AH748" s="8">
        <v>0.1</v>
      </c>
      <c r="AI748"/>
      <c r="AJ748"/>
      <c r="AK748"/>
      <c r="AL748"/>
      <c r="AM748"/>
      <c r="AN748" s="9">
        <f t="shared" si="23"/>
        <v>-0.8</v>
      </c>
      <c r="AO748" s="8"/>
      <c r="AP748" s="9">
        <f>I748-W748-X748-AN748</f>
        <v>2.886579864025407E-15</v>
      </c>
      <c r="AQ748" t="s">
        <v>1316</v>
      </c>
    </row>
    <row r="749" spans="1:43" x14ac:dyDescent="0.3">
      <c r="A749" s="11">
        <f t="shared" si="24"/>
        <v>747</v>
      </c>
      <c r="B749" s="5" t="s">
        <v>1675</v>
      </c>
      <c r="C749" t="s">
        <v>893</v>
      </c>
      <c r="D749" s="24" t="s">
        <v>864</v>
      </c>
      <c r="E749" s="24" t="str">
        <f>IFERROR(VLOOKUP(D749,Dropdown!A:B,2,0),D749)</f>
        <v>SVP</v>
      </c>
      <c r="F749" s="6">
        <v>45891</v>
      </c>
      <c r="G749" s="6" t="str">
        <f>TEXT(F749, "MMM-YY")</f>
        <v>Aug-25</v>
      </c>
      <c r="H749" t="s">
        <v>713</v>
      </c>
      <c r="I749" s="25">
        <v>96.19</v>
      </c>
      <c r="J749" s="4">
        <v>2500</v>
      </c>
      <c r="K749" t="s">
        <v>1012</v>
      </c>
      <c r="L749" s="4" t="str">
        <f>VLOOKUP(K749, 'Items Master'!A:E,5,0)</f>
        <v>HMEL</v>
      </c>
      <c r="M749" s="4" t="str">
        <f>VLOOKUP(K749, 'Items Master'!A:D,4,0)</f>
        <v>LLDPE</v>
      </c>
      <c r="N749" s="4" t="s">
        <v>49</v>
      </c>
      <c r="Q749" s="6">
        <v>45891</v>
      </c>
      <c r="R749" s="6" t="str">
        <f>TEXT(Q749, "MMM-YY")</f>
        <v>Aug-25</v>
      </c>
      <c r="X749" s="25">
        <v>99.29</v>
      </c>
      <c r="Y749" t="s">
        <v>1303</v>
      </c>
      <c r="Z749" t="s">
        <v>1305</v>
      </c>
      <c r="AB749" s="8">
        <v>-1.1000000000000001</v>
      </c>
      <c r="AC749" s="8">
        <v>-1</v>
      </c>
      <c r="AE749" s="8">
        <v>-1</v>
      </c>
      <c r="AN749" s="9">
        <f t="shared" si="23"/>
        <v>-3.1</v>
      </c>
      <c r="AO749" s="8"/>
      <c r="AP749" s="9">
        <f>I749-W749-X749-AN749</f>
        <v>-8.4376949871511897E-15</v>
      </c>
      <c r="AQ749" t="s">
        <v>1316</v>
      </c>
    </row>
    <row r="750" spans="1:43" x14ac:dyDescent="0.3">
      <c r="A750" s="11">
        <f t="shared" si="24"/>
        <v>748</v>
      </c>
      <c r="B750" s="5" t="s">
        <v>1675</v>
      </c>
      <c r="C750" t="s">
        <v>893</v>
      </c>
      <c r="D750" s="24" t="s">
        <v>824</v>
      </c>
      <c r="E750" s="24" t="str">
        <f>IFERROR(VLOOKUP(D750,Dropdown!A:B,2,0),D750)</f>
        <v>Paragon</v>
      </c>
      <c r="F750" s="6">
        <v>45891</v>
      </c>
      <c r="G750" s="6" t="str">
        <f>TEXT(F750, "MMM-YY")</f>
        <v>Aug-25</v>
      </c>
      <c r="H750" t="s">
        <v>714</v>
      </c>
      <c r="I750" s="25">
        <v>99.5</v>
      </c>
      <c r="J750" s="4">
        <v>2500</v>
      </c>
      <c r="K750" t="s">
        <v>915</v>
      </c>
      <c r="L750" s="4" t="str">
        <f>VLOOKUP(K750, 'Items Master'!A:E,5,0)</f>
        <v>RIL</v>
      </c>
      <c r="M750" s="4" t="str">
        <f>VLOOKUP(K750, 'Items Master'!A:D,4,0)</f>
        <v>LLDPE</v>
      </c>
      <c r="N750" s="4" t="s">
        <v>49</v>
      </c>
      <c r="Q750" s="6">
        <v>45891</v>
      </c>
      <c r="R750" s="6" t="str">
        <f>TEXT(Q750, "MMM-YY")</f>
        <v>Aug-25</v>
      </c>
      <c r="X750" s="25">
        <v>99.5</v>
      </c>
      <c r="Y750" s="25" t="s">
        <v>1303</v>
      </c>
      <c r="Z750" s="25" t="s">
        <v>1305</v>
      </c>
      <c r="AB750"/>
      <c r="AC750"/>
      <c r="AD750"/>
      <c r="AE750"/>
      <c r="AF750"/>
      <c r="AG750"/>
      <c r="AH750"/>
      <c r="AI750"/>
      <c r="AJ750"/>
      <c r="AK750"/>
      <c r="AL750"/>
      <c r="AM750"/>
      <c r="AN750" s="9">
        <f t="shared" si="23"/>
        <v>0</v>
      </c>
      <c r="AO750" s="8"/>
      <c r="AP750" s="9">
        <f>I750-W750-X750-AN750</f>
        <v>0</v>
      </c>
      <c r="AQ750" t="s">
        <v>1324</v>
      </c>
    </row>
    <row r="751" spans="1:43" x14ac:dyDescent="0.3">
      <c r="A751" s="11">
        <f t="shared" si="24"/>
        <v>749</v>
      </c>
      <c r="B751" s="5" t="s">
        <v>1675</v>
      </c>
      <c r="C751" t="s">
        <v>893</v>
      </c>
      <c r="D751" s="24" t="s">
        <v>836</v>
      </c>
      <c r="E751" s="24" t="str">
        <f>IFERROR(VLOOKUP(D751,Dropdown!A:B,2,0),D751)</f>
        <v>Intime</v>
      </c>
      <c r="F751" s="6">
        <v>45891</v>
      </c>
      <c r="G751" s="6" t="str">
        <f>TEXT(F751, "MMM-YY")</f>
        <v>Aug-25</v>
      </c>
      <c r="H751" t="s">
        <v>715</v>
      </c>
      <c r="I751" s="25">
        <v>98.433000000000007</v>
      </c>
      <c r="J751" s="4">
        <v>12000</v>
      </c>
      <c r="K751" t="s">
        <v>911</v>
      </c>
      <c r="L751" s="4" t="str">
        <f>VLOOKUP(K751, 'Items Master'!A:E,5,0)</f>
        <v>BCPL</v>
      </c>
      <c r="M751" s="4" t="str">
        <f>VLOOKUP(K751, 'Items Master'!A:D,4,0)</f>
        <v>LLDPE</v>
      </c>
      <c r="N751" s="4" t="s">
        <v>49</v>
      </c>
      <c r="Q751" s="6">
        <v>45891</v>
      </c>
      <c r="R751" s="6" t="str">
        <f>TEXT(Q751, "MMM-YY")</f>
        <v>Aug-25</v>
      </c>
      <c r="X751" s="25">
        <v>98.433000000000007</v>
      </c>
      <c r="Y751" s="25" t="s">
        <v>1304</v>
      </c>
      <c r="Z751" s="25" t="s">
        <v>1308</v>
      </c>
      <c r="AB751"/>
      <c r="AC751"/>
      <c r="AD751"/>
      <c r="AE751"/>
      <c r="AF751"/>
      <c r="AG751"/>
      <c r="AH751"/>
      <c r="AI751"/>
      <c r="AJ751"/>
      <c r="AK751"/>
      <c r="AL751"/>
      <c r="AM751"/>
      <c r="AN751" s="9">
        <f t="shared" si="23"/>
        <v>0</v>
      </c>
      <c r="AO751" s="8"/>
      <c r="AP751" s="9">
        <f>I751-W751-X751-AN751</f>
        <v>0</v>
      </c>
      <c r="AQ751" t="s">
        <v>1324</v>
      </c>
    </row>
    <row r="752" spans="1:43" x14ac:dyDescent="0.3">
      <c r="A752" s="11">
        <f t="shared" si="24"/>
        <v>750</v>
      </c>
      <c r="B752" s="5" t="s">
        <v>1675</v>
      </c>
      <c r="C752" t="s">
        <v>893</v>
      </c>
      <c r="D752" s="24" t="s">
        <v>888</v>
      </c>
      <c r="E752" s="24" t="str">
        <f>IFERROR(VLOOKUP(D752,Dropdown!A:B,2,0),D752)</f>
        <v>SHREE SHYAM POLYMERS</v>
      </c>
      <c r="F752" s="6">
        <v>45891</v>
      </c>
      <c r="G752" s="6" t="str">
        <f>TEXT(F752, "MMM-YY")</f>
        <v>Aug-25</v>
      </c>
      <c r="H752" t="s">
        <v>716</v>
      </c>
      <c r="I752" s="25">
        <v>99</v>
      </c>
      <c r="J752" s="4">
        <v>1000</v>
      </c>
      <c r="K752" t="s">
        <v>911</v>
      </c>
      <c r="L752" s="4" t="str">
        <f>VLOOKUP(K752, 'Items Master'!A:E,5,0)</f>
        <v>BCPL</v>
      </c>
      <c r="M752" s="4" t="str">
        <f>VLOOKUP(K752, 'Items Master'!A:D,4,0)</f>
        <v>LLDPE</v>
      </c>
      <c r="N752" s="4" t="s">
        <v>24</v>
      </c>
      <c r="Q752" s="6">
        <v>45891</v>
      </c>
      <c r="R752" s="6" t="str">
        <f>TEXT(Q752, "MMM-YY")</f>
        <v>Aug-25</v>
      </c>
      <c r="W752" s="25">
        <v>99</v>
      </c>
      <c r="Y752"/>
      <c r="Z752"/>
      <c r="AB752"/>
      <c r="AC752"/>
      <c r="AD752"/>
      <c r="AE752"/>
      <c r="AF752"/>
      <c r="AG752"/>
      <c r="AH752"/>
      <c r="AI752"/>
      <c r="AJ752"/>
      <c r="AK752"/>
      <c r="AL752"/>
      <c r="AM752"/>
      <c r="AN752" s="9">
        <f t="shared" si="23"/>
        <v>0</v>
      </c>
      <c r="AO752" s="8"/>
      <c r="AP752" s="9">
        <f>I752-W752-X752-AN752</f>
        <v>0</v>
      </c>
      <c r="AQ752" t="s">
        <v>1316</v>
      </c>
    </row>
    <row r="753" spans="1:43" x14ac:dyDescent="0.3">
      <c r="A753" s="11">
        <f t="shared" si="24"/>
        <v>751</v>
      </c>
      <c r="B753" s="5" t="s">
        <v>1675</v>
      </c>
      <c r="C753" t="s">
        <v>893</v>
      </c>
      <c r="D753" s="24" t="s">
        <v>48</v>
      </c>
      <c r="E753" s="24" t="str">
        <f>IFERROR(VLOOKUP(D753,Dropdown!A:B,2,0),D753)</f>
        <v>CVPL</v>
      </c>
      <c r="F753" s="6">
        <v>45891</v>
      </c>
      <c r="G753" s="6" t="str">
        <f>TEXT(F753, "MMM-YY")</f>
        <v>Aug-25</v>
      </c>
      <c r="H753" t="s">
        <v>717</v>
      </c>
      <c r="I753" s="25">
        <v>98.3</v>
      </c>
      <c r="J753" s="4">
        <v>10000</v>
      </c>
      <c r="K753" t="s">
        <v>899</v>
      </c>
      <c r="L753" s="4" t="str">
        <f>VLOOKUP(K753, 'Items Master'!A:E,5,0)</f>
        <v>MRPL</v>
      </c>
      <c r="M753" s="4" t="str">
        <f>VLOOKUP(K753, 'Items Master'!A:D,4,0)</f>
        <v>PP</v>
      </c>
      <c r="N753" s="4" t="s">
        <v>49</v>
      </c>
      <c r="O753" t="s">
        <v>1298</v>
      </c>
      <c r="Q753" s="6">
        <v>45891</v>
      </c>
      <c r="R753" s="6" t="str">
        <f>TEXT(Q753, "MMM-YY")</f>
        <v>Aug-25</v>
      </c>
      <c r="X753" s="25">
        <v>97.995999999999995</v>
      </c>
      <c r="Y753" s="25" t="s">
        <v>1304</v>
      </c>
      <c r="Z753" s="25" t="s">
        <v>1307</v>
      </c>
      <c r="AB753"/>
      <c r="AC753"/>
      <c r="AD753"/>
      <c r="AE753"/>
      <c r="AF753"/>
      <c r="AG753"/>
      <c r="AH753"/>
      <c r="AI753"/>
      <c r="AJ753"/>
      <c r="AK753"/>
      <c r="AL753"/>
      <c r="AM753"/>
      <c r="AN753" s="9">
        <f t="shared" si="23"/>
        <v>0</v>
      </c>
      <c r="AO753" s="8"/>
      <c r="AP753" s="9">
        <f>I753-W753-X753-AN753</f>
        <v>0.30400000000000205</v>
      </c>
      <c r="AQ753" t="s">
        <v>1324</v>
      </c>
    </row>
    <row r="754" spans="1:43" x14ac:dyDescent="0.3">
      <c r="A754" s="11">
        <f t="shared" si="24"/>
        <v>752</v>
      </c>
      <c r="B754" s="5" t="s">
        <v>1675</v>
      </c>
      <c r="C754" t="s">
        <v>893</v>
      </c>
      <c r="D754" s="24" t="s">
        <v>872</v>
      </c>
      <c r="E754" s="24" t="str">
        <f>IFERROR(VLOOKUP(D754,Dropdown!A:B,2,0),D754)</f>
        <v>Value</v>
      </c>
      <c r="F754" s="6">
        <v>45891</v>
      </c>
      <c r="G754" s="6" t="str">
        <f>TEXT(F754, "MMM-YY")</f>
        <v>Aug-25</v>
      </c>
      <c r="H754" t="s">
        <v>718</v>
      </c>
      <c r="I754" s="25">
        <v>117</v>
      </c>
      <c r="J754" s="4">
        <v>250</v>
      </c>
      <c r="K754" t="s">
        <v>953</v>
      </c>
      <c r="L754" s="4" t="str">
        <f>VLOOKUP(K754, 'Items Master'!A:E,5,0)</f>
        <v>LOTRENE</v>
      </c>
      <c r="M754" s="4" t="str">
        <f>VLOOKUP(K754, 'Items Master'!A:D,4,0)</f>
        <v>LDPE</v>
      </c>
      <c r="N754" s="4" t="s">
        <v>24</v>
      </c>
      <c r="Q754" s="6">
        <v>45891</v>
      </c>
      <c r="R754" s="6" t="str">
        <f>TEXT(Q754, "MMM-YY")</f>
        <v>Aug-25</v>
      </c>
      <c r="U754" t="s">
        <v>1606</v>
      </c>
      <c r="W754" s="25">
        <v>117</v>
      </c>
      <c r="AB754"/>
      <c r="AC754"/>
      <c r="AD754"/>
      <c r="AE754"/>
      <c r="AF754"/>
      <c r="AG754"/>
      <c r="AH754"/>
      <c r="AI754"/>
      <c r="AJ754"/>
      <c r="AK754"/>
      <c r="AL754"/>
      <c r="AM754"/>
      <c r="AN754" s="9">
        <f t="shared" si="23"/>
        <v>0</v>
      </c>
      <c r="AO754" s="8"/>
      <c r="AP754" s="9">
        <f>I754-W754-X754-AN754</f>
        <v>0</v>
      </c>
      <c r="AQ754" t="s">
        <v>1316</v>
      </c>
    </row>
    <row r="755" spans="1:43" x14ac:dyDescent="0.3">
      <c r="A755" s="11">
        <f t="shared" si="24"/>
        <v>753</v>
      </c>
      <c r="B755" s="5" t="s">
        <v>1675</v>
      </c>
      <c r="C755" t="s">
        <v>893</v>
      </c>
      <c r="D755" s="24" t="s">
        <v>864</v>
      </c>
      <c r="E755" s="24" t="str">
        <f>IFERROR(VLOOKUP(D755,Dropdown!A:B,2,0),D755)</f>
        <v>SVP</v>
      </c>
      <c r="F755" s="6">
        <v>45892</v>
      </c>
      <c r="G755" s="6" t="str">
        <f>TEXT(F755, "MMM-YY")</f>
        <v>Aug-25</v>
      </c>
      <c r="H755" t="s">
        <v>719</v>
      </c>
      <c r="I755" s="25">
        <v>96.19</v>
      </c>
      <c r="J755" s="4">
        <v>3000</v>
      </c>
      <c r="K755" t="s">
        <v>1012</v>
      </c>
      <c r="L755" s="4" t="str">
        <f>VLOOKUP(K755, 'Items Master'!A:E,5,0)</f>
        <v>HMEL</v>
      </c>
      <c r="M755" s="4" t="str">
        <f>VLOOKUP(K755, 'Items Master'!A:D,4,0)</f>
        <v>LLDPE</v>
      </c>
      <c r="N755" s="4" t="s">
        <v>49</v>
      </c>
      <c r="Q755" s="6">
        <v>45892</v>
      </c>
      <c r="R755" s="6" t="str">
        <f>TEXT(Q755, "MMM-YY")</f>
        <v>Aug-25</v>
      </c>
      <c r="X755" s="25">
        <v>99.29</v>
      </c>
      <c r="Y755" t="s">
        <v>1303</v>
      </c>
      <c r="Z755" t="s">
        <v>1305</v>
      </c>
      <c r="AB755" s="8">
        <v>-1.1000000000000001</v>
      </c>
      <c r="AC755" s="8">
        <v>-1</v>
      </c>
      <c r="AE755" s="8">
        <v>-1</v>
      </c>
      <c r="AN755" s="9">
        <f t="shared" si="23"/>
        <v>-3.1</v>
      </c>
      <c r="AO755" s="8"/>
      <c r="AP755" s="9">
        <f>I755-W755-X755-AN755</f>
        <v>-8.4376949871511897E-15</v>
      </c>
      <c r="AQ755" t="s">
        <v>1316</v>
      </c>
    </row>
    <row r="756" spans="1:43" x14ac:dyDescent="0.3">
      <c r="A756" s="11">
        <f t="shared" si="24"/>
        <v>754</v>
      </c>
      <c r="B756" s="5" t="s">
        <v>1675</v>
      </c>
      <c r="C756" t="s">
        <v>893</v>
      </c>
      <c r="D756" s="24" t="s">
        <v>843</v>
      </c>
      <c r="E756" s="24" t="str">
        <f>IFERROR(VLOOKUP(D756,Dropdown!A:B,2,0),D756)</f>
        <v>SIGMA CHEMTRADE PRIVATE LIMITED</v>
      </c>
      <c r="F756" s="6">
        <v>45892</v>
      </c>
      <c r="G756" s="6" t="str">
        <f>TEXT(F756, "MMM-YY")</f>
        <v>Aug-25</v>
      </c>
      <c r="H756" t="s">
        <v>720</v>
      </c>
      <c r="I756" s="25">
        <v>97</v>
      </c>
      <c r="J756" s="4">
        <v>12000</v>
      </c>
      <c r="K756" t="s">
        <v>1014</v>
      </c>
      <c r="L756" s="4" t="str">
        <f>VLOOKUP(K756, 'Items Master'!A:E,5,0)</f>
        <v>BOROUGE</v>
      </c>
      <c r="M756" s="4" t="str">
        <f>VLOOKUP(K756, 'Items Master'!A:D,4,0)</f>
        <v>PP</v>
      </c>
      <c r="N756" s="4" t="s">
        <v>24</v>
      </c>
      <c r="Q756" s="6">
        <v>45892</v>
      </c>
      <c r="R756" s="6" t="str">
        <f>TEXT(Q756, "MMM-YY")</f>
        <v>Aug-25</v>
      </c>
      <c r="W756" s="25">
        <v>97</v>
      </c>
      <c r="Y756"/>
      <c r="Z756"/>
      <c r="AB756"/>
      <c r="AC756"/>
      <c r="AD756"/>
      <c r="AE756"/>
      <c r="AF756"/>
      <c r="AG756"/>
      <c r="AH756"/>
      <c r="AI756"/>
      <c r="AJ756"/>
      <c r="AK756"/>
      <c r="AL756"/>
      <c r="AM756"/>
      <c r="AN756" s="9">
        <f t="shared" si="23"/>
        <v>0</v>
      </c>
      <c r="AO756" s="8"/>
      <c r="AP756" s="9">
        <f>I756-W756-X756-AN756</f>
        <v>0</v>
      </c>
      <c r="AQ756" t="s">
        <v>1316</v>
      </c>
    </row>
    <row r="757" spans="1:43" x14ac:dyDescent="0.3">
      <c r="A757" s="11">
        <f t="shared" si="24"/>
        <v>755</v>
      </c>
      <c r="B757" s="5" t="s">
        <v>1675</v>
      </c>
      <c r="C757" t="s">
        <v>893</v>
      </c>
      <c r="D757" s="24" t="s">
        <v>872</v>
      </c>
      <c r="E757" s="24" t="str">
        <f>IFERROR(VLOOKUP(D757,Dropdown!A:B,2,0),D757)</f>
        <v>Value</v>
      </c>
      <c r="F757" s="6">
        <v>45892</v>
      </c>
      <c r="G757" s="6" t="str">
        <f>TEXT(F757, "MMM-YY")</f>
        <v>Aug-25</v>
      </c>
      <c r="H757" t="s">
        <v>721</v>
      </c>
      <c r="I757" s="25">
        <v>117.57</v>
      </c>
      <c r="J757" s="4">
        <v>9000</v>
      </c>
      <c r="K757" t="s">
        <v>954</v>
      </c>
      <c r="L757" s="4" t="str">
        <f>VLOOKUP(K757, 'Items Master'!A:E,5,0)</f>
        <v>RIL</v>
      </c>
      <c r="M757" s="4" t="str">
        <f>VLOOKUP(K757, 'Items Master'!A:D,4,0)</f>
        <v>LDPE</v>
      </c>
      <c r="N757" s="4" t="s">
        <v>49</v>
      </c>
      <c r="Q757" s="6">
        <v>45892</v>
      </c>
      <c r="R757" s="6" t="str">
        <f>TEXT(Q757, "MMM-YY")</f>
        <v>Aug-25</v>
      </c>
      <c r="U757" t="s">
        <v>1605</v>
      </c>
      <c r="X757" s="25">
        <f>118.52-0.95</f>
        <v>117.57</v>
      </c>
      <c r="Y757" s="25" t="s">
        <v>1310</v>
      </c>
      <c r="Z757" s="25" t="s">
        <v>1307</v>
      </c>
      <c r="AB757"/>
      <c r="AC757"/>
      <c r="AD757"/>
      <c r="AE757"/>
      <c r="AF757"/>
      <c r="AG757"/>
      <c r="AH757"/>
      <c r="AI757"/>
      <c r="AJ757"/>
      <c r="AK757"/>
      <c r="AL757"/>
      <c r="AM757"/>
      <c r="AN757" s="9">
        <f t="shared" si="23"/>
        <v>0</v>
      </c>
      <c r="AO757" s="8"/>
      <c r="AP757" s="9">
        <f>I757-W757-X757-AN757</f>
        <v>0</v>
      </c>
      <c r="AQ757" t="s">
        <v>1316</v>
      </c>
    </row>
    <row r="758" spans="1:43" x14ac:dyDescent="0.3">
      <c r="A758" s="11">
        <f t="shared" si="24"/>
        <v>756</v>
      </c>
      <c r="B758" s="5" t="s">
        <v>1675</v>
      </c>
      <c r="C758" t="s">
        <v>893</v>
      </c>
      <c r="D758" s="24" t="s">
        <v>824</v>
      </c>
      <c r="E758" s="24" t="str">
        <f>IFERROR(VLOOKUP(D758,Dropdown!A:B,2,0),D758)</f>
        <v>Paragon</v>
      </c>
      <c r="F758" s="6">
        <v>45894</v>
      </c>
      <c r="G758" s="6" t="str">
        <f>TEXT(F758, "MMM-YY")</f>
        <v>Aug-25</v>
      </c>
      <c r="H758" t="s">
        <v>722</v>
      </c>
      <c r="I758" s="25">
        <v>99.75</v>
      </c>
      <c r="J758" s="4">
        <v>2500</v>
      </c>
      <c r="K758" t="s">
        <v>947</v>
      </c>
      <c r="L758" s="4" t="str">
        <f>VLOOKUP(K758, 'Items Master'!A:E,5,0)</f>
        <v>RIL</v>
      </c>
      <c r="M758" s="4" t="str">
        <f>VLOOKUP(K758, 'Items Master'!A:D,4,0)</f>
        <v>LLDPE</v>
      </c>
      <c r="N758" s="4" t="s">
        <v>49</v>
      </c>
      <c r="Q758" s="6">
        <v>45894</v>
      </c>
      <c r="R758" s="6" t="str">
        <f>TEXT(Q758, "MMM-YY")</f>
        <v>Aug-25</v>
      </c>
      <c r="X758" s="25">
        <v>99.75</v>
      </c>
      <c r="Y758" s="25" t="s">
        <v>1303</v>
      </c>
      <c r="AB758"/>
      <c r="AC758"/>
      <c r="AD758"/>
      <c r="AE758"/>
      <c r="AF758"/>
      <c r="AG758"/>
      <c r="AH758"/>
      <c r="AI758"/>
      <c r="AJ758"/>
      <c r="AK758"/>
      <c r="AL758"/>
      <c r="AM758"/>
      <c r="AN758" s="9">
        <f t="shared" si="23"/>
        <v>0</v>
      </c>
      <c r="AO758" s="8"/>
      <c r="AP758" s="9">
        <f>I758-W758-X758-AN758</f>
        <v>0</v>
      </c>
      <c r="AQ758" t="s">
        <v>1324</v>
      </c>
    </row>
    <row r="759" spans="1:43" x14ac:dyDescent="0.3">
      <c r="A759" s="11">
        <f t="shared" si="24"/>
        <v>757</v>
      </c>
      <c r="B759" s="5" t="s">
        <v>1675</v>
      </c>
      <c r="C759" t="s">
        <v>893</v>
      </c>
      <c r="D759" s="24" t="s">
        <v>48</v>
      </c>
      <c r="E759" s="24" t="str">
        <f>IFERROR(VLOOKUP(D759,Dropdown!A:B,2,0),D759)</f>
        <v>CVPL</v>
      </c>
      <c r="F759" s="6">
        <v>45894</v>
      </c>
      <c r="G759" s="6" t="str">
        <f>TEXT(F759, "MMM-YY")</f>
        <v>Aug-25</v>
      </c>
      <c r="H759" t="s">
        <v>723</v>
      </c>
      <c r="I759" s="25">
        <v>100.37</v>
      </c>
      <c r="J759" s="4">
        <v>2500</v>
      </c>
      <c r="K759" t="s">
        <v>952</v>
      </c>
      <c r="L759" s="4" t="str">
        <f>VLOOKUP(K759, 'Items Master'!A:E,5,0)</f>
        <v>GAIL</v>
      </c>
      <c r="M759" s="4" t="str">
        <f>VLOOKUP(K759, 'Items Master'!A:D,4,0)</f>
        <v>HDPE</v>
      </c>
      <c r="N759" s="4" t="s">
        <v>49</v>
      </c>
      <c r="O759" t="s">
        <v>1298</v>
      </c>
      <c r="Q759" s="6">
        <v>45894</v>
      </c>
      <c r="R759" s="6" t="str">
        <f>TEXT(Q759, "MMM-YY")</f>
        <v>Aug-25</v>
      </c>
      <c r="X759" s="25">
        <v>98.87</v>
      </c>
      <c r="AB759"/>
      <c r="AC759"/>
      <c r="AD759"/>
      <c r="AE759"/>
      <c r="AF759"/>
      <c r="AG759"/>
      <c r="AH759"/>
      <c r="AI759"/>
      <c r="AJ759"/>
      <c r="AK759"/>
      <c r="AL759"/>
      <c r="AM759"/>
      <c r="AN759" s="9">
        <f t="shared" si="23"/>
        <v>0</v>
      </c>
      <c r="AO759" s="8"/>
      <c r="AP759" s="9">
        <f>I759-W759-X759-AN759</f>
        <v>1.5</v>
      </c>
      <c r="AQ759" t="s">
        <v>1324</v>
      </c>
    </row>
    <row r="760" spans="1:43" x14ac:dyDescent="0.3">
      <c r="A760" s="11">
        <f t="shared" si="24"/>
        <v>758</v>
      </c>
      <c r="B760" s="5" t="s">
        <v>1675</v>
      </c>
      <c r="C760" t="s">
        <v>893</v>
      </c>
      <c r="D760" s="24" t="s">
        <v>864</v>
      </c>
      <c r="E760" s="24" t="str">
        <f>IFERROR(VLOOKUP(D760,Dropdown!A:B,2,0),D760)</f>
        <v>SVP</v>
      </c>
      <c r="F760" s="6">
        <v>45894</v>
      </c>
      <c r="G760" s="6" t="str">
        <f>TEXT(F760, "MMM-YY")</f>
        <v>Aug-25</v>
      </c>
      <c r="H760" t="s">
        <v>724</v>
      </c>
      <c r="I760" s="25">
        <v>97.19</v>
      </c>
      <c r="J760" s="4">
        <v>8000</v>
      </c>
      <c r="K760" t="s">
        <v>914</v>
      </c>
      <c r="L760" s="4" t="str">
        <f>VLOOKUP(K760, 'Items Master'!A:E,5,0)</f>
        <v>HMEL</v>
      </c>
      <c r="M760" s="4" t="str">
        <f>VLOOKUP(K760, 'Items Master'!A:D,4,0)</f>
        <v>LLDPE</v>
      </c>
      <c r="N760" s="4" t="s">
        <v>49</v>
      </c>
      <c r="Q760" s="6">
        <v>45894</v>
      </c>
      <c r="R760" s="6" t="str">
        <f>TEXT(Q760, "MMM-YY")</f>
        <v>Aug-25</v>
      </c>
      <c r="X760" s="25">
        <v>99.29</v>
      </c>
      <c r="Y760" t="s">
        <v>1303</v>
      </c>
      <c r="Z760" t="s">
        <v>1305</v>
      </c>
      <c r="AB760" s="8">
        <v>-1.1000000000000001</v>
      </c>
      <c r="AC760" s="8">
        <v>-1</v>
      </c>
      <c r="AN760" s="9">
        <f t="shared" si="23"/>
        <v>-2.1</v>
      </c>
      <c r="AO760" s="8"/>
      <c r="AP760" s="9">
        <f>I760-W760-X760-AN760</f>
        <v>-8.4376949871511897E-15</v>
      </c>
      <c r="AQ760" t="s">
        <v>1316</v>
      </c>
    </row>
    <row r="761" spans="1:43" x14ac:dyDescent="0.3">
      <c r="A761" s="11">
        <f t="shared" si="24"/>
        <v>759</v>
      </c>
      <c r="B761" s="5" t="s">
        <v>1675</v>
      </c>
      <c r="C761" t="s">
        <v>893</v>
      </c>
      <c r="D761" s="24" t="s">
        <v>872</v>
      </c>
      <c r="E761" s="24" t="str">
        <f>IFERROR(VLOOKUP(D761,Dropdown!A:B,2,0),D761)</f>
        <v>Value</v>
      </c>
      <c r="F761" s="6">
        <v>45894</v>
      </c>
      <c r="G761" s="6" t="str">
        <f>TEXT(F761, "MMM-YY")</f>
        <v>Aug-25</v>
      </c>
      <c r="H761" t="s">
        <v>725</v>
      </c>
      <c r="I761" s="25">
        <v>106.5</v>
      </c>
      <c r="J761" s="4">
        <v>7000</v>
      </c>
      <c r="K761" t="s">
        <v>988</v>
      </c>
      <c r="L761" s="4" t="str">
        <f>VLOOKUP(K761, 'Items Master'!A:E,5,0)</f>
        <v>BOROUGE</v>
      </c>
      <c r="M761" s="4" t="str">
        <f>VLOOKUP(K761, 'Items Master'!A:D,4,0)</f>
        <v>LLDPE</v>
      </c>
      <c r="N761" s="4" t="s">
        <v>24</v>
      </c>
      <c r="Q761" s="6">
        <v>45894</v>
      </c>
      <c r="R761" s="6" t="str">
        <f>TEXT(Q761, "MMM-YY")</f>
        <v>Aug-25</v>
      </c>
      <c r="U761" t="s">
        <v>1606</v>
      </c>
      <c r="W761" s="25">
        <v>106.5</v>
      </c>
      <c r="AB761"/>
      <c r="AC761"/>
      <c r="AD761"/>
      <c r="AE761"/>
      <c r="AF761"/>
      <c r="AG761"/>
      <c r="AH761"/>
      <c r="AI761"/>
      <c r="AJ761"/>
      <c r="AK761"/>
      <c r="AL761"/>
      <c r="AM761"/>
      <c r="AN761" s="9">
        <f t="shared" si="23"/>
        <v>0</v>
      </c>
      <c r="AO761" s="8"/>
      <c r="AP761" s="9">
        <f>I761-W761-X761-AN761</f>
        <v>0</v>
      </c>
      <c r="AQ761" t="s">
        <v>1316</v>
      </c>
    </row>
    <row r="762" spans="1:43" x14ac:dyDescent="0.3">
      <c r="A762" s="11">
        <f t="shared" si="24"/>
        <v>760</v>
      </c>
      <c r="B762" s="5" t="s">
        <v>1675</v>
      </c>
      <c r="C762" t="s">
        <v>893</v>
      </c>
      <c r="D762" s="24" t="s">
        <v>872</v>
      </c>
      <c r="E762" s="24" t="str">
        <f>IFERROR(VLOOKUP(D762,Dropdown!A:B,2,0),D762)</f>
        <v>Value</v>
      </c>
      <c r="F762" s="6">
        <v>45894</v>
      </c>
      <c r="G762" s="6" t="str">
        <f>TEXT(F762, "MMM-YY")</f>
        <v>Aug-25</v>
      </c>
      <c r="H762" t="s">
        <v>725</v>
      </c>
      <c r="I762" s="25">
        <v>106</v>
      </c>
      <c r="J762" s="4">
        <v>3000</v>
      </c>
      <c r="K762" t="s">
        <v>988</v>
      </c>
      <c r="L762" s="4" t="str">
        <f>VLOOKUP(K762, 'Items Master'!A:E,5,0)</f>
        <v>BOROUGE</v>
      </c>
      <c r="M762" s="4" t="str">
        <f>VLOOKUP(K762, 'Items Master'!A:D,4,0)</f>
        <v>LLDPE</v>
      </c>
      <c r="N762" s="4" t="s">
        <v>24</v>
      </c>
      <c r="Q762" s="6">
        <v>45894</v>
      </c>
      <c r="R762" s="6" t="str">
        <f>TEXT(Q762, "MMM-YY")</f>
        <v>Aug-25</v>
      </c>
      <c r="U762" t="s">
        <v>1606</v>
      </c>
      <c r="W762" s="25">
        <v>106</v>
      </c>
      <c r="AB762"/>
      <c r="AC762"/>
      <c r="AD762"/>
      <c r="AE762"/>
      <c r="AF762"/>
      <c r="AG762"/>
      <c r="AH762"/>
      <c r="AI762"/>
      <c r="AJ762"/>
      <c r="AK762"/>
      <c r="AL762"/>
      <c r="AM762"/>
      <c r="AN762" s="9">
        <f t="shared" si="23"/>
        <v>0</v>
      </c>
      <c r="AO762" s="8"/>
      <c r="AP762" s="9">
        <f>I762-W762-X762-AN762</f>
        <v>0</v>
      </c>
      <c r="AQ762" t="s">
        <v>1316</v>
      </c>
    </row>
    <row r="763" spans="1:43" x14ac:dyDescent="0.3">
      <c r="A763" s="11">
        <f t="shared" si="24"/>
        <v>761</v>
      </c>
      <c r="B763" s="5" t="s">
        <v>1675</v>
      </c>
      <c r="C763" t="s">
        <v>893</v>
      </c>
      <c r="D763" s="24" t="s">
        <v>857</v>
      </c>
      <c r="E763" s="24" t="str">
        <f>IFERROR(VLOOKUP(D763,Dropdown!A:B,2,0),D763)</f>
        <v>Purav</v>
      </c>
      <c r="F763" s="6">
        <v>45894</v>
      </c>
      <c r="G763" s="6" t="str">
        <f>TEXT(F763, "MMM-YY")</f>
        <v>Aug-25</v>
      </c>
      <c r="H763" t="s">
        <v>726</v>
      </c>
      <c r="I763" s="25">
        <v>98</v>
      </c>
      <c r="J763" s="4">
        <v>5000</v>
      </c>
      <c r="K763" t="s">
        <v>17</v>
      </c>
      <c r="L763" s="4" t="str">
        <f>VLOOKUP(K763, 'Items Master'!A:E,5,0)</f>
        <v>OPAL</v>
      </c>
      <c r="M763" s="4" t="str">
        <f>VLOOKUP(K763, 'Items Master'!A:D,4,0)</f>
        <v>LLDPE</v>
      </c>
      <c r="N763" s="4" t="s">
        <v>49</v>
      </c>
      <c r="O763" t="s">
        <v>1298</v>
      </c>
      <c r="Q763" s="6">
        <v>45894</v>
      </c>
      <c r="R763" s="6" t="str">
        <f>TEXT(Q763, "MMM-YY")</f>
        <v>Aug-25</v>
      </c>
      <c r="U763" t="s">
        <v>1605</v>
      </c>
      <c r="X763" s="25">
        <v>98.8</v>
      </c>
      <c r="Y763" s="25" t="s">
        <v>1303</v>
      </c>
      <c r="AB763" s="8">
        <v>-0.9</v>
      </c>
      <c r="AH763" s="8">
        <v>0.1</v>
      </c>
      <c r="AN763" s="9">
        <f t="shared" si="23"/>
        <v>-0.8</v>
      </c>
      <c r="AO763" s="8"/>
      <c r="AP763" s="9">
        <f>I763-W763-X763-AN763</f>
        <v>2.886579864025407E-15</v>
      </c>
      <c r="AQ763" t="s">
        <v>1316</v>
      </c>
    </row>
    <row r="764" spans="1:43" x14ac:dyDescent="0.3">
      <c r="A764" s="11">
        <f t="shared" si="24"/>
        <v>762</v>
      </c>
      <c r="B764" s="5" t="s">
        <v>1675</v>
      </c>
      <c r="C764" t="s">
        <v>893</v>
      </c>
      <c r="D764" s="24" t="s">
        <v>857</v>
      </c>
      <c r="E764" s="24" t="str">
        <f>IFERROR(VLOOKUP(D764,Dropdown!A:B,2,0),D764)</f>
        <v>Purav</v>
      </c>
      <c r="F764" s="6">
        <v>45894</v>
      </c>
      <c r="G764" s="6" t="str">
        <f>TEXT(F764, "MMM-YY")</f>
        <v>Aug-25</v>
      </c>
      <c r="H764" t="s">
        <v>727</v>
      </c>
      <c r="I764" s="25">
        <v>98.25</v>
      </c>
      <c r="J764" s="4">
        <v>2000</v>
      </c>
      <c r="K764" t="s">
        <v>898</v>
      </c>
      <c r="L764" s="4" t="str">
        <f>VLOOKUP(K764, 'Items Master'!A:E,5,0)</f>
        <v>OPAL</v>
      </c>
      <c r="M764" s="4" t="str">
        <f>VLOOKUP(K764, 'Items Master'!A:D,4,0)</f>
        <v>LLDPE</v>
      </c>
      <c r="N764" s="4" t="s">
        <v>49</v>
      </c>
      <c r="O764" t="s">
        <v>1298</v>
      </c>
      <c r="Q764" s="6">
        <v>45894</v>
      </c>
      <c r="R764" s="6" t="str">
        <f>TEXT(Q764, "MMM-YY")</f>
        <v>Aug-25</v>
      </c>
      <c r="U764" t="s">
        <v>1605</v>
      </c>
      <c r="X764" s="25">
        <v>99.05</v>
      </c>
      <c r="Y764" s="25" t="s">
        <v>1303</v>
      </c>
      <c r="AB764" s="8">
        <v>-0.9</v>
      </c>
      <c r="AH764" s="8">
        <v>0.1</v>
      </c>
      <c r="AN764" s="9">
        <f t="shared" si="23"/>
        <v>-0.8</v>
      </c>
      <c r="AO764" s="8"/>
      <c r="AP764" s="9">
        <f>I764-W764-X764-AN764</f>
        <v>2.886579864025407E-15</v>
      </c>
      <c r="AQ764" t="s">
        <v>1316</v>
      </c>
    </row>
    <row r="765" spans="1:43" x14ac:dyDescent="0.3">
      <c r="A765" s="11">
        <f t="shared" si="24"/>
        <v>763</v>
      </c>
      <c r="B765" s="5" t="s">
        <v>1675</v>
      </c>
      <c r="C765" t="s">
        <v>893</v>
      </c>
      <c r="D765" s="24" t="s">
        <v>857</v>
      </c>
      <c r="E765" s="24" t="str">
        <f>IFERROR(VLOOKUP(D765,Dropdown!A:B,2,0),D765)</f>
        <v>Purav</v>
      </c>
      <c r="F765" s="6">
        <v>45894</v>
      </c>
      <c r="G765" s="6" t="str">
        <f>TEXT(F765, "MMM-YY")</f>
        <v>Aug-25</v>
      </c>
      <c r="H765" t="s">
        <v>728</v>
      </c>
      <c r="I765" s="25">
        <v>98</v>
      </c>
      <c r="J765" s="4">
        <v>5000</v>
      </c>
      <c r="K765" t="s">
        <v>935</v>
      </c>
      <c r="L765" s="4" t="str">
        <f>VLOOKUP(K765, 'Items Master'!A:E,5,0)</f>
        <v>OPAL</v>
      </c>
      <c r="M765" s="4" t="str">
        <f>VLOOKUP(K765, 'Items Master'!A:D,4,0)</f>
        <v>HDPE</v>
      </c>
      <c r="N765" s="4" t="s">
        <v>49</v>
      </c>
      <c r="O765" t="s">
        <v>1298</v>
      </c>
      <c r="Q765" s="6">
        <v>45894</v>
      </c>
      <c r="R765" s="6" t="str">
        <f>TEXT(Q765, "MMM-YY")</f>
        <v>Aug-25</v>
      </c>
      <c r="U765" t="s">
        <v>1605</v>
      </c>
      <c r="X765" s="25">
        <v>98.78</v>
      </c>
      <c r="Y765" s="25" t="s">
        <v>1303</v>
      </c>
      <c r="AB765" s="8">
        <v>-0.9</v>
      </c>
      <c r="AH765" s="8">
        <v>0.1</v>
      </c>
      <c r="AK765" s="8">
        <v>0.02</v>
      </c>
      <c r="AN765" s="9">
        <f t="shared" si="23"/>
        <v>-0.78</v>
      </c>
      <c r="AO765" s="8"/>
      <c r="AP765" s="9">
        <f>I765-W765-X765-AN765</f>
        <v>-1.1102230246251565E-15</v>
      </c>
      <c r="AQ765" t="s">
        <v>1316</v>
      </c>
    </row>
    <row r="766" spans="1:43" x14ac:dyDescent="0.3">
      <c r="A766" s="11">
        <f t="shared" si="24"/>
        <v>764</v>
      </c>
      <c r="B766" s="5" t="s">
        <v>1675</v>
      </c>
      <c r="C766" t="s">
        <v>893</v>
      </c>
      <c r="D766" s="24" t="s">
        <v>824</v>
      </c>
      <c r="E766" s="24" t="str">
        <f>IFERROR(VLOOKUP(D766,Dropdown!A:B,2,0),D766)</f>
        <v>Paragon</v>
      </c>
      <c r="F766" s="6">
        <v>45894</v>
      </c>
      <c r="G766" s="6" t="str">
        <f>TEXT(F766, "MMM-YY")</f>
        <v>Aug-25</v>
      </c>
      <c r="H766" t="s">
        <v>729</v>
      </c>
      <c r="I766" s="25">
        <v>103.39</v>
      </c>
      <c r="J766" s="4">
        <v>2000</v>
      </c>
      <c r="K766" t="s">
        <v>925</v>
      </c>
      <c r="L766" s="4" t="str">
        <f>VLOOKUP(K766, 'Items Master'!A:E,5,0)</f>
        <v>RIL</v>
      </c>
      <c r="M766" s="4" t="str">
        <f>VLOOKUP(K766, 'Items Master'!A:D,4,0)</f>
        <v>PP ICP</v>
      </c>
      <c r="N766" s="4" t="s">
        <v>49</v>
      </c>
      <c r="Q766" s="6">
        <v>45894</v>
      </c>
      <c r="R766" s="6" t="str">
        <f>TEXT(Q766, "MMM-YY")</f>
        <v>Aug-25</v>
      </c>
      <c r="X766" s="25">
        <v>103.39</v>
      </c>
      <c r="Y766" s="25" t="s">
        <v>1303</v>
      </c>
      <c r="AB766"/>
      <c r="AC766"/>
      <c r="AD766"/>
      <c r="AE766"/>
      <c r="AF766"/>
      <c r="AG766"/>
      <c r="AH766"/>
      <c r="AI766"/>
      <c r="AJ766"/>
      <c r="AK766"/>
      <c r="AL766"/>
      <c r="AM766"/>
      <c r="AN766" s="9">
        <f t="shared" si="23"/>
        <v>0</v>
      </c>
      <c r="AO766" s="8"/>
      <c r="AP766" s="9">
        <f>I766-W766-X766-AN766</f>
        <v>0</v>
      </c>
      <c r="AQ766" t="s">
        <v>1324</v>
      </c>
    </row>
    <row r="767" spans="1:43" x14ac:dyDescent="0.3">
      <c r="A767" s="11">
        <f t="shared" si="24"/>
        <v>765</v>
      </c>
      <c r="B767" s="5" t="s">
        <v>1675</v>
      </c>
      <c r="C767" t="s">
        <v>893</v>
      </c>
      <c r="D767" s="24" t="s">
        <v>864</v>
      </c>
      <c r="E767" s="24" t="str">
        <f>IFERROR(VLOOKUP(D767,Dropdown!A:B,2,0),D767)</f>
        <v>SVP</v>
      </c>
      <c r="F767" s="6">
        <v>45894</v>
      </c>
      <c r="G767" s="6" t="str">
        <f>TEXT(F767, "MMM-YY")</f>
        <v>Aug-25</v>
      </c>
      <c r="H767" t="s">
        <v>730</v>
      </c>
      <c r="I767" s="25">
        <v>96.19</v>
      </c>
      <c r="J767" s="4">
        <v>5000</v>
      </c>
      <c r="K767" t="s">
        <v>1012</v>
      </c>
      <c r="L767" s="4" t="str">
        <f>VLOOKUP(K767, 'Items Master'!A:E,5,0)</f>
        <v>HMEL</v>
      </c>
      <c r="M767" s="4" t="str">
        <f>VLOOKUP(K767, 'Items Master'!A:D,4,0)</f>
        <v>LLDPE</v>
      </c>
      <c r="N767" s="4" t="s">
        <v>49</v>
      </c>
      <c r="Q767" s="6">
        <v>45894</v>
      </c>
      <c r="R767" s="6" t="str">
        <f>TEXT(Q767, "MMM-YY")</f>
        <v>Aug-25</v>
      </c>
      <c r="X767" s="25">
        <v>99.29</v>
      </c>
      <c r="Y767" t="s">
        <v>1303</v>
      </c>
      <c r="Z767" t="s">
        <v>1305</v>
      </c>
      <c r="AB767" s="8">
        <v>-1.1000000000000001</v>
      </c>
      <c r="AC767" s="8">
        <v>-1</v>
      </c>
      <c r="AE767" s="8">
        <v>-1</v>
      </c>
      <c r="AN767" s="9">
        <f t="shared" si="23"/>
        <v>-3.1</v>
      </c>
      <c r="AO767" s="8"/>
      <c r="AP767" s="9">
        <f>I767-W767-X767-AN767</f>
        <v>-8.4376949871511897E-15</v>
      </c>
      <c r="AQ767" t="s">
        <v>1316</v>
      </c>
    </row>
    <row r="768" spans="1:43" x14ac:dyDescent="0.3">
      <c r="A768" s="11">
        <f t="shared" si="24"/>
        <v>766</v>
      </c>
      <c r="B768" s="5" t="s">
        <v>1675</v>
      </c>
      <c r="C768" t="s">
        <v>893</v>
      </c>
      <c r="D768" s="24" t="s">
        <v>864</v>
      </c>
      <c r="E768" s="24" t="str">
        <f>IFERROR(VLOOKUP(D768,Dropdown!A:B,2,0),D768)</f>
        <v>SVP</v>
      </c>
      <c r="F768" s="6">
        <v>45894</v>
      </c>
      <c r="G768" s="6" t="str">
        <f>TEXT(F768, "MMM-YY")</f>
        <v>Aug-25</v>
      </c>
      <c r="H768" t="s">
        <v>730</v>
      </c>
      <c r="I768" s="25">
        <v>97.2</v>
      </c>
      <c r="J768" s="4">
        <v>3000</v>
      </c>
      <c r="K768" t="s">
        <v>975</v>
      </c>
      <c r="L768" s="4" t="str">
        <f>VLOOKUP(K768, 'Items Master'!A:E,5,0)</f>
        <v>HMEL</v>
      </c>
      <c r="M768" s="4" t="str">
        <f>VLOOKUP(K768, 'Items Master'!A:D,4,0)</f>
        <v>LLDPE</v>
      </c>
      <c r="N768" s="4" t="s">
        <v>49</v>
      </c>
      <c r="Q768" s="6">
        <v>45894</v>
      </c>
      <c r="R768" s="6" t="str">
        <f>TEXT(Q768, "MMM-YY")</f>
        <v>Aug-25</v>
      </c>
      <c r="X768" s="25">
        <v>99.3</v>
      </c>
      <c r="Y768" t="s">
        <v>1303</v>
      </c>
      <c r="Z768" t="s">
        <v>1305</v>
      </c>
      <c r="AB768" s="8">
        <v>-1.1000000000000001</v>
      </c>
      <c r="AC768" s="8">
        <v>-1</v>
      </c>
      <c r="AN768" s="9">
        <f t="shared" si="23"/>
        <v>-2.1</v>
      </c>
      <c r="AO768" s="8"/>
      <c r="AP768" s="9">
        <f>I768-W768-X768-AN768</f>
        <v>5.773159728050814E-15</v>
      </c>
      <c r="AQ768" t="s">
        <v>1316</v>
      </c>
    </row>
    <row r="769" spans="1:44" x14ac:dyDescent="0.3">
      <c r="A769" s="11">
        <f t="shared" si="24"/>
        <v>767</v>
      </c>
      <c r="B769" s="5" t="s">
        <v>1675</v>
      </c>
      <c r="C769" t="s">
        <v>893</v>
      </c>
      <c r="D769" s="24" t="s">
        <v>825</v>
      </c>
      <c r="E769" s="24" t="str">
        <f>IFERROR(VLOOKUP(D769,Dropdown!A:B,2,0),D769)</f>
        <v>HARISHREE POLYMERS PRIVATE LIMITED</v>
      </c>
      <c r="F769" s="6">
        <v>45894</v>
      </c>
      <c r="G769" s="6" t="str">
        <f>TEXT(F769, "MMM-YY")</f>
        <v>Aug-25</v>
      </c>
      <c r="H769" t="s">
        <v>731</v>
      </c>
      <c r="I769" s="25">
        <v>93.75</v>
      </c>
      <c r="J769" s="4">
        <v>10000</v>
      </c>
      <c r="K769" t="s">
        <v>17</v>
      </c>
      <c r="L769" s="4" t="str">
        <f>VLOOKUP(K769, 'Items Master'!A:E,5,0)</f>
        <v>OPAL</v>
      </c>
      <c r="M769" s="4" t="str">
        <f>VLOOKUP(K769, 'Items Master'!A:D,4,0)</f>
        <v>LLDPE</v>
      </c>
      <c r="N769" s="4" t="s">
        <v>1325</v>
      </c>
      <c r="O769" t="s">
        <v>35</v>
      </c>
      <c r="Q769" s="6">
        <v>45894</v>
      </c>
      <c r="R769" s="6" t="str">
        <f>TEXT(Q769, "MMM-YY")</f>
        <v>Aug-25</v>
      </c>
      <c r="W769" s="25">
        <v>93.75</v>
      </c>
      <c r="AB769"/>
      <c r="AC769"/>
      <c r="AD769"/>
      <c r="AE769"/>
      <c r="AF769"/>
      <c r="AG769"/>
      <c r="AH769"/>
      <c r="AI769"/>
      <c r="AJ769"/>
      <c r="AK769"/>
      <c r="AL769"/>
      <c r="AM769"/>
      <c r="AN769" s="9">
        <f t="shared" si="23"/>
        <v>0</v>
      </c>
      <c r="AO769" s="8"/>
      <c r="AP769" s="9">
        <f>I769-W769-X769-AN769</f>
        <v>0</v>
      </c>
      <c r="AQ769" t="s">
        <v>1316</v>
      </c>
    </row>
    <row r="770" spans="1:44" x14ac:dyDescent="0.3">
      <c r="A770" s="11">
        <f t="shared" si="24"/>
        <v>768</v>
      </c>
      <c r="B770" s="5" t="s">
        <v>1675</v>
      </c>
      <c r="C770" t="s">
        <v>893</v>
      </c>
      <c r="D770" s="24" t="s">
        <v>864</v>
      </c>
      <c r="E770" s="24" t="str">
        <f>IFERROR(VLOOKUP(D770,Dropdown!A:B,2,0),D770)</f>
        <v>SVP</v>
      </c>
      <c r="F770" s="6">
        <v>45894</v>
      </c>
      <c r="G770" s="6" t="str">
        <f>TEXT(F770, "MMM-YY")</f>
        <v>Aug-25</v>
      </c>
      <c r="H770" t="s">
        <v>732</v>
      </c>
      <c r="I770" s="25">
        <v>98.69</v>
      </c>
      <c r="J770" s="4">
        <v>2500</v>
      </c>
      <c r="K770" t="s">
        <v>958</v>
      </c>
      <c r="L770" s="4" t="str">
        <f>VLOOKUP(K770, 'Items Master'!A:E,5,0)</f>
        <v>HMEL</v>
      </c>
      <c r="M770" s="4" t="str">
        <f>VLOOKUP(K770, 'Items Master'!A:D,4,0)</f>
        <v>PP</v>
      </c>
      <c r="N770" s="4" t="s">
        <v>49</v>
      </c>
      <c r="Q770" s="6">
        <v>45894</v>
      </c>
      <c r="R770" s="6" t="str">
        <f>TEXT(Q770, "MMM-YY")</f>
        <v>Aug-25</v>
      </c>
      <c r="X770" s="25">
        <v>100.09</v>
      </c>
      <c r="Y770" t="s">
        <v>1303</v>
      </c>
      <c r="Z770" t="s">
        <v>1305</v>
      </c>
      <c r="AB770" s="8">
        <v>-1.1000000000000001</v>
      </c>
      <c r="AC770" s="8">
        <v>-0.3</v>
      </c>
      <c r="AN770" s="9">
        <f t="shared" si="23"/>
        <v>-1.4000000000000001</v>
      </c>
      <c r="AO770" s="8"/>
      <c r="AP770" s="9">
        <f>I770-W770-X770-AN770</f>
        <v>-5.5511151231257827E-15</v>
      </c>
      <c r="AQ770" t="s">
        <v>1316</v>
      </c>
    </row>
    <row r="771" spans="1:44" x14ac:dyDescent="0.3">
      <c r="A771" s="11">
        <f t="shared" si="24"/>
        <v>769</v>
      </c>
      <c r="B771" s="5" t="s">
        <v>1675</v>
      </c>
      <c r="C771" t="s">
        <v>893</v>
      </c>
      <c r="D771" s="24" t="s">
        <v>872</v>
      </c>
      <c r="E771" s="24" t="str">
        <f>IFERROR(VLOOKUP(D771,Dropdown!A:B,2,0),D771)</f>
        <v>Value</v>
      </c>
      <c r="F771" s="6">
        <v>45895</v>
      </c>
      <c r="G771" s="6" t="str">
        <f>TEXT(F771, "MMM-YY")</f>
        <v>Aug-25</v>
      </c>
      <c r="H771" t="s">
        <v>733</v>
      </c>
      <c r="I771" s="25">
        <v>120</v>
      </c>
      <c r="J771" s="4">
        <v>1500</v>
      </c>
      <c r="K771" t="s">
        <v>895</v>
      </c>
      <c r="L771" s="4" t="str">
        <f>VLOOKUP(K771, 'Items Master'!A:E,5,0)</f>
        <v>RIL</v>
      </c>
      <c r="M771" s="4" t="str">
        <f>VLOOKUP(K771, 'Items Master'!A:D,4,0)</f>
        <v>LDPE</v>
      </c>
      <c r="N771" s="4" t="s">
        <v>49</v>
      </c>
      <c r="Q771" s="6">
        <v>45895</v>
      </c>
      <c r="R771" s="6" t="str">
        <f>TEXT(Q771, "MMM-YY")</f>
        <v>Aug-25</v>
      </c>
      <c r="U771" t="s">
        <v>1605</v>
      </c>
      <c r="X771" s="25">
        <v>119.77</v>
      </c>
      <c r="Y771" s="25" t="s">
        <v>1310</v>
      </c>
      <c r="Z771" s="25" t="s">
        <v>1305</v>
      </c>
      <c r="AB771"/>
      <c r="AC771"/>
      <c r="AD771"/>
      <c r="AE771"/>
      <c r="AF771"/>
      <c r="AG771"/>
      <c r="AH771"/>
      <c r="AI771"/>
      <c r="AJ771"/>
      <c r="AK771"/>
      <c r="AL771"/>
      <c r="AM771"/>
      <c r="AN771" s="9">
        <f t="shared" si="23"/>
        <v>0</v>
      </c>
      <c r="AO771" s="8"/>
      <c r="AP771" s="9">
        <f>I771-W771-X771-AN771</f>
        <v>0.23000000000000398</v>
      </c>
      <c r="AQ771" t="s">
        <v>1316</v>
      </c>
      <c r="AR771" t="s">
        <v>1608</v>
      </c>
    </row>
    <row r="772" spans="1:44" x14ac:dyDescent="0.3">
      <c r="A772" s="11">
        <f t="shared" si="24"/>
        <v>770</v>
      </c>
      <c r="B772" s="5" t="s">
        <v>1675</v>
      </c>
      <c r="C772" t="s">
        <v>893</v>
      </c>
      <c r="D772" s="24" t="s">
        <v>826</v>
      </c>
      <c r="E772" s="24" t="str">
        <f>IFERROR(VLOOKUP(D772,Dropdown!A:B,2,0),D772)</f>
        <v>Kamakya</v>
      </c>
      <c r="F772" s="6">
        <v>45895</v>
      </c>
      <c r="G772" s="6" t="str">
        <f>TEXT(F772, "MMM-YY")</f>
        <v>Aug-25</v>
      </c>
      <c r="H772" t="s">
        <v>734</v>
      </c>
      <c r="I772" s="25">
        <v>99.75</v>
      </c>
      <c r="J772" s="4">
        <v>25000</v>
      </c>
      <c r="K772" t="s">
        <v>901</v>
      </c>
      <c r="L772" s="4" t="str">
        <f>VLOOKUP(K772, 'Items Master'!A:E,5,0)</f>
        <v>MRPL</v>
      </c>
      <c r="M772" s="4" t="str">
        <f>VLOOKUP(K772, 'Items Master'!A:D,4,0)</f>
        <v>PP</v>
      </c>
      <c r="N772" s="4" t="s">
        <v>49</v>
      </c>
      <c r="Q772" s="6">
        <v>45895</v>
      </c>
      <c r="R772" s="6" t="str">
        <f>TEXT(Q772, "MMM-YY")</f>
        <v>Aug-25</v>
      </c>
      <c r="X772" s="25">
        <v>97.95</v>
      </c>
      <c r="Y772" t="s">
        <v>1304</v>
      </c>
      <c r="Z772" t="s">
        <v>1305</v>
      </c>
      <c r="AI772" s="8">
        <v>1.8</v>
      </c>
      <c r="AN772" s="9">
        <f t="shared" si="23"/>
        <v>1.8</v>
      </c>
      <c r="AO772" s="8"/>
      <c r="AP772" s="9">
        <f>I772-W772-X772-AN772</f>
        <v>-2.886579864025407E-15</v>
      </c>
      <c r="AQ772" t="s">
        <v>1316</v>
      </c>
    </row>
    <row r="773" spans="1:44" x14ac:dyDescent="0.3">
      <c r="A773" s="11">
        <f t="shared" si="24"/>
        <v>771</v>
      </c>
      <c r="B773" s="5" t="s">
        <v>1675</v>
      </c>
      <c r="C773" t="s">
        <v>893</v>
      </c>
      <c r="D773" s="24" t="s">
        <v>872</v>
      </c>
      <c r="E773" s="24" t="str">
        <f>IFERROR(VLOOKUP(D773,Dropdown!A:B,2,0),D773)</f>
        <v>Value</v>
      </c>
      <c r="F773" s="6">
        <v>45895</v>
      </c>
      <c r="G773" s="6" t="str">
        <f>TEXT(F773, "MMM-YY")</f>
        <v>Aug-25</v>
      </c>
      <c r="H773" t="s">
        <v>735</v>
      </c>
      <c r="I773" s="25">
        <v>99.5</v>
      </c>
      <c r="J773" s="4">
        <v>3000</v>
      </c>
      <c r="K773" t="s">
        <v>915</v>
      </c>
      <c r="L773" s="4" t="str">
        <f>VLOOKUP(K773, 'Items Master'!A:E,5,0)</f>
        <v>RIL</v>
      </c>
      <c r="M773" s="4" t="str">
        <f>VLOOKUP(K773, 'Items Master'!A:D,4,0)</f>
        <v>LLDPE</v>
      </c>
      <c r="N773" s="4" t="s">
        <v>49</v>
      </c>
      <c r="Q773" s="6">
        <v>45895</v>
      </c>
      <c r="R773" s="6" t="str">
        <f>TEXT(Q773, "MMM-YY")</f>
        <v>Aug-25</v>
      </c>
      <c r="U773" t="s">
        <v>1605</v>
      </c>
      <c r="X773" s="25">
        <v>99.5</v>
      </c>
      <c r="Y773" s="25" t="s">
        <v>1310</v>
      </c>
      <c r="Z773" s="25" t="s">
        <v>1305</v>
      </c>
      <c r="AB773"/>
      <c r="AC773"/>
      <c r="AD773"/>
      <c r="AE773"/>
      <c r="AF773"/>
      <c r="AG773"/>
      <c r="AH773"/>
      <c r="AI773"/>
      <c r="AJ773"/>
      <c r="AK773"/>
      <c r="AL773"/>
      <c r="AM773"/>
      <c r="AN773" s="9">
        <f t="shared" ref="AN773:AN836" si="26">SUM(AB773:AM773)</f>
        <v>0</v>
      </c>
      <c r="AO773" s="8"/>
      <c r="AP773" s="9">
        <f>I773-W773-X773-AN773</f>
        <v>0</v>
      </c>
      <c r="AQ773" t="s">
        <v>1316</v>
      </c>
    </row>
    <row r="774" spans="1:44" x14ac:dyDescent="0.3">
      <c r="A774" s="11">
        <f t="shared" si="24"/>
        <v>772</v>
      </c>
      <c r="B774" s="5" t="s">
        <v>1675</v>
      </c>
      <c r="C774" t="s">
        <v>894</v>
      </c>
      <c r="D774" s="24" t="s">
        <v>837</v>
      </c>
      <c r="E774" s="24" t="str">
        <f>IFERROR(VLOOKUP(D774,Dropdown!A:B,2,0),D774)</f>
        <v>SYNTHETIC PACKERS LIMITED</v>
      </c>
      <c r="F774" s="6">
        <v>45895</v>
      </c>
      <c r="G774" s="6" t="str">
        <f>TEXT(F774, "MMM-YY")</f>
        <v>Aug-25</v>
      </c>
      <c r="H774" t="s">
        <v>736</v>
      </c>
      <c r="I774" s="25">
        <v>92</v>
      </c>
      <c r="J774" s="4">
        <v>12000</v>
      </c>
      <c r="K774" t="s">
        <v>982</v>
      </c>
      <c r="L774" s="4" t="str">
        <f>VLOOKUP(K774, 'Items Master'!A:E,5,0)</f>
        <v>SABIC</v>
      </c>
      <c r="M774" s="4" t="str">
        <f>VLOOKUP(K774, 'Items Master'!A:D,4,0)</f>
        <v>HDPE</v>
      </c>
      <c r="N774" s="4" t="s">
        <v>24</v>
      </c>
      <c r="Q774" s="6">
        <v>45895</v>
      </c>
      <c r="R774" s="6" t="str">
        <f>TEXT(Q774, "MMM-YY")</f>
        <v>Aug-25</v>
      </c>
      <c r="W774" s="25">
        <v>92</v>
      </c>
      <c r="Y774"/>
      <c r="Z774"/>
      <c r="AB774"/>
      <c r="AC774"/>
      <c r="AD774"/>
      <c r="AE774"/>
      <c r="AF774"/>
      <c r="AG774"/>
      <c r="AH774"/>
      <c r="AI774"/>
      <c r="AJ774"/>
      <c r="AK774"/>
      <c r="AL774"/>
      <c r="AM774"/>
      <c r="AN774" s="9">
        <f t="shared" si="26"/>
        <v>0</v>
      </c>
      <c r="AO774" s="8"/>
      <c r="AP774" s="9">
        <f>I774-W774-X774-AN774</f>
        <v>0</v>
      </c>
      <c r="AQ774" t="s">
        <v>1316</v>
      </c>
    </row>
    <row r="775" spans="1:44" x14ac:dyDescent="0.3">
      <c r="A775" s="11">
        <f t="shared" si="24"/>
        <v>773</v>
      </c>
      <c r="B775" s="5" t="s">
        <v>1675</v>
      </c>
      <c r="C775" t="s">
        <v>893</v>
      </c>
      <c r="D775" s="24" t="s">
        <v>864</v>
      </c>
      <c r="E775" s="24" t="str">
        <f>IFERROR(VLOOKUP(D775,Dropdown!A:B,2,0),D775)</f>
        <v>SVP</v>
      </c>
      <c r="F775" s="6">
        <v>45895</v>
      </c>
      <c r="G775" s="6" t="str">
        <f>TEXT(F775, "MMM-YY")</f>
        <v>Aug-25</v>
      </c>
      <c r="H775" t="s">
        <v>737</v>
      </c>
      <c r="I775" s="25">
        <v>98.69</v>
      </c>
      <c r="J775" s="4">
        <v>1700</v>
      </c>
      <c r="K775" t="s">
        <v>958</v>
      </c>
      <c r="L775" s="4" t="str">
        <f>VLOOKUP(K775, 'Items Master'!A:E,5,0)</f>
        <v>HMEL</v>
      </c>
      <c r="M775" s="4" t="str">
        <f>VLOOKUP(K775, 'Items Master'!A:D,4,0)</f>
        <v>PP</v>
      </c>
      <c r="N775" s="4" t="s">
        <v>49</v>
      </c>
      <c r="Q775" s="6">
        <v>45895</v>
      </c>
      <c r="R775" s="6" t="str">
        <f>TEXT(Q775, "MMM-YY")</f>
        <v>Aug-25</v>
      </c>
      <c r="X775" s="25">
        <v>100.09</v>
      </c>
      <c r="Y775" t="s">
        <v>1303</v>
      </c>
      <c r="Z775" t="s">
        <v>1305</v>
      </c>
      <c r="AB775" s="8">
        <v>-1.1000000000000001</v>
      </c>
      <c r="AC775" s="8">
        <v>-0.3</v>
      </c>
      <c r="AN775" s="9">
        <f t="shared" si="26"/>
        <v>-1.4000000000000001</v>
      </c>
      <c r="AO775" s="8"/>
      <c r="AP775" s="9">
        <f>I775-W775-X775-AN775</f>
        <v>-5.5511151231257827E-15</v>
      </c>
      <c r="AQ775" t="s">
        <v>1316</v>
      </c>
    </row>
    <row r="776" spans="1:44" x14ac:dyDescent="0.3">
      <c r="A776" s="11">
        <f t="shared" ref="A776:A839" si="27">A775+1</f>
        <v>774</v>
      </c>
      <c r="B776" s="5" t="s">
        <v>1675</v>
      </c>
      <c r="C776" t="s">
        <v>894</v>
      </c>
      <c r="D776" s="24" t="s">
        <v>860</v>
      </c>
      <c r="E776" s="24" t="str">
        <f>IFERROR(VLOOKUP(D776,Dropdown!A:B,2,0),D776)</f>
        <v>VINAY PLASTICS</v>
      </c>
      <c r="F776" s="6">
        <v>45895</v>
      </c>
      <c r="G776" s="6" t="str">
        <f>TEXT(F776, "MMM-YY")</f>
        <v>Aug-25</v>
      </c>
      <c r="H776" t="s">
        <v>738</v>
      </c>
      <c r="I776" s="25">
        <v>92.75</v>
      </c>
      <c r="J776" s="4">
        <v>12000</v>
      </c>
      <c r="K776" t="s">
        <v>915</v>
      </c>
      <c r="L776" s="4" t="str">
        <f>VLOOKUP(K776, 'Items Master'!A:E,5,0)</f>
        <v>RIL</v>
      </c>
      <c r="M776" s="4" t="str">
        <f>VLOOKUP(K776, 'Items Master'!A:D,4,0)</f>
        <v>LLDPE</v>
      </c>
      <c r="N776" s="4" t="s">
        <v>24</v>
      </c>
      <c r="Q776" s="6">
        <v>45895</v>
      </c>
      <c r="R776" s="6" t="str">
        <f>TEXT(Q776, "MMM-YY")</f>
        <v>Aug-25</v>
      </c>
      <c r="W776" s="25">
        <v>92.75</v>
      </c>
      <c r="Y776"/>
      <c r="Z776"/>
      <c r="AB776"/>
      <c r="AC776"/>
      <c r="AD776"/>
      <c r="AE776"/>
      <c r="AF776"/>
      <c r="AG776"/>
      <c r="AH776"/>
      <c r="AI776"/>
      <c r="AJ776"/>
      <c r="AK776"/>
      <c r="AL776"/>
      <c r="AM776"/>
      <c r="AN776" s="9">
        <f t="shared" si="26"/>
        <v>0</v>
      </c>
      <c r="AO776" s="8"/>
      <c r="AP776" s="9">
        <f>I776-W776-X776-AN776</f>
        <v>0</v>
      </c>
      <c r="AQ776" t="s">
        <v>1316</v>
      </c>
    </row>
    <row r="777" spans="1:44" x14ac:dyDescent="0.3">
      <c r="A777" s="11">
        <f t="shared" si="27"/>
        <v>775</v>
      </c>
      <c r="B777" s="5" t="s">
        <v>1675</v>
      </c>
      <c r="C777" t="s">
        <v>893</v>
      </c>
      <c r="D777" s="24" t="s">
        <v>889</v>
      </c>
      <c r="E777" s="24" t="str">
        <f>IFERROR(VLOOKUP(D777,Dropdown!A:B,2,0),D777)</f>
        <v>MAYUR PLASTIC</v>
      </c>
      <c r="F777" s="6">
        <v>45895</v>
      </c>
      <c r="G777" s="6" t="str">
        <f>TEXT(F777, "MMM-YY")</f>
        <v>Aug-25</v>
      </c>
      <c r="H777" t="s">
        <v>739</v>
      </c>
      <c r="I777" s="25">
        <v>116</v>
      </c>
      <c r="J777" s="4">
        <v>375</v>
      </c>
      <c r="K777" t="s">
        <v>1121</v>
      </c>
      <c r="L777" s="4" t="str">
        <f>VLOOKUP(K777, 'Items Master'!A:E,5,0)</f>
        <v>DOW</v>
      </c>
      <c r="M777" s="4" t="str">
        <f>VLOOKUP(K777, 'Items Master'!A:D,4,0)</f>
        <v>Metallocene</v>
      </c>
      <c r="N777" s="4" t="s">
        <v>24</v>
      </c>
      <c r="Q777" s="6">
        <v>45895</v>
      </c>
      <c r="R777" s="6" t="str">
        <f>TEXT(Q777, "MMM-YY")</f>
        <v>Aug-25</v>
      </c>
      <c r="W777" s="25">
        <v>116</v>
      </c>
      <c r="Y777"/>
      <c r="Z777"/>
      <c r="AB777"/>
      <c r="AC777"/>
      <c r="AD777"/>
      <c r="AE777"/>
      <c r="AF777"/>
      <c r="AG777"/>
      <c r="AH777"/>
      <c r="AI777"/>
      <c r="AJ777"/>
      <c r="AK777"/>
      <c r="AL777"/>
      <c r="AM777"/>
      <c r="AN777" s="9">
        <f t="shared" si="26"/>
        <v>0</v>
      </c>
      <c r="AO777" s="8"/>
      <c r="AP777" s="9">
        <f>I777-W777-X777-AN777</f>
        <v>0</v>
      </c>
      <c r="AQ777" t="s">
        <v>1316</v>
      </c>
    </row>
    <row r="778" spans="1:44" x14ac:dyDescent="0.3">
      <c r="A778" s="11">
        <f t="shared" si="27"/>
        <v>776</v>
      </c>
      <c r="B778" s="5" t="s">
        <v>1675</v>
      </c>
      <c r="C778" t="s">
        <v>893</v>
      </c>
      <c r="D778" s="24" t="s">
        <v>824</v>
      </c>
      <c r="E778" s="24" t="str">
        <f>IFERROR(VLOOKUP(D778,Dropdown!A:B,2,0),D778)</f>
        <v>Paragon</v>
      </c>
      <c r="F778" s="6">
        <v>45895</v>
      </c>
      <c r="G778" s="6" t="str">
        <f>TEXT(F778, "MMM-YY")</f>
        <v>Aug-25</v>
      </c>
      <c r="H778" t="s">
        <v>740</v>
      </c>
      <c r="I778" s="25">
        <v>99.5</v>
      </c>
      <c r="J778" s="4">
        <v>3000</v>
      </c>
      <c r="K778" t="s">
        <v>915</v>
      </c>
      <c r="L778" s="4" t="str">
        <f>VLOOKUP(K778, 'Items Master'!A:E,5,0)</f>
        <v>RIL</v>
      </c>
      <c r="M778" s="4" t="str">
        <f>VLOOKUP(K778, 'Items Master'!A:D,4,0)</f>
        <v>LLDPE</v>
      </c>
      <c r="N778" s="4" t="s">
        <v>49</v>
      </c>
      <c r="Q778" s="6">
        <v>45895</v>
      </c>
      <c r="R778" s="6" t="str">
        <f>TEXT(Q778, "MMM-YY")</f>
        <v>Aug-25</v>
      </c>
      <c r="X778" s="25">
        <v>99.5</v>
      </c>
      <c r="Y778" s="25" t="s">
        <v>1303</v>
      </c>
      <c r="AB778"/>
      <c r="AC778"/>
      <c r="AD778"/>
      <c r="AE778"/>
      <c r="AF778"/>
      <c r="AG778"/>
      <c r="AH778"/>
      <c r="AI778"/>
      <c r="AJ778"/>
      <c r="AK778"/>
      <c r="AL778"/>
      <c r="AM778"/>
      <c r="AN778" s="9">
        <f t="shared" si="26"/>
        <v>0</v>
      </c>
      <c r="AO778" s="8"/>
      <c r="AP778" s="9">
        <f>I778-W778-X778-AN778</f>
        <v>0</v>
      </c>
      <c r="AQ778" t="s">
        <v>1324</v>
      </c>
    </row>
    <row r="779" spans="1:44" x14ac:dyDescent="0.3">
      <c r="A779" s="11">
        <f t="shared" si="27"/>
        <v>777</v>
      </c>
      <c r="B779" s="5" t="s">
        <v>1675</v>
      </c>
      <c r="C779" t="s">
        <v>893</v>
      </c>
      <c r="D779" s="24" t="s">
        <v>843</v>
      </c>
      <c r="E779" s="24" t="str">
        <f>IFERROR(VLOOKUP(D779,Dropdown!A:B,2,0),D779)</f>
        <v>SIGMA CHEMTRADE PRIVATE LIMITED</v>
      </c>
      <c r="F779" s="6">
        <v>45896</v>
      </c>
      <c r="G779" s="6" t="str">
        <f>TEXT(F779, "MMM-YY")</f>
        <v>Aug-25</v>
      </c>
      <c r="H779" t="s">
        <v>741</v>
      </c>
      <c r="I779" s="25">
        <v>97</v>
      </c>
      <c r="J779" s="4">
        <v>12000</v>
      </c>
      <c r="K779" t="s">
        <v>1014</v>
      </c>
      <c r="L779" s="4" t="str">
        <f>VLOOKUP(K779, 'Items Master'!A:E,5,0)</f>
        <v>BOROUGE</v>
      </c>
      <c r="M779" s="4" t="str">
        <f>VLOOKUP(K779, 'Items Master'!A:D,4,0)</f>
        <v>PP</v>
      </c>
      <c r="N779" s="4" t="s">
        <v>24</v>
      </c>
      <c r="Q779" s="6">
        <v>45896</v>
      </c>
      <c r="R779" s="6" t="str">
        <f>TEXT(Q779, "MMM-YY")</f>
        <v>Aug-25</v>
      </c>
      <c r="W779" s="25">
        <v>97</v>
      </c>
      <c r="Y779"/>
      <c r="Z779"/>
      <c r="AB779"/>
      <c r="AC779"/>
      <c r="AD779"/>
      <c r="AE779"/>
      <c r="AF779"/>
      <c r="AG779"/>
      <c r="AH779"/>
      <c r="AI779"/>
      <c r="AJ779"/>
      <c r="AK779"/>
      <c r="AL779"/>
      <c r="AM779"/>
      <c r="AN779" s="9">
        <f t="shared" si="26"/>
        <v>0</v>
      </c>
      <c r="AO779" s="8"/>
      <c r="AP779" s="9">
        <f>I779-W779-X779-AN779</f>
        <v>0</v>
      </c>
      <c r="AQ779" t="s">
        <v>1316</v>
      </c>
    </row>
    <row r="780" spans="1:44" x14ac:dyDescent="0.3">
      <c r="A780" s="11">
        <f t="shared" si="27"/>
        <v>778</v>
      </c>
      <c r="B780" s="5" t="s">
        <v>1675</v>
      </c>
      <c r="C780" t="s">
        <v>893</v>
      </c>
      <c r="D780" s="24" t="s">
        <v>857</v>
      </c>
      <c r="E780" s="24" t="str">
        <f>IFERROR(VLOOKUP(D780,Dropdown!A:B,2,0),D780)</f>
        <v>Purav</v>
      </c>
      <c r="F780" s="6">
        <v>45897</v>
      </c>
      <c r="G780" s="6" t="str">
        <f>TEXT(F780, "MMM-YY")</f>
        <v>Aug-25</v>
      </c>
      <c r="H780" t="s">
        <v>742</v>
      </c>
      <c r="I780" s="25">
        <v>98</v>
      </c>
      <c r="J780" s="4">
        <v>10000</v>
      </c>
      <c r="K780" t="s">
        <v>17</v>
      </c>
      <c r="L780" s="4" t="str">
        <f>VLOOKUP(K780, 'Items Master'!A:E,5,0)</f>
        <v>OPAL</v>
      </c>
      <c r="M780" s="4" t="str">
        <f>VLOOKUP(K780, 'Items Master'!A:D,4,0)</f>
        <v>LLDPE</v>
      </c>
      <c r="N780" s="4" t="s">
        <v>49</v>
      </c>
      <c r="O780" t="s">
        <v>1298</v>
      </c>
      <c r="Q780" s="6">
        <v>45897</v>
      </c>
      <c r="R780" s="6" t="str">
        <f>TEXT(Q780, "MMM-YY")</f>
        <v>Aug-25</v>
      </c>
      <c r="U780" t="s">
        <v>1605</v>
      </c>
      <c r="X780" s="25">
        <v>98.8</v>
      </c>
      <c r="Y780" s="25" t="s">
        <v>1303</v>
      </c>
      <c r="AB780" s="8">
        <v>-0.9</v>
      </c>
      <c r="AH780" s="8">
        <v>0.1</v>
      </c>
      <c r="AN780" s="9">
        <f t="shared" si="26"/>
        <v>-0.8</v>
      </c>
      <c r="AO780" s="8"/>
      <c r="AP780" s="9">
        <f>I780-W780-X780-AN780</f>
        <v>2.886579864025407E-15</v>
      </c>
      <c r="AQ780" t="s">
        <v>1316</v>
      </c>
    </row>
    <row r="781" spans="1:44" x14ac:dyDescent="0.3">
      <c r="A781" s="11">
        <f t="shared" si="27"/>
        <v>779</v>
      </c>
      <c r="B781" s="5" t="s">
        <v>1675</v>
      </c>
      <c r="C781" t="s">
        <v>893</v>
      </c>
      <c r="D781" s="24" t="s">
        <v>857</v>
      </c>
      <c r="E781" s="24" t="str">
        <f>IFERROR(VLOOKUP(D781,Dropdown!A:B,2,0),D781)</f>
        <v>Purav</v>
      </c>
      <c r="F781" s="6">
        <v>45897</v>
      </c>
      <c r="G781" s="6" t="str">
        <f>TEXT(F781, "MMM-YY")</f>
        <v>Aug-25</v>
      </c>
      <c r="H781" t="s">
        <v>743</v>
      </c>
      <c r="I781" s="25">
        <v>98</v>
      </c>
      <c r="J781" s="4">
        <v>12000</v>
      </c>
      <c r="K781" t="s">
        <v>17</v>
      </c>
      <c r="L781" s="4" t="str">
        <f>VLOOKUP(K781, 'Items Master'!A:E,5,0)</f>
        <v>OPAL</v>
      </c>
      <c r="M781" s="4" t="str">
        <f>VLOOKUP(K781, 'Items Master'!A:D,4,0)</f>
        <v>LLDPE</v>
      </c>
      <c r="N781" s="4" t="s">
        <v>49</v>
      </c>
      <c r="O781" t="s">
        <v>1298</v>
      </c>
      <c r="Q781" s="6">
        <v>45897</v>
      </c>
      <c r="R781" s="6" t="str">
        <f>TEXT(Q781, "MMM-YY")</f>
        <v>Aug-25</v>
      </c>
      <c r="U781" t="s">
        <v>1605</v>
      </c>
      <c r="X781" s="25">
        <v>98.8</v>
      </c>
      <c r="Y781" s="25" t="s">
        <v>1303</v>
      </c>
      <c r="AB781" s="8">
        <v>-0.9</v>
      </c>
      <c r="AH781" s="8">
        <v>0.1</v>
      </c>
      <c r="AN781" s="9">
        <f t="shared" si="26"/>
        <v>-0.8</v>
      </c>
      <c r="AO781" s="8"/>
      <c r="AP781" s="9">
        <f>I781-W781-X781-AN781</f>
        <v>2.886579864025407E-15</v>
      </c>
      <c r="AQ781" t="s">
        <v>1316</v>
      </c>
    </row>
    <row r="782" spans="1:44" x14ac:dyDescent="0.3">
      <c r="A782" s="11">
        <f t="shared" si="27"/>
        <v>780</v>
      </c>
      <c r="B782" s="5" t="s">
        <v>1675</v>
      </c>
      <c r="C782" t="s">
        <v>893</v>
      </c>
      <c r="D782" s="24" t="s">
        <v>48</v>
      </c>
      <c r="E782" s="24" t="str">
        <f>IFERROR(VLOOKUP(D782,Dropdown!A:B,2,0),D782)</f>
        <v>CVPL</v>
      </c>
      <c r="F782" s="6">
        <v>45897</v>
      </c>
      <c r="G782" s="6" t="str">
        <f>TEXT(F782, "MMM-YY")</f>
        <v>Aug-25</v>
      </c>
      <c r="H782" t="s">
        <v>744</v>
      </c>
      <c r="I782" s="25">
        <v>99.75</v>
      </c>
      <c r="J782" s="4">
        <v>10000</v>
      </c>
      <c r="K782" t="s">
        <v>901</v>
      </c>
      <c r="L782" s="4" t="str">
        <f>VLOOKUP(K782, 'Items Master'!A:E,5,0)</f>
        <v>MRPL</v>
      </c>
      <c r="M782" s="4" t="str">
        <f>VLOOKUP(K782, 'Items Master'!A:D,4,0)</f>
        <v>PP</v>
      </c>
      <c r="N782" s="4" t="s">
        <v>49</v>
      </c>
      <c r="O782" t="s">
        <v>1298</v>
      </c>
      <c r="Q782" s="6">
        <v>45897</v>
      </c>
      <c r="R782" s="6" t="str">
        <f>TEXT(Q782, "MMM-YY")</f>
        <v>Aug-25</v>
      </c>
      <c r="X782" s="25">
        <v>97.945999999999998</v>
      </c>
      <c r="AB782"/>
      <c r="AC782"/>
      <c r="AD782"/>
      <c r="AE782"/>
      <c r="AF782"/>
      <c r="AG782"/>
      <c r="AH782"/>
      <c r="AI782"/>
      <c r="AJ782"/>
      <c r="AK782"/>
      <c r="AL782"/>
      <c r="AM782"/>
      <c r="AN782" s="9">
        <f t="shared" si="26"/>
        <v>0</v>
      </c>
      <c r="AO782" s="8"/>
      <c r="AP782" s="9">
        <f>I782-W782-X782-AN782</f>
        <v>1.804000000000002</v>
      </c>
      <c r="AQ782" t="s">
        <v>1324</v>
      </c>
    </row>
    <row r="783" spans="1:44" x14ac:dyDescent="0.3">
      <c r="A783" s="11">
        <f t="shared" si="27"/>
        <v>781</v>
      </c>
      <c r="B783" s="5" t="s">
        <v>1675</v>
      </c>
      <c r="C783" t="s">
        <v>893</v>
      </c>
      <c r="D783" s="24" t="s">
        <v>826</v>
      </c>
      <c r="E783" s="24" t="str">
        <f>IFERROR(VLOOKUP(D783,Dropdown!A:B,2,0),D783)</f>
        <v>Kamakya</v>
      </c>
      <c r="F783" s="6">
        <v>45897</v>
      </c>
      <c r="G783" s="6" t="str">
        <f>TEXT(F783, "MMM-YY")</f>
        <v>Aug-25</v>
      </c>
      <c r="H783" t="s">
        <v>745</v>
      </c>
      <c r="I783" s="25">
        <v>98.1</v>
      </c>
      <c r="J783" s="4">
        <v>5000</v>
      </c>
      <c r="K783" t="s">
        <v>937</v>
      </c>
      <c r="L783" s="4" t="str">
        <f>VLOOKUP(K783, 'Items Master'!A:E,5,0)</f>
        <v>MRPL</v>
      </c>
      <c r="M783" s="4" t="str">
        <f>VLOOKUP(K783, 'Items Master'!A:D,4,0)</f>
        <v>PP</v>
      </c>
      <c r="N783" s="4" t="s">
        <v>49</v>
      </c>
      <c r="Q783" s="6">
        <v>45897</v>
      </c>
      <c r="R783" s="6" t="str">
        <f>TEXT(Q783, "MMM-YY")</f>
        <v>Aug-25</v>
      </c>
      <c r="X783" s="25">
        <v>96.35</v>
      </c>
      <c r="Y783" t="s">
        <v>1304</v>
      </c>
      <c r="Z783" t="s">
        <v>1305</v>
      </c>
      <c r="AI783" s="8">
        <v>1.75</v>
      </c>
      <c r="AN783" s="9">
        <f t="shared" si="26"/>
        <v>1.75</v>
      </c>
      <c r="AO783" s="8"/>
      <c r="AP783" s="9">
        <f>I783-W783-X783-AN783</f>
        <v>0</v>
      </c>
      <c r="AQ783" t="s">
        <v>1316</v>
      </c>
    </row>
    <row r="784" spans="1:44" x14ac:dyDescent="0.3">
      <c r="A784" s="11">
        <f t="shared" si="27"/>
        <v>782</v>
      </c>
      <c r="B784" s="5" t="s">
        <v>1675</v>
      </c>
      <c r="C784" t="s">
        <v>893</v>
      </c>
      <c r="D784" s="24" t="s">
        <v>826</v>
      </c>
      <c r="E784" s="24" t="str">
        <f>IFERROR(VLOOKUP(D784,Dropdown!A:B,2,0),D784)</f>
        <v>Kamakya</v>
      </c>
      <c r="F784" s="6">
        <v>45897</v>
      </c>
      <c r="G784" s="6" t="str">
        <f>TEXT(F784, "MMM-YY")</f>
        <v>Aug-25</v>
      </c>
      <c r="H784" t="s">
        <v>745</v>
      </c>
      <c r="I784" s="25">
        <v>99.92</v>
      </c>
      <c r="J784" s="4">
        <v>20000</v>
      </c>
      <c r="K784" t="s">
        <v>976</v>
      </c>
      <c r="L784" s="4" t="str">
        <f>VLOOKUP(K784, 'Items Master'!A:E,5,0)</f>
        <v>MRPL</v>
      </c>
      <c r="M784" s="4" t="str">
        <f>VLOOKUP(K784, 'Items Master'!A:D,4,0)</f>
        <v>PP</v>
      </c>
      <c r="N784" s="4" t="s">
        <v>49</v>
      </c>
      <c r="Q784" s="6">
        <v>45897</v>
      </c>
      <c r="R784" s="6" t="str">
        <f>TEXT(Q784, "MMM-YY")</f>
        <v>Aug-25</v>
      </c>
      <c r="X784" s="25">
        <v>98.17</v>
      </c>
      <c r="Y784" t="s">
        <v>1304</v>
      </c>
      <c r="Z784" t="s">
        <v>1305</v>
      </c>
      <c r="AI784" s="8">
        <v>1.75</v>
      </c>
      <c r="AN784" s="9">
        <f t="shared" si="26"/>
        <v>1.75</v>
      </c>
      <c r="AO784" s="8"/>
      <c r="AP784" s="9">
        <f>I784-W784-X784-AN784</f>
        <v>0</v>
      </c>
      <c r="AQ784" t="s">
        <v>1316</v>
      </c>
    </row>
    <row r="785" spans="1:43" x14ac:dyDescent="0.3">
      <c r="A785" s="11">
        <f t="shared" si="27"/>
        <v>783</v>
      </c>
      <c r="B785" s="5" t="s">
        <v>1675</v>
      </c>
      <c r="C785" t="s">
        <v>894</v>
      </c>
      <c r="D785" s="24" t="s">
        <v>857</v>
      </c>
      <c r="E785" s="24" t="str">
        <f>IFERROR(VLOOKUP(D785,Dropdown!A:B,2,0),D785)</f>
        <v>Purav</v>
      </c>
      <c r="F785" s="6">
        <v>45897</v>
      </c>
      <c r="G785" s="6" t="str">
        <f>TEXT(F785, "MMM-YY")</f>
        <v>Aug-25</v>
      </c>
      <c r="H785" t="s">
        <v>746</v>
      </c>
      <c r="I785" s="25">
        <v>98</v>
      </c>
      <c r="J785" s="4">
        <v>13000</v>
      </c>
      <c r="K785" t="s">
        <v>17</v>
      </c>
      <c r="L785" s="4" t="str">
        <f>VLOOKUP(K785, 'Items Master'!A:E,5,0)</f>
        <v>OPAL</v>
      </c>
      <c r="M785" s="4" t="str">
        <f>VLOOKUP(K785, 'Items Master'!A:D,4,0)</f>
        <v>LLDPE</v>
      </c>
      <c r="N785" s="4" t="s">
        <v>49</v>
      </c>
      <c r="O785" t="s">
        <v>1298</v>
      </c>
      <c r="Q785" s="6">
        <v>45897</v>
      </c>
      <c r="R785" s="6" t="str">
        <f>TEXT(Q785, "MMM-YY")</f>
        <v>Aug-25</v>
      </c>
      <c r="U785" t="s">
        <v>1605</v>
      </c>
      <c r="X785" s="25">
        <v>98.8</v>
      </c>
      <c r="Y785" s="25" t="s">
        <v>1303</v>
      </c>
      <c r="AB785" s="8">
        <v>-0.9</v>
      </c>
      <c r="AH785" s="8">
        <v>0.1</v>
      </c>
      <c r="AN785" s="9">
        <f t="shared" si="26"/>
        <v>-0.8</v>
      </c>
      <c r="AO785" s="8"/>
      <c r="AP785" s="9">
        <f>I785-W785-X785-AN785</f>
        <v>2.886579864025407E-15</v>
      </c>
      <c r="AQ785" t="s">
        <v>1316</v>
      </c>
    </row>
    <row r="786" spans="1:43" x14ac:dyDescent="0.3">
      <c r="A786" s="11">
        <f t="shared" si="27"/>
        <v>784</v>
      </c>
      <c r="B786" s="5" t="s">
        <v>1675</v>
      </c>
      <c r="C786" t="s">
        <v>893</v>
      </c>
      <c r="D786" s="24" t="s">
        <v>824</v>
      </c>
      <c r="E786" s="24" t="str">
        <f>IFERROR(VLOOKUP(D786,Dropdown!A:B,2,0),D786)</f>
        <v>Paragon</v>
      </c>
      <c r="F786" s="6">
        <v>45897</v>
      </c>
      <c r="G786" s="6" t="str">
        <f>TEXT(F786, "MMM-YY")</f>
        <v>Aug-25</v>
      </c>
      <c r="H786" t="s">
        <v>747</v>
      </c>
      <c r="I786" s="25">
        <v>99.5</v>
      </c>
      <c r="J786" s="4">
        <v>100</v>
      </c>
      <c r="K786" t="s">
        <v>915</v>
      </c>
      <c r="L786" s="4" t="str">
        <f>VLOOKUP(K786, 'Items Master'!A:E,5,0)</f>
        <v>RIL</v>
      </c>
      <c r="M786" s="4" t="str">
        <f>VLOOKUP(K786, 'Items Master'!A:D,4,0)</f>
        <v>LLDPE</v>
      </c>
      <c r="N786" s="4" t="s">
        <v>49</v>
      </c>
      <c r="Q786" s="6">
        <v>45897</v>
      </c>
      <c r="R786" s="6" t="str">
        <f>TEXT(Q786, "MMM-YY")</f>
        <v>Aug-25</v>
      </c>
      <c r="X786" s="25">
        <v>99.5</v>
      </c>
      <c r="Y786" s="25" t="s">
        <v>1303</v>
      </c>
      <c r="AB786"/>
      <c r="AC786"/>
      <c r="AD786"/>
      <c r="AE786"/>
      <c r="AF786"/>
      <c r="AG786"/>
      <c r="AH786"/>
      <c r="AI786"/>
      <c r="AJ786"/>
      <c r="AK786"/>
      <c r="AL786"/>
      <c r="AM786"/>
      <c r="AN786" s="9">
        <f t="shared" si="26"/>
        <v>0</v>
      </c>
      <c r="AO786" s="8"/>
      <c r="AP786" s="9">
        <f>I786-W786-X786-AN786</f>
        <v>0</v>
      </c>
      <c r="AQ786" t="s">
        <v>1324</v>
      </c>
    </row>
    <row r="787" spans="1:43" x14ac:dyDescent="0.3">
      <c r="A787" s="11">
        <f t="shared" si="27"/>
        <v>785</v>
      </c>
      <c r="B787" s="5" t="s">
        <v>1675</v>
      </c>
      <c r="C787" t="s">
        <v>893</v>
      </c>
      <c r="D787" s="24" t="s">
        <v>824</v>
      </c>
      <c r="E787" s="24" t="str">
        <f>IFERROR(VLOOKUP(D787,Dropdown!A:B,2,0),D787)</f>
        <v>Paragon</v>
      </c>
      <c r="F787" s="6">
        <v>45897</v>
      </c>
      <c r="G787" s="6" t="str">
        <f>TEXT(F787, "MMM-YY")</f>
        <v>Aug-25</v>
      </c>
      <c r="H787" t="s">
        <v>747</v>
      </c>
      <c r="I787" s="25">
        <v>99.07</v>
      </c>
      <c r="J787" s="4">
        <v>25</v>
      </c>
      <c r="K787" t="s">
        <v>977</v>
      </c>
      <c r="L787" s="4" t="str">
        <f>VLOOKUP(K787, 'Items Master'!A:E,5,0)</f>
        <v>RIL</v>
      </c>
      <c r="M787" s="4" t="str">
        <f>VLOOKUP(K787, 'Items Master'!A:D,4,0)</f>
        <v>HDPE</v>
      </c>
      <c r="N787" s="4" t="s">
        <v>49</v>
      </c>
      <c r="Q787" s="6">
        <v>45897</v>
      </c>
      <c r="R787" s="6" t="str">
        <f>TEXT(Q787, "MMM-YY")</f>
        <v>Aug-25</v>
      </c>
      <c r="X787" s="25">
        <v>99.07</v>
      </c>
      <c r="Y787" s="25" t="s">
        <v>1303</v>
      </c>
      <c r="AB787"/>
      <c r="AC787"/>
      <c r="AD787"/>
      <c r="AE787"/>
      <c r="AF787"/>
      <c r="AG787"/>
      <c r="AH787"/>
      <c r="AI787"/>
      <c r="AJ787"/>
      <c r="AK787"/>
      <c r="AL787"/>
      <c r="AM787"/>
      <c r="AN787" s="9">
        <f t="shared" si="26"/>
        <v>0</v>
      </c>
      <c r="AO787" s="8"/>
      <c r="AP787" s="9">
        <f>I787-W787-X787-AN787</f>
        <v>0</v>
      </c>
      <c r="AQ787" t="s">
        <v>1324</v>
      </c>
    </row>
    <row r="788" spans="1:43" x14ac:dyDescent="0.3">
      <c r="A788" s="11">
        <f t="shared" si="27"/>
        <v>786</v>
      </c>
      <c r="B788" s="5" t="s">
        <v>1675</v>
      </c>
      <c r="C788" t="s">
        <v>893</v>
      </c>
      <c r="D788" s="24" t="s">
        <v>824</v>
      </c>
      <c r="E788" s="24" t="str">
        <f>IFERROR(VLOOKUP(D788,Dropdown!A:B,2,0),D788)</f>
        <v>Paragon</v>
      </c>
      <c r="F788" s="6">
        <v>45897</v>
      </c>
      <c r="G788" s="6" t="str">
        <f>TEXT(F788, "MMM-YY")</f>
        <v>Aug-25</v>
      </c>
      <c r="H788" t="s">
        <v>747</v>
      </c>
      <c r="I788" s="25">
        <v>121.45</v>
      </c>
      <c r="J788" s="4">
        <v>50</v>
      </c>
      <c r="K788" t="s">
        <v>920</v>
      </c>
      <c r="L788" s="4" t="str">
        <f>VLOOKUP(K788, 'Items Master'!A:E,5,0)</f>
        <v>RIL</v>
      </c>
      <c r="M788" s="4" t="str">
        <f>VLOOKUP(K788, 'Items Master'!A:D,4,0)</f>
        <v>LDPE</v>
      </c>
      <c r="N788" s="4" t="s">
        <v>49</v>
      </c>
      <c r="Q788" s="6">
        <v>45897</v>
      </c>
      <c r="R788" s="6" t="str">
        <f>TEXT(Q788, "MMM-YY")</f>
        <v>Aug-25</v>
      </c>
      <c r="X788" s="25">
        <v>121.45</v>
      </c>
      <c r="Y788"/>
      <c r="Z788"/>
      <c r="AB788"/>
      <c r="AC788"/>
      <c r="AD788"/>
      <c r="AE788"/>
      <c r="AF788"/>
      <c r="AG788"/>
      <c r="AH788"/>
      <c r="AI788"/>
      <c r="AJ788"/>
      <c r="AK788"/>
      <c r="AL788"/>
      <c r="AM788"/>
      <c r="AN788" s="9">
        <f t="shared" si="26"/>
        <v>0</v>
      </c>
      <c r="AO788" s="8"/>
      <c r="AP788" s="9">
        <f>I788-W788-X788-AN788</f>
        <v>0</v>
      </c>
      <c r="AQ788" t="s">
        <v>1316</v>
      </c>
    </row>
    <row r="789" spans="1:43" x14ac:dyDescent="0.3">
      <c r="A789" s="11">
        <f t="shared" si="27"/>
        <v>787</v>
      </c>
      <c r="B789" s="5" t="s">
        <v>1675</v>
      </c>
      <c r="C789" t="s">
        <v>893</v>
      </c>
      <c r="D789" s="24" t="s">
        <v>824</v>
      </c>
      <c r="E789" s="24" t="str">
        <f>IFERROR(VLOOKUP(D789,Dropdown!A:B,2,0),D789)</f>
        <v>Paragon</v>
      </c>
      <c r="F789" s="6">
        <v>45898</v>
      </c>
      <c r="G789" s="6" t="str">
        <f>TEXT(F789, "MMM-YY")</f>
        <v>Aug-25</v>
      </c>
      <c r="H789" t="s">
        <v>748</v>
      </c>
      <c r="I789" s="25">
        <v>104.36</v>
      </c>
      <c r="J789" s="4">
        <v>500</v>
      </c>
      <c r="K789" t="s">
        <v>944</v>
      </c>
      <c r="L789" s="4" t="str">
        <f>VLOOKUP(K789, 'Items Master'!A:E,5,0)</f>
        <v>RIL</v>
      </c>
      <c r="M789" s="4" t="str">
        <f>VLOOKUP(K789, 'Items Master'!A:D,4,0)</f>
        <v>PP ICP</v>
      </c>
      <c r="N789" s="4" t="s">
        <v>49</v>
      </c>
      <c r="Q789" s="6">
        <v>45898</v>
      </c>
      <c r="R789" s="6" t="str">
        <f>TEXT(Q789, "MMM-YY")</f>
        <v>Aug-25</v>
      </c>
      <c r="X789" s="25">
        <v>104.36</v>
      </c>
      <c r="Y789" s="25" t="s">
        <v>1304</v>
      </c>
      <c r="AB789"/>
      <c r="AC789"/>
      <c r="AD789"/>
      <c r="AE789"/>
      <c r="AF789"/>
      <c r="AG789"/>
      <c r="AH789"/>
      <c r="AI789"/>
      <c r="AJ789"/>
      <c r="AK789"/>
      <c r="AL789"/>
      <c r="AM789"/>
      <c r="AN789" s="9">
        <f t="shared" si="26"/>
        <v>0</v>
      </c>
      <c r="AO789" s="8"/>
      <c r="AP789" s="9">
        <f>I789-W789-X789-AN789</f>
        <v>0</v>
      </c>
      <c r="AQ789" t="s">
        <v>1324</v>
      </c>
    </row>
    <row r="790" spans="1:43" x14ac:dyDescent="0.3">
      <c r="A790" s="11">
        <f t="shared" si="27"/>
        <v>788</v>
      </c>
      <c r="B790" s="5" t="s">
        <v>1675</v>
      </c>
      <c r="C790" t="s">
        <v>893</v>
      </c>
      <c r="D790" s="24" t="s">
        <v>48</v>
      </c>
      <c r="E790" s="24" t="str">
        <f>IFERROR(VLOOKUP(D790,Dropdown!A:B,2,0),D790)</f>
        <v>CVPL</v>
      </c>
      <c r="F790" s="6">
        <v>45898</v>
      </c>
      <c r="G790" s="6" t="str">
        <f>TEXT(F790, "MMM-YY")</f>
        <v>Aug-25</v>
      </c>
      <c r="H790" t="s">
        <v>749</v>
      </c>
      <c r="I790" s="25">
        <v>100.37</v>
      </c>
      <c r="J790" s="4">
        <v>2500</v>
      </c>
      <c r="K790" t="s">
        <v>952</v>
      </c>
      <c r="L790" s="4" t="str">
        <f>VLOOKUP(K790, 'Items Master'!A:E,5,0)</f>
        <v>GAIL</v>
      </c>
      <c r="M790" s="4" t="str">
        <f>VLOOKUP(K790, 'Items Master'!A:D,4,0)</f>
        <v>HDPE</v>
      </c>
      <c r="N790" s="4" t="s">
        <v>49</v>
      </c>
      <c r="O790" t="s">
        <v>1298</v>
      </c>
      <c r="Q790" s="6">
        <v>45898</v>
      </c>
      <c r="R790" s="6" t="str">
        <f>TEXT(Q790, "MMM-YY")</f>
        <v>Aug-25</v>
      </c>
      <c r="X790" s="25">
        <v>99.87</v>
      </c>
      <c r="AB790"/>
      <c r="AC790"/>
      <c r="AD790"/>
      <c r="AE790"/>
      <c r="AF790"/>
      <c r="AG790"/>
      <c r="AH790"/>
      <c r="AI790"/>
      <c r="AJ790"/>
      <c r="AK790"/>
      <c r="AL790"/>
      <c r="AM790"/>
      <c r="AN790" s="9">
        <f t="shared" si="26"/>
        <v>0</v>
      </c>
      <c r="AO790" s="8"/>
      <c r="AP790" s="9">
        <f>I790-W790-X790-AN790</f>
        <v>0.5</v>
      </c>
      <c r="AQ790" t="s">
        <v>1324</v>
      </c>
    </row>
    <row r="791" spans="1:43" x14ac:dyDescent="0.3">
      <c r="A791" s="11">
        <f t="shared" si="27"/>
        <v>789</v>
      </c>
      <c r="B791" s="5" t="s">
        <v>1675</v>
      </c>
      <c r="C791" t="s">
        <v>893</v>
      </c>
      <c r="D791" s="24" t="s">
        <v>48</v>
      </c>
      <c r="E791" s="24" t="str">
        <f>IFERROR(VLOOKUP(D791,Dropdown!A:B,2,0),D791)</f>
        <v>CVPL</v>
      </c>
      <c r="F791" s="6">
        <v>45898</v>
      </c>
      <c r="G791" s="6" t="str">
        <f>TEXT(F791, "MMM-YY")</f>
        <v>Aug-25</v>
      </c>
      <c r="H791" t="s">
        <v>750</v>
      </c>
      <c r="I791" s="25">
        <v>100.69</v>
      </c>
      <c r="J791" s="4">
        <v>2000</v>
      </c>
      <c r="K791" t="s">
        <v>974</v>
      </c>
      <c r="L791" s="4" t="str">
        <f>VLOOKUP(K791, 'Items Master'!A:E,5,0)</f>
        <v>GAIL</v>
      </c>
      <c r="M791" s="4" t="str">
        <f>VLOOKUP(K791, 'Items Master'!A:D,4,0)</f>
        <v>LLDPE</v>
      </c>
      <c r="N791" s="4" t="s">
        <v>49</v>
      </c>
      <c r="O791" t="s">
        <v>1298</v>
      </c>
      <c r="Q791" s="6">
        <v>45898</v>
      </c>
      <c r="R791" s="6" t="str">
        <f>TEXT(Q791, "MMM-YY")</f>
        <v>Aug-25</v>
      </c>
      <c r="X791" s="25">
        <v>100.19</v>
      </c>
      <c r="AB791"/>
      <c r="AC791"/>
      <c r="AD791"/>
      <c r="AE791"/>
      <c r="AF791"/>
      <c r="AG791"/>
      <c r="AH791"/>
      <c r="AI791"/>
      <c r="AJ791"/>
      <c r="AK791"/>
      <c r="AL791"/>
      <c r="AM791"/>
      <c r="AN791" s="9">
        <f t="shared" si="26"/>
        <v>0</v>
      </c>
      <c r="AO791" s="8"/>
      <c r="AP791" s="9">
        <f>I791-W791-X791-AN791</f>
        <v>0.5</v>
      </c>
      <c r="AQ791" t="s">
        <v>1324</v>
      </c>
    </row>
    <row r="792" spans="1:43" x14ac:dyDescent="0.3">
      <c r="A792" s="11">
        <f t="shared" si="27"/>
        <v>790</v>
      </c>
      <c r="B792" s="5" t="s">
        <v>1675</v>
      </c>
      <c r="C792" t="s">
        <v>893</v>
      </c>
      <c r="D792" s="24" t="s">
        <v>48</v>
      </c>
      <c r="E792" s="24" t="str">
        <f>IFERROR(VLOOKUP(D792,Dropdown!A:B,2,0),D792)</f>
        <v>CVPL</v>
      </c>
      <c r="F792" s="6">
        <v>45898</v>
      </c>
      <c r="G792" s="6" t="str">
        <f>TEXT(F792, "MMM-YY")</f>
        <v>Aug-25</v>
      </c>
      <c r="H792" t="s">
        <v>750</v>
      </c>
      <c r="I792" s="25">
        <v>97.57</v>
      </c>
      <c r="J792" s="4">
        <v>1000</v>
      </c>
      <c r="K792" t="s">
        <v>942</v>
      </c>
      <c r="L792" s="4" t="str">
        <f>VLOOKUP(K792, 'Items Master'!A:E,5,0)</f>
        <v>GAIL</v>
      </c>
      <c r="M792" s="4" t="str">
        <f>VLOOKUP(K792, 'Items Master'!A:D,4,0)</f>
        <v>HDPE</v>
      </c>
      <c r="N792" s="4" t="s">
        <v>49</v>
      </c>
      <c r="O792" t="s">
        <v>1298</v>
      </c>
      <c r="Q792" s="6">
        <v>45898</v>
      </c>
      <c r="R792" s="6" t="str">
        <f>TEXT(Q792, "MMM-YY")</f>
        <v>Aug-25</v>
      </c>
      <c r="X792" s="25">
        <v>97.07</v>
      </c>
      <c r="AB792"/>
      <c r="AC792"/>
      <c r="AD792"/>
      <c r="AE792"/>
      <c r="AF792"/>
      <c r="AG792"/>
      <c r="AH792"/>
      <c r="AI792"/>
      <c r="AJ792"/>
      <c r="AK792"/>
      <c r="AL792"/>
      <c r="AM792"/>
      <c r="AN792" s="9">
        <f t="shared" si="26"/>
        <v>0</v>
      </c>
      <c r="AO792" s="8"/>
      <c r="AP792" s="9">
        <f>I792-W792-X792-AN792</f>
        <v>0.5</v>
      </c>
      <c r="AQ792" t="s">
        <v>1324</v>
      </c>
    </row>
    <row r="793" spans="1:43" x14ac:dyDescent="0.3">
      <c r="A793" s="11">
        <f t="shared" si="27"/>
        <v>791</v>
      </c>
      <c r="B793" s="5" t="s">
        <v>1675</v>
      </c>
      <c r="C793" t="s">
        <v>893</v>
      </c>
      <c r="D793" s="24" t="s">
        <v>48</v>
      </c>
      <c r="E793" s="24" t="str">
        <f>IFERROR(VLOOKUP(D793,Dropdown!A:B,2,0),D793)</f>
        <v>CVPL</v>
      </c>
      <c r="F793" s="6">
        <v>45898</v>
      </c>
      <c r="G793" s="6" t="str">
        <f>TEXT(F793, "MMM-YY")</f>
        <v>Aug-25</v>
      </c>
      <c r="H793" t="s">
        <v>751</v>
      </c>
      <c r="I793" s="25">
        <v>100.37</v>
      </c>
      <c r="J793" s="4">
        <v>2500</v>
      </c>
      <c r="K793" t="s">
        <v>952</v>
      </c>
      <c r="L793" s="4" t="str">
        <f>VLOOKUP(K793, 'Items Master'!A:E,5,0)</f>
        <v>GAIL</v>
      </c>
      <c r="M793" s="4" t="str">
        <f>VLOOKUP(K793, 'Items Master'!A:D,4,0)</f>
        <v>HDPE</v>
      </c>
      <c r="N793" s="4" t="s">
        <v>49</v>
      </c>
      <c r="O793" t="s">
        <v>1298</v>
      </c>
      <c r="Q793" s="6">
        <v>45898</v>
      </c>
      <c r="R793" s="6" t="str">
        <f>TEXT(Q793, "MMM-YY")</f>
        <v>Aug-25</v>
      </c>
      <c r="X793" s="25">
        <v>99.87</v>
      </c>
      <c r="AB793"/>
      <c r="AC793"/>
      <c r="AD793"/>
      <c r="AE793"/>
      <c r="AF793"/>
      <c r="AG793"/>
      <c r="AH793"/>
      <c r="AI793"/>
      <c r="AJ793"/>
      <c r="AK793"/>
      <c r="AL793"/>
      <c r="AM793"/>
      <c r="AN793" s="9">
        <f t="shared" si="26"/>
        <v>0</v>
      </c>
      <c r="AO793" s="8"/>
      <c r="AP793" s="9">
        <f>I793-W793-X793-AN793</f>
        <v>0.5</v>
      </c>
      <c r="AQ793" t="s">
        <v>1324</v>
      </c>
    </row>
    <row r="794" spans="1:43" x14ac:dyDescent="0.3">
      <c r="A794" s="11">
        <f t="shared" si="27"/>
        <v>792</v>
      </c>
      <c r="B794" s="5" t="s">
        <v>1675</v>
      </c>
      <c r="C794" t="s">
        <v>893</v>
      </c>
      <c r="D794" s="24" t="s">
        <v>857</v>
      </c>
      <c r="E794" s="24" t="str">
        <f>IFERROR(VLOOKUP(D794,Dropdown!A:B,2,0),D794)</f>
        <v>Purav</v>
      </c>
      <c r="F794" s="6">
        <v>45898</v>
      </c>
      <c r="G794" s="6" t="str">
        <f>TEXT(F794, "MMM-YY")</f>
        <v>Aug-25</v>
      </c>
      <c r="H794" t="s">
        <v>752</v>
      </c>
      <c r="I794" s="25">
        <v>98.25</v>
      </c>
      <c r="J794" s="4">
        <v>1000</v>
      </c>
      <c r="K794" t="s">
        <v>898</v>
      </c>
      <c r="L794" s="4" t="str">
        <f>VLOOKUP(K794, 'Items Master'!A:E,5,0)</f>
        <v>OPAL</v>
      </c>
      <c r="M794" s="4" t="str">
        <f>VLOOKUP(K794, 'Items Master'!A:D,4,0)</f>
        <v>LLDPE</v>
      </c>
      <c r="N794" s="4" t="s">
        <v>49</v>
      </c>
      <c r="O794" t="s">
        <v>1298</v>
      </c>
      <c r="Q794" s="6">
        <v>45898</v>
      </c>
      <c r="R794" s="6" t="str">
        <f>TEXT(Q794, "MMM-YY")</f>
        <v>Aug-25</v>
      </c>
      <c r="U794" t="s">
        <v>1605</v>
      </c>
      <c r="X794" s="25">
        <v>99.05</v>
      </c>
      <c r="Y794" s="25" t="s">
        <v>1303</v>
      </c>
      <c r="AB794" s="8">
        <v>-0.9</v>
      </c>
      <c r="AH794" s="8">
        <v>0.1</v>
      </c>
      <c r="AN794" s="9">
        <f t="shared" si="26"/>
        <v>-0.8</v>
      </c>
      <c r="AO794" s="8"/>
      <c r="AP794" s="9">
        <f>I794-W794-X794-AN794</f>
        <v>2.886579864025407E-15</v>
      </c>
      <c r="AQ794" t="s">
        <v>1316</v>
      </c>
    </row>
    <row r="795" spans="1:43" x14ac:dyDescent="0.3">
      <c r="A795" s="11">
        <f t="shared" si="27"/>
        <v>793</v>
      </c>
      <c r="B795" s="5" t="s">
        <v>1675</v>
      </c>
      <c r="C795" t="s">
        <v>893</v>
      </c>
      <c r="D795" s="24" t="s">
        <v>857</v>
      </c>
      <c r="E795" s="24" t="str">
        <f>IFERROR(VLOOKUP(D795,Dropdown!A:B,2,0),D795)</f>
        <v>Purav</v>
      </c>
      <c r="F795" s="6">
        <v>45898</v>
      </c>
      <c r="G795" s="6" t="str">
        <f>TEXT(F795, "MMM-YY")</f>
        <v>Aug-25</v>
      </c>
      <c r="H795" t="s">
        <v>753</v>
      </c>
      <c r="I795" s="25">
        <v>97.95</v>
      </c>
      <c r="J795" s="4">
        <v>6000</v>
      </c>
      <c r="K795" t="s">
        <v>896</v>
      </c>
      <c r="L795" s="4" t="str">
        <f>VLOOKUP(K795, 'Items Master'!A:E,5,0)</f>
        <v>OPAL</v>
      </c>
      <c r="M795" s="4" t="str">
        <f>VLOOKUP(K795, 'Items Master'!A:D,4,0)</f>
        <v>HDPE</v>
      </c>
      <c r="N795" s="4" t="s">
        <v>49</v>
      </c>
      <c r="O795" t="s">
        <v>1298</v>
      </c>
      <c r="Q795" s="6">
        <v>45898</v>
      </c>
      <c r="R795" s="6" t="str">
        <f>TEXT(Q795, "MMM-YY")</f>
        <v>Aug-25</v>
      </c>
      <c r="U795" t="s">
        <v>1605</v>
      </c>
      <c r="X795" s="25">
        <v>98.75</v>
      </c>
      <c r="Y795" s="25" t="s">
        <v>1303</v>
      </c>
      <c r="AB795" s="8">
        <v>-0.9</v>
      </c>
      <c r="AH795" s="8">
        <v>0.1</v>
      </c>
      <c r="AN795" s="9">
        <f t="shared" si="26"/>
        <v>-0.8</v>
      </c>
      <c r="AO795" s="8"/>
      <c r="AP795" s="9">
        <f>I795-W795-X795-AN795</f>
        <v>2.886579864025407E-15</v>
      </c>
      <c r="AQ795" t="s">
        <v>1316</v>
      </c>
    </row>
    <row r="796" spans="1:43" x14ac:dyDescent="0.3">
      <c r="A796" s="11">
        <f t="shared" si="27"/>
        <v>794</v>
      </c>
      <c r="B796" s="5" t="s">
        <v>1675</v>
      </c>
      <c r="C796" t="s">
        <v>893</v>
      </c>
      <c r="D796" s="24" t="s">
        <v>857</v>
      </c>
      <c r="E796" s="24" t="str">
        <f>IFERROR(VLOOKUP(D796,Dropdown!A:B,2,0),D796)</f>
        <v>Purav</v>
      </c>
      <c r="F796" s="6">
        <v>45898</v>
      </c>
      <c r="G796" s="6" t="str">
        <f>TEXT(F796, "MMM-YY")</f>
        <v>Aug-25</v>
      </c>
      <c r="H796" t="s">
        <v>754</v>
      </c>
      <c r="I796" s="25">
        <v>98</v>
      </c>
      <c r="J796" s="4">
        <v>4000</v>
      </c>
      <c r="K796" t="s">
        <v>17</v>
      </c>
      <c r="L796" s="4" t="str">
        <f>VLOOKUP(K796, 'Items Master'!A:E,5,0)</f>
        <v>OPAL</v>
      </c>
      <c r="M796" s="4" t="str">
        <f>VLOOKUP(K796, 'Items Master'!A:D,4,0)</f>
        <v>LLDPE</v>
      </c>
      <c r="N796" s="4" t="s">
        <v>49</v>
      </c>
      <c r="O796" t="s">
        <v>1298</v>
      </c>
      <c r="Q796" s="6">
        <v>45898</v>
      </c>
      <c r="R796" s="6" t="str">
        <f>TEXT(Q796, "MMM-YY")</f>
        <v>Aug-25</v>
      </c>
      <c r="U796" t="s">
        <v>1605</v>
      </c>
      <c r="X796" s="25">
        <v>98.8</v>
      </c>
      <c r="Y796" s="25" t="s">
        <v>1303</v>
      </c>
      <c r="AB796" s="8">
        <v>-0.9</v>
      </c>
      <c r="AH796" s="8">
        <v>0.1</v>
      </c>
      <c r="AN796" s="9">
        <f t="shared" si="26"/>
        <v>-0.8</v>
      </c>
      <c r="AO796" s="8"/>
      <c r="AP796" s="9">
        <f>I796-W796-X796-AN796</f>
        <v>2.886579864025407E-15</v>
      </c>
      <c r="AQ796" t="s">
        <v>1316</v>
      </c>
    </row>
    <row r="797" spans="1:43" x14ac:dyDescent="0.3">
      <c r="A797" s="11">
        <f t="shared" si="27"/>
        <v>795</v>
      </c>
      <c r="B797" s="5" t="s">
        <v>1675</v>
      </c>
      <c r="C797" t="s">
        <v>893</v>
      </c>
      <c r="D797" s="24" t="s">
        <v>48</v>
      </c>
      <c r="E797" s="24" t="str">
        <f>IFERROR(VLOOKUP(D797,Dropdown!A:B,2,0),D797)</f>
        <v>CVPL</v>
      </c>
      <c r="F797" s="6">
        <v>45898</v>
      </c>
      <c r="G797" s="6" t="str">
        <f>TEXT(F797, "MMM-YY")</f>
        <v>Aug-25</v>
      </c>
      <c r="H797" t="s">
        <v>755</v>
      </c>
      <c r="I797" s="25">
        <v>99.99</v>
      </c>
      <c r="J797" s="4">
        <v>3000</v>
      </c>
      <c r="K797" t="s">
        <v>903</v>
      </c>
      <c r="L797" s="4" t="str">
        <f>VLOOKUP(K797, 'Items Master'!A:E,5,0)</f>
        <v>GAIL</v>
      </c>
      <c r="M797" s="4" t="str">
        <f>VLOOKUP(K797, 'Items Master'!A:D,4,0)</f>
        <v>LLDPE</v>
      </c>
      <c r="N797" s="4" t="s">
        <v>49</v>
      </c>
      <c r="Q797" s="6">
        <v>45898</v>
      </c>
      <c r="R797" s="6" t="str">
        <f>TEXT(Q797, "MMM-YY")</f>
        <v>Aug-25</v>
      </c>
      <c r="X797" s="25">
        <v>99.99</v>
      </c>
      <c r="AB797"/>
      <c r="AC797"/>
      <c r="AD797"/>
      <c r="AE797"/>
      <c r="AF797"/>
      <c r="AG797"/>
      <c r="AH797"/>
      <c r="AI797"/>
      <c r="AJ797"/>
      <c r="AK797"/>
      <c r="AL797"/>
      <c r="AM797"/>
      <c r="AN797" s="9">
        <f t="shared" si="26"/>
        <v>0</v>
      </c>
      <c r="AO797" s="8"/>
      <c r="AP797" s="9">
        <f>I797-W797-X797-AN797</f>
        <v>0</v>
      </c>
      <c r="AQ797" t="s">
        <v>1324</v>
      </c>
    </row>
    <row r="798" spans="1:43" x14ac:dyDescent="0.3">
      <c r="A798" s="11">
        <f t="shared" si="27"/>
        <v>796</v>
      </c>
      <c r="B798" s="5" t="s">
        <v>1675</v>
      </c>
      <c r="C798" t="s">
        <v>893</v>
      </c>
      <c r="D798" s="24" t="s">
        <v>48</v>
      </c>
      <c r="E798" s="24" t="str">
        <f>IFERROR(VLOOKUP(D798,Dropdown!A:B,2,0),D798)</f>
        <v>CVPL</v>
      </c>
      <c r="F798" s="6">
        <v>45898</v>
      </c>
      <c r="G798" s="6" t="str">
        <f>TEXT(F798, "MMM-YY")</f>
        <v>Aug-25</v>
      </c>
      <c r="H798" t="s">
        <v>755</v>
      </c>
      <c r="I798" s="25">
        <v>100.69</v>
      </c>
      <c r="J798" s="4">
        <v>3000</v>
      </c>
      <c r="K798" t="s">
        <v>974</v>
      </c>
      <c r="L798" s="4" t="str">
        <f>VLOOKUP(K798, 'Items Master'!A:E,5,0)</f>
        <v>GAIL</v>
      </c>
      <c r="M798" s="4" t="str">
        <f>VLOOKUP(K798, 'Items Master'!A:D,4,0)</f>
        <v>LLDPE</v>
      </c>
      <c r="N798" s="4" t="s">
        <v>49</v>
      </c>
      <c r="O798" t="s">
        <v>1298</v>
      </c>
      <c r="Q798" s="6">
        <v>45898</v>
      </c>
      <c r="R798" s="6" t="str">
        <f>TEXT(Q798, "MMM-YY")</f>
        <v>Aug-25</v>
      </c>
      <c r="X798" s="25">
        <v>100.19</v>
      </c>
      <c r="AB798"/>
      <c r="AC798"/>
      <c r="AD798"/>
      <c r="AE798"/>
      <c r="AF798"/>
      <c r="AG798"/>
      <c r="AH798"/>
      <c r="AI798"/>
      <c r="AJ798"/>
      <c r="AK798"/>
      <c r="AL798"/>
      <c r="AM798"/>
      <c r="AN798" s="9">
        <f t="shared" si="26"/>
        <v>0</v>
      </c>
      <c r="AO798" s="8"/>
      <c r="AP798" s="9">
        <f>I798-W798-X798-AN798</f>
        <v>0.5</v>
      </c>
      <c r="AQ798" t="s">
        <v>1324</v>
      </c>
    </row>
    <row r="799" spans="1:43" x14ac:dyDescent="0.3">
      <c r="A799" s="11">
        <f t="shared" si="27"/>
        <v>797</v>
      </c>
      <c r="B799" s="5" t="s">
        <v>1675</v>
      </c>
      <c r="C799" t="s">
        <v>893</v>
      </c>
      <c r="D799" s="24" t="s">
        <v>48</v>
      </c>
      <c r="E799" s="24" t="str">
        <f>IFERROR(VLOOKUP(D799,Dropdown!A:B,2,0),D799)</f>
        <v>CVPL</v>
      </c>
      <c r="F799" s="6">
        <v>45898</v>
      </c>
      <c r="G799" s="6" t="str">
        <f>TEXT(F799, "MMM-YY")</f>
        <v>Aug-25</v>
      </c>
      <c r="H799" t="s">
        <v>755</v>
      </c>
      <c r="I799" s="25">
        <v>102.97</v>
      </c>
      <c r="J799" s="4">
        <v>3000</v>
      </c>
      <c r="K799" t="s">
        <v>990</v>
      </c>
      <c r="L799" s="4" t="str">
        <f>VLOOKUP(K799, 'Items Master'!A:E,5,0)</f>
        <v>GAIL</v>
      </c>
      <c r="M799" s="4" t="str">
        <f>VLOOKUP(K799, 'Items Master'!A:D,4,0)</f>
        <v>HDPE</v>
      </c>
      <c r="N799" s="4" t="s">
        <v>49</v>
      </c>
      <c r="Q799" s="6">
        <v>45898</v>
      </c>
      <c r="R799" s="6" t="str">
        <f>TEXT(Q799, "MMM-YY")</f>
        <v>Aug-25</v>
      </c>
      <c r="X799" s="25">
        <v>102.96599999999999</v>
      </c>
      <c r="AB799"/>
      <c r="AC799"/>
      <c r="AD799"/>
      <c r="AE799"/>
      <c r="AF799"/>
      <c r="AG799"/>
      <c r="AH799"/>
      <c r="AI799"/>
      <c r="AJ799"/>
      <c r="AK799"/>
      <c r="AL799"/>
      <c r="AM799"/>
      <c r="AN799" s="9">
        <f t="shared" si="26"/>
        <v>0</v>
      </c>
      <c r="AO799" s="8"/>
      <c r="AP799" s="9">
        <f>I799-W799-X799-AN799</f>
        <v>4.0000000000048885E-3</v>
      </c>
      <c r="AQ799" t="s">
        <v>1324</v>
      </c>
    </row>
    <row r="800" spans="1:43" x14ac:dyDescent="0.3">
      <c r="A800" s="11">
        <f t="shared" si="27"/>
        <v>798</v>
      </c>
      <c r="B800" s="5" t="s">
        <v>1675</v>
      </c>
      <c r="C800" t="s">
        <v>893</v>
      </c>
      <c r="D800" s="24" t="s">
        <v>48</v>
      </c>
      <c r="E800" s="24" t="str">
        <f>IFERROR(VLOOKUP(D800,Dropdown!A:B,2,0),D800)</f>
        <v>CVPL</v>
      </c>
      <c r="F800" s="6">
        <v>45898</v>
      </c>
      <c r="G800" s="6" t="str">
        <f>TEXT(F800, "MMM-YY")</f>
        <v>Aug-25</v>
      </c>
      <c r="H800" t="s">
        <v>755</v>
      </c>
      <c r="I800" s="25">
        <v>100.47</v>
      </c>
      <c r="J800" s="4">
        <v>5000</v>
      </c>
      <c r="K800" t="s">
        <v>1013</v>
      </c>
      <c r="L800" s="4" t="str">
        <f>VLOOKUP(K800, 'Items Master'!A:E,5,0)</f>
        <v>GAIL</v>
      </c>
      <c r="M800" s="4" t="str">
        <f>VLOOKUP(K800, 'Items Master'!A:D,4,0)</f>
        <v>HDPE</v>
      </c>
      <c r="N800" s="4" t="s">
        <v>49</v>
      </c>
      <c r="O800" t="s">
        <v>1298</v>
      </c>
      <c r="Q800" s="6">
        <v>45898</v>
      </c>
      <c r="R800" s="6" t="str">
        <f>TEXT(Q800, "MMM-YY")</f>
        <v>Aug-25</v>
      </c>
      <c r="X800" s="25">
        <v>99.965999999999994</v>
      </c>
      <c r="AB800"/>
      <c r="AC800"/>
      <c r="AD800"/>
      <c r="AE800"/>
      <c r="AF800"/>
      <c r="AG800"/>
      <c r="AH800"/>
      <c r="AI800"/>
      <c r="AJ800"/>
      <c r="AK800"/>
      <c r="AL800"/>
      <c r="AM800"/>
      <c r="AN800" s="9">
        <f t="shared" si="26"/>
        <v>0</v>
      </c>
      <c r="AO800" s="8"/>
      <c r="AP800" s="9">
        <f>I800-W800-X800-AN800</f>
        <v>0.50400000000000489</v>
      </c>
      <c r="AQ800" t="s">
        <v>1324</v>
      </c>
    </row>
    <row r="801" spans="1:43" x14ac:dyDescent="0.3">
      <c r="A801" s="11">
        <f t="shared" si="27"/>
        <v>799</v>
      </c>
      <c r="B801" s="5" t="s">
        <v>1675</v>
      </c>
      <c r="C801" t="s">
        <v>893</v>
      </c>
      <c r="D801" s="24" t="s">
        <v>48</v>
      </c>
      <c r="E801" s="24" t="str">
        <f>IFERROR(VLOOKUP(D801,Dropdown!A:B,2,0),D801)</f>
        <v>CVPL</v>
      </c>
      <c r="F801" s="6">
        <v>45899</v>
      </c>
      <c r="G801" s="6" t="str">
        <f>TEXT(F801, "MMM-YY")</f>
        <v>Aug-25</v>
      </c>
      <c r="H801" t="s">
        <v>756</v>
      </c>
      <c r="I801" s="25">
        <v>115.25</v>
      </c>
      <c r="J801" s="4">
        <v>1700</v>
      </c>
      <c r="K801" t="s">
        <v>953</v>
      </c>
      <c r="L801" s="4" t="str">
        <f>VLOOKUP(K801, 'Items Master'!A:E,5,0)</f>
        <v>LOTRENE</v>
      </c>
      <c r="M801" s="4" t="str">
        <f>VLOOKUP(K801, 'Items Master'!A:D,4,0)</f>
        <v>LDPE</v>
      </c>
      <c r="N801" s="4" t="s">
        <v>24</v>
      </c>
      <c r="Q801" s="6">
        <v>45899</v>
      </c>
      <c r="R801" s="6" t="str">
        <f>TEXT(Q801, "MMM-YY")</f>
        <v>Aug-25</v>
      </c>
      <c r="W801" s="25">
        <v>115.25</v>
      </c>
      <c r="Y801"/>
      <c r="Z801"/>
      <c r="AB801"/>
      <c r="AC801"/>
      <c r="AD801"/>
      <c r="AE801"/>
      <c r="AF801"/>
      <c r="AG801"/>
      <c r="AH801"/>
      <c r="AI801"/>
      <c r="AJ801"/>
      <c r="AK801"/>
      <c r="AL801"/>
      <c r="AM801"/>
      <c r="AN801" s="9">
        <f t="shared" si="26"/>
        <v>0</v>
      </c>
      <c r="AO801" s="8"/>
      <c r="AP801" s="9">
        <f>I801-W801-X801-AN801</f>
        <v>0</v>
      </c>
      <c r="AQ801" t="s">
        <v>1316</v>
      </c>
    </row>
    <row r="802" spans="1:43" x14ac:dyDescent="0.3">
      <c r="A802" s="11">
        <f t="shared" si="27"/>
        <v>800</v>
      </c>
      <c r="B802" s="5" t="s">
        <v>1675</v>
      </c>
      <c r="C802" t="s">
        <v>894</v>
      </c>
      <c r="D802" s="24" t="s">
        <v>837</v>
      </c>
      <c r="E802" s="24" t="str">
        <f>IFERROR(VLOOKUP(D802,Dropdown!A:B,2,0),D802)</f>
        <v>SYNTHETIC PACKERS LIMITED</v>
      </c>
      <c r="F802" s="6">
        <v>45899</v>
      </c>
      <c r="G802" s="6" t="str">
        <f>TEXT(F802, "MMM-YY")</f>
        <v>Aug-25</v>
      </c>
      <c r="H802" t="s">
        <v>757</v>
      </c>
      <c r="I802" s="25">
        <v>93</v>
      </c>
      <c r="J802" s="4">
        <v>12000</v>
      </c>
      <c r="K802" t="s">
        <v>909</v>
      </c>
      <c r="L802" s="4" t="str">
        <f>VLOOKUP(K802, 'Items Master'!A:E,5,0)</f>
        <v>LUBAN</v>
      </c>
      <c r="M802" s="4" t="str">
        <f>VLOOKUP(K802, 'Items Master'!A:D,4,0)</f>
        <v>HDPE</v>
      </c>
      <c r="N802" s="4" t="s">
        <v>24</v>
      </c>
      <c r="Q802" s="6">
        <v>45899</v>
      </c>
      <c r="R802" s="6" t="str">
        <f>TEXT(Q802, "MMM-YY")</f>
        <v>Aug-25</v>
      </c>
      <c r="W802" s="25">
        <v>93</v>
      </c>
      <c r="Y802"/>
      <c r="Z802"/>
      <c r="AB802"/>
      <c r="AC802"/>
      <c r="AD802"/>
      <c r="AE802"/>
      <c r="AF802"/>
      <c r="AG802"/>
      <c r="AH802"/>
      <c r="AI802"/>
      <c r="AJ802"/>
      <c r="AK802"/>
      <c r="AL802"/>
      <c r="AM802"/>
      <c r="AN802" s="9">
        <f t="shared" si="26"/>
        <v>0</v>
      </c>
      <c r="AO802" s="8"/>
      <c r="AP802" s="9">
        <f>I802-W802-X802-AN802</f>
        <v>0</v>
      </c>
      <c r="AQ802" t="s">
        <v>1316</v>
      </c>
    </row>
    <row r="803" spans="1:43" x14ac:dyDescent="0.3">
      <c r="A803" s="11">
        <f t="shared" si="27"/>
        <v>801</v>
      </c>
      <c r="B803" s="5" t="s">
        <v>1675</v>
      </c>
      <c r="C803" t="s">
        <v>893</v>
      </c>
      <c r="D803" s="24" t="s">
        <v>836</v>
      </c>
      <c r="E803" s="24" t="str">
        <f>IFERROR(VLOOKUP(D803,Dropdown!A:B,2,0),D803)</f>
        <v>Intime</v>
      </c>
      <c r="F803" s="6">
        <v>45899</v>
      </c>
      <c r="G803" s="6" t="str">
        <f>TEXT(F803, "MMM-YY")</f>
        <v>Aug-25</v>
      </c>
      <c r="H803" t="s">
        <v>758</v>
      </c>
      <c r="I803" s="25">
        <v>98.433000000000007</v>
      </c>
      <c r="J803" s="4">
        <v>20000</v>
      </c>
      <c r="K803" t="s">
        <v>911</v>
      </c>
      <c r="L803" s="4" t="str">
        <f>VLOOKUP(K803, 'Items Master'!A:E,5,0)</f>
        <v>BCPL</v>
      </c>
      <c r="M803" s="4" t="str">
        <f>VLOOKUP(K803, 'Items Master'!A:D,4,0)</f>
        <v>LLDPE</v>
      </c>
      <c r="N803" s="4" t="s">
        <v>49</v>
      </c>
      <c r="Q803" s="6">
        <v>45899</v>
      </c>
      <c r="R803" s="6" t="str">
        <f>TEXT(Q803, "MMM-YY")</f>
        <v>Aug-25</v>
      </c>
      <c r="X803" s="25">
        <v>98.433000000000007</v>
      </c>
      <c r="Y803" s="25" t="s">
        <v>1304</v>
      </c>
      <c r="Z803" s="25" t="s">
        <v>1308</v>
      </c>
      <c r="AB803"/>
      <c r="AC803"/>
      <c r="AD803"/>
      <c r="AE803"/>
      <c r="AF803"/>
      <c r="AG803"/>
      <c r="AH803"/>
      <c r="AI803"/>
      <c r="AJ803"/>
      <c r="AK803"/>
      <c r="AL803"/>
      <c r="AM803"/>
      <c r="AN803" s="9">
        <f t="shared" si="26"/>
        <v>0</v>
      </c>
      <c r="AO803" s="8"/>
      <c r="AP803" s="9">
        <f>I803-W803-X803-AN803</f>
        <v>0</v>
      </c>
      <c r="AQ803" t="s">
        <v>1324</v>
      </c>
    </row>
    <row r="804" spans="1:43" x14ac:dyDescent="0.3">
      <c r="A804" s="11">
        <f t="shared" si="27"/>
        <v>802</v>
      </c>
      <c r="B804" s="5" t="s">
        <v>1675</v>
      </c>
      <c r="C804" t="s">
        <v>893</v>
      </c>
      <c r="D804" s="24" t="s">
        <v>857</v>
      </c>
      <c r="E804" s="24" t="str">
        <f>IFERROR(VLOOKUP(D804,Dropdown!A:B,2,0),D804)</f>
        <v>Purav</v>
      </c>
      <c r="F804" s="6">
        <v>45899</v>
      </c>
      <c r="G804" s="6" t="str">
        <f>TEXT(F804, "MMM-YY")</f>
        <v>Aug-25</v>
      </c>
      <c r="H804" t="s">
        <v>759</v>
      </c>
      <c r="I804" s="25">
        <v>97.95</v>
      </c>
      <c r="J804" s="4">
        <v>12000</v>
      </c>
      <c r="K804" t="s">
        <v>896</v>
      </c>
      <c r="L804" s="4" t="str">
        <f>VLOOKUP(K804, 'Items Master'!A:E,5,0)</f>
        <v>OPAL</v>
      </c>
      <c r="M804" s="4" t="str">
        <f>VLOOKUP(K804, 'Items Master'!A:D,4,0)</f>
        <v>HDPE</v>
      </c>
      <c r="N804" s="4" t="s">
        <v>49</v>
      </c>
      <c r="O804" t="s">
        <v>1298</v>
      </c>
      <c r="Q804" s="6">
        <v>45899</v>
      </c>
      <c r="R804" s="6" t="str">
        <f>TEXT(Q804, "MMM-YY")</f>
        <v>Aug-25</v>
      </c>
      <c r="U804" t="s">
        <v>1605</v>
      </c>
      <c r="X804" s="25">
        <v>98.75</v>
      </c>
      <c r="Y804" s="25" t="s">
        <v>1303</v>
      </c>
      <c r="Z804" s="25" t="s">
        <v>1306</v>
      </c>
      <c r="AB804" s="8">
        <v>-0.9</v>
      </c>
      <c r="AH804" s="8">
        <v>0.1</v>
      </c>
      <c r="AN804" s="9">
        <f t="shared" si="26"/>
        <v>-0.8</v>
      </c>
      <c r="AO804" s="8"/>
      <c r="AP804" s="9">
        <f>I804-W804-X804-AN804</f>
        <v>2.886579864025407E-15</v>
      </c>
      <c r="AQ804" t="s">
        <v>1316</v>
      </c>
    </row>
    <row r="805" spans="1:43" x14ac:dyDescent="0.3">
      <c r="A805" s="11">
        <f t="shared" si="27"/>
        <v>803</v>
      </c>
      <c r="B805" s="5" t="s">
        <v>1675</v>
      </c>
      <c r="C805" t="s">
        <v>893</v>
      </c>
      <c r="D805" s="24" t="s">
        <v>48</v>
      </c>
      <c r="E805" s="24" t="str">
        <f>IFERROR(VLOOKUP(D805,Dropdown!A:B,2,0),D805)</f>
        <v>CVPL</v>
      </c>
      <c r="F805" s="6">
        <v>45899</v>
      </c>
      <c r="G805" s="6" t="str">
        <f>TEXT(F805, "MMM-YY")</f>
        <v>Aug-25</v>
      </c>
      <c r="H805" t="s">
        <v>760</v>
      </c>
      <c r="I805" s="25">
        <v>100.37</v>
      </c>
      <c r="J805" s="4">
        <v>2500</v>
      </c>
      <c r="K805" t="s">
        <v>952</v>
      </c>
      <c r="L805" s="4" t="str">
        <f>VLOOKUP(K805, 'Items Master'!A:E,5,0)</f>
        <v>GAIL</v>
      </c>
      <c r="M805" s="4" t="str">
        <f>VLOOKUP(K805, 'Items Master'!A:D,4,0)</f>
        <v>HDPE</v>
      </c>
      <c r="N805" s="4" t="s">
        <v>49</v>
      </c>
      <c r="O805" t="s">
        <v>1298</v>
      </c>
      <c r="Q805" s="6">
        <v>45899</v>
      </c>
      <c r="R805" s="6" t="str">
        <f>TEXT(Q805, "MMM-YY")</f>
        <v>Aug-25</v>
      </c>
      <c r="X805" s="25">
        <v>99.87</v>
      </c>
      <c r="Y805" s="25" t="s">
        <v>1304</v>
      </c>
      <c r="AB805"/>
      <c r="AC805"/>
      <c r="AD805"/>
      <c r="AE805"/>
      <c r="AF805"/>
      <c r="AG805"/>
      <c r="AH805"/>
      <c r="AI805"/>
      <c r="AJ805"/>
      <c r="AK805"/>
      <c r="AL805"/>
      <c r="AM805"/>
      <c r="AN805" s="9">
        <f t="shared" si="26"/>
        <v>0</v>
      </c>
      <c r="AO805" s="8"/>
      <c r="AP805" s="9">
        <f>I805-W805-X805-AN805</f>
        <v>0.5</v>
      </c>
      <c r="AQ805" t="s">
        <v>1324</v>
      </c>
    </row>
    <row r="806" spans="1:43" x14ac:dyDescent="0.3">
      <c r="A806" s="11">
        <f t="shared" si="27"/>
        <v>804</v>
      </c>
      <c r="B806" s="5" t="s">
        <v>1675</v>
      </c>
      <c r="C806" t="s">
        <v>893</v>
      </c>
      <c r="D806" s="24" t="s">
        <v>48</v>
      </c>
      <c r="E806" s="24" t="str">
        <f>IFERROR(VLOOKUP(D806,Dropdown!A:B,2,0),D806)</f>
        <v>CVPL</v>
      </c>
      <c r="F806" s="6">
        <v>45899</v>
      </c>
      <c r="G806" s="6" t="str">
        <f>TEXT(F806, "MMM-YY")</f>
        <v>Aug-25</v>
      </c>
      <c r="H806" t="s">
        <v>761</v>
      </c>
      <c r="I806" s="25">
        <v>97.57</v>
      </c>
      <c r="J806" s="4">
        <v>4350</v>
      </c>
      <c r="K806" t="s">
        <v>942</v>
      </c>
      <c r="L806" s="4" t="str">
        <f>VLOOKUP(K806, 'Items Master'!A:E,5,0)</f>
        <v>GAIL</v>
      </c>
      <c r="M806" s="4" t="str">
        <f>VLOOKUP(K806, 'Items Master'!A:D,4,0)</f>
        <v>HDPE</v>
      </c>
      <c r="N806" s="4" t="s">
        <v>49</v>
      </c>
      <c r="O806" t="s">
        <v>1298</v>
      </c>
      <c r="Q806" s="6">
        <v>45899</v>
      </c>
      <c r="R806" s="6" t="str">
        <f>TEXT(Q806, "MMM-YY")</f>
        <v>Aug-25</v>
      </c>
      <c r="X806" s="25">
        <v>97.07</v>
      </c>
      <c r="Y806" s="25" t="s">
        <v>1304</v>
      </c>
      <c r="AB806"/>
      <c r="AC806"/>
      <c r="AD806"/>
      <c r="AE806"/>
      <c r="AF806"/>
      <c r="AG806"/>
      <c r="AH806"/>
      <c r="AI806"/>
      <c r="AJ806"/>
      <c r="AK806"/>
      <c r="AL806"/>
      <c r="AM806"/>
      <c r="AN806" s="9">
        <f t="shared" si="26"/>
        <v>0</v>
      </c>
      <c r="AO806" s="8"/>
      <c r="AP806" s="9">
        <f>I806-W806-X806-AN806</f>
        <v>0.5</v>
      </c>
      <c r="AQ806" t="s">
        <v>1324</v>
      </c>
    </row>
    <row r="807" spans="1:43" x14ac:dyDescent="0.3">
      <c r="A807" s="11">
        <f t="shared" si="27"/>
        <v>805</v>
      </c>
      <c r="B807" s="5" t="s">
        <v>1675</v>
      </c>
      <c r="C807" t="s">
        <v>893</v>
      </c>
      <c r="D807" s="24" t="s">
        <v>48</v>
      </c>
      <c r="E807" s="24" t="str">
        <f>IFERROR(VLOOKUP(D807,Dropdown!A:B,2,0),D807)</f>
        <v>CVPL</v>
      </c>
      <c r="F807" s="6">
        <v>45899</v>
      </c>
      <c r="G807" s="6" t="str">
        <f>TEXT(F807, "MMM-YY")</f>
        <v>Aug-25</v>
      </c>
      <c r="H807" t="s">
        <v>761</v>
      </c>
      <c r="I807" s="25">
        <v>98.61</v>
      </c>
      <c r="J807" s="4">
        <v>2000</v>
      </c>
      <c r="K807" t="s">
        <v>1015</v>
      </c>
      <c r="L807" s="4" t="str">
        <f>VLOOKUP(K807, 'Items Master'!A:E,5,0)</f>
        <v>GAIL</v>
      </c>
      <c r="M807" s="4" t="str">
        <f>VLOOKUP(K807, 'Items Master'!A:D,4,0)</f>
        <v>HDPE</v>
      </c>
      <c r="N807" s="4" t="s">
        <v>49</v>
      </c>
      <c r="O807" t="s">
        <v>1298</v>
      </c>
      <c r="Q807" s="6">
        <v>45899</v>
      </c>
      <c r="R807" s="6" t="str">
        <f>TEXT(Q807, "MMM-YY")</f>
        <v>Aug-25</v>
      </c>
      <c r="X807" s="25">
        <v>97.11</v>
      </c>
      <c r="Y807" s="25" t="s">
        <v>1304</v>
      </c>
      <c r="AB807"/>
      <c r="AC807"/>
      <c r="AD807"/>
      <c r="AE807"/>
      <c r="AF807"/>
      <c r="AG807"/>
      <c r="AH807"/>
      <c r="AI807"/>
      <c r="AJ807"/>
      <c r="AK807"/>
      <c r="AL807"/>
      <c r="AM807"/>
      <c r="AN807" s="9">
        <f t="shared" si="26"/>
        <v>0</v>
      </c>
      <c r="AO807" s="8"/>
      <c r="AP807" s="9">
        <f>I807-W807-X807-AN807</f>
        <v>1.5</v>
      </c>
      <c r="AQ807" t="s">
        <v>1324</v>
      </c>
    </row>
    <row r="808" spans="1:43" x14ac:dyDescent="0.3">
      <c r="A808" s="11">
        <f t="shared" si="27"/>
        <v>806</v>
      </c>
      <c r="B808" s="5" t="s">
        <v>1675</v>
      </c>
      <c r="C808" t="s">
        <v>893</v>
      </c>
      <c r="D808" s="24" t="s">
        <v>48</v>
      </c>
      <c r="E808" s="24" t="str">
        <f>IFERROR(VLOOKUP(D808,Dropdown!A:B,2,0),D808)</f>
        <v>CVPL</v>
      </c>
      <c r="F808" s="6">
        <v>45899</v>
      </c>
      <c r="G808" s="6" t="str">
        <f>TEXT(F808, "MMM-YY")</f>
        <v>Aug-25</v>
      </c>
      <c r="H808" t="s">
        <v>761</v>
      </c>
      <c r="I808" s="25">
        <v>100.37</v>
      </c>
      <c r="J808" s="4">
        <v>3650</v>
      </c>
      <c r="K808" t="s">
        <v>952</v>
      </c>
      <c r="L808" s="4" t="str">
        <f>VLOOKUP(K808, 'Items Master'!A:E,5,0)</f>
        <v>GAIL</v>
      </c>
      <c r="M808" s="4" t="str">
        <f>VLOOKUP(K808, 'Items Master'!A:D,4,0)</f>
        <v>HDPE</v>
      </c>
      <c r="N808" s="4" t="s">
        <v>49</v>
      </c>
      <c r="O808" t="s">
        <v>1298</v>
      </c>
      <c r="Q808" s="6">
        <v>45899</v>
      </c>
      <c r="R808" s="6" t="str">
        <f>TEXT(Q808, "MMM-YY")</f>
        <v>Aug-25</v>
      </c>
      <c r="X808" s="25">
        <v>99.87</v>
      </c>
      <c r="Y808" s="25" t="s">
        <v>1304</v>
      </c>
      <c r="AB808"/>
      <c r="AC808"/>
      <c r="AD808"/>
      <c r="AE808"/>
      <c r="AF808"/>
      <c r="AG808"/>
      <c r="AH808"/>
      <c r="AI808"/>
      <c r="AJ808"/>
      <c r="AK808"/>
      <c r="AL808"/>
      <c r="AM808"/>
      <c r="AN808" s="9">
        <f t="shared" si="26"/>
        <v>0</v>
      </c>
      <c r="AO808" s="8"/>
      <c r="AP808" s="9">
        <f>I808-W808-X808-AN808</f>
        <v>0.5</v>
      </c>
      <c r="AQ808" t="s">
        <v>1324</v>
      </c>
    </row>
    <row r="809" spans="1:43" x14ac:dyDescent="0.3">
      <c r="A809" s="11">
        <f t="shared" si="27"/>
        <v>807</v>
      </c>
      <c r="B809" s="5" t="s">
        <v>1675</v>
      </c>
      <c r="C809" t="s">
        <v>893</v>
      </c>
      <c r="D809" s="24" t="s">
        <v>48</v>
      </c>
      <c r="E809" s="24" t="str">
        <f>IFERROR(VLOOKUP(D809,Dropdown!A:B,2,0),D809)</f>
        <v>CVPL</v>
      </c>
      <c r="F809" s="6">
        <v>45899</v>
      </c>
      <c r="G809" s="6" t="str">
        <f>TEXT(F809, "MMM-YY")</f>
        <v>Aug-25</v>
      </c>
      <c r="H809" t="s">
        <v>762</v>
      </c>
      <c r="I809" s="25">
        <v>98.3</v>
      </c>
      <c r="J809" s="4">
        <v>10000</v>
      </c>
      <c r="K809" t="s">
        <v>899</v>
      </c>
      <c r="L809" s="4" t="str">
        <f>VLOOKUP(K809, 'Items Master'!A:E,5,0)</f>
        <v>MRPL</v>
      </c>
      <c r="M809" s="4" t="str">
        <f>VLOOKUP(K809, 'Items Master'!A:D,4,0)</f>
        <v>PP</v>
      </c>
      <c r="N809" s="4" t="s">
        <v>49</v>
      </c>
      <c r="O809" t="s">
        <v>1298</v>
      </c>
      <c r="Q809" s="6">
        <v>45899</v>
      </c>
      <c r="R809" s="6" t="str">
        <f>TEXT(Q809, "MMM-YY")</f>
        <v>Aug-25</v>
      </c>
      <c r="X809" s="25">
        <v>96.495999999999995</v>
      </c>
      <c r="Y809" s="25" t="s">
        <v>1304</v>
      </c>
      <c r="Z809" s="25" t="s">
        <v>1307</v>
      </c>
      <c r="AB809"/>
      <c r="AC809"/>
      <c r="AD809"/>
      <c r="AE809"/>
      <c r="AF809"/>
      <c r="AG809"/>
      <c r="AH809"/>
      <c r="AI809"/>
      <c r="AJ809"/>
      <c r="AK809"/>
      <c r="AL809"/>
      <c r="AM809"/>
      <c r="AN809" s="9">
        <f t="shared" si="26"/>
        <v>0</v>
      </c>
      <c r="AO809" s="8"/>
      <c r="AP809" s="9">
        <f>I809-W809-X809-AN809</f>
        <v>1.804000000000002</v>
      </c>
      <c r="AQ809" t="s">
        <v>1324</v>
      </c>
    </row>
    <row r="810" spans="1:43" x14ac:dyDescent="0.3">
      <c r="A810" s="11">
        <f t="shared" si="27"/>
        <v>808</v>
      </c>
      <c r="B810" s="5" t="s">
        <v>1675</v>
      </c>
      <c r="C810" t="s">
        <v>893</v>
      </c>
      <c r="D810" s="24" t="s">
        <v>890</v>
      </c>
      <c r="E810" s="24" t="str">
        <f>IFERROR(VLOOKUP(D810,Dropdown!A:B,2,0),D810)</f>
        <v>MADHU PLASTICS (P)LTD</v>
      </c>
      <c r="F810" s="6">
        <v>45899</v>
      </c>
      <c r="G810" s="6" t="str">
        <f>TEXT(F810, "MMM-YY")</f>
        <v>Aug-25</v>
      </c>
      <c r="H810" t="s">
        <v>763</v>
      </c>
      <c r="I810" s="25">
        <v>86</v>
      </c>
      <c r="J810" s="4">
        <v>2200</v>
      </c>
      <c r="K810" t="s">
        <v>1016</v>
      </c>
      <c r="L810" s="4" t="str">
        <f>VLOOKUP(K810, 'Items Master'!A:E,5,0)</f>
        <v>WANKAI</v>
      </c>
      <c r="M810" s="4" t="str">
        <f>VLOOKUP(K810, 'Items Master'!A:D,4,0)</f>
        <v>PET</v>
      </c>
      <c r="N810" s="4" t="s">
        <v>24</v>
      </c>
      <c r="Q810" s="6">
        <v>45899</v>
      </c>
      <c r="R810" s="6" t="str">
        <f>TEXT(Q810, "MMM-YY")</f>
        <v>Aug-25</v>
      </c>
      <c r="W810" s="25">
        <v>86</v>
      </c>
      <c r="Y810"/>
      <c r="Z810"/>
      <c r="AB810"/>
      <c r="AC810"/>
      <c r="AD810"/>
      <c r="AE810"/>
      <c r="AF810"/>
      <c r="AG810"/>
      <c r="AH810"/>
      <c r="AI810"/>
      <c r="AJ810"/>
      <c r="AK810"/>
      <c r="AL810"/>
      <c r="AM810"/>
      <c r="AN810" s="9">
        <f t="shared" si="26"/>
        <v>0</v>
      </c>
      <c r="AO810" s="8"/>
      <c r="AP810" s="9">
        <f>I810-W810-X810-AN810</f>
        <v>0</v>
      </c>
      <c r="AQ810" t="s">
        <v>1316</v>
      </c>
    </row>
    <row r="811" spans="1:43" x14ac:dyDescent="0.3">
      <c r="A811" s="11">
        <f t="shared" si="27"/>
        <v>809</v>
      </c>
      <c r="B811" s="5" t="s">
        <v>1675</v>
      </c>
      <c r="C811" t="s">
        <v>893</v>
      </c>
      <c r="D811" s="24" t="s">
        <v>826</v>
      </c>
      <c r="E811" s="24" t="str">
        <f>IFERROR(VLOOKUP(D811,Dropdown!A:B,2,0),D811)</f>
        <v>Kamakya</v>
      </c>
      <c r="F811" s="6">
        <v>45899</v>
      </c>
      <c r="G811" s="6" t="str">
        <f>TEXT(F811, "MMM-YY")</f>
        <v>Aug-25</v>
      </c>
      <c r="H811" t="s">
        <v>764</v>
      </c>
      <c r="I811" s="25">
        <v>98.2</v>
      </c>
      <c r="J811" s="4">
        <v>30000</v>
      </c>
      <c r="K811" t="s">
        <v>899</v>
      </c>
      <c r="L811" s="4" t="str">
        <f>VLOOKUP(K811, 'Items Master'!A:E,5,0)</f>
        <v>MRPL</v>
      </c>
      <c r="M811" s="4" t="str">
        <f>VLOOKUP(K811, 'Items Master'!A:D,4,0)</f>
        <v>PP</v>
      </c>
      <c r="N811" s="4" t="s">
        <v>49</v>
      </c>
      <c r="Q811" s="6">
        <v>45899</v>
      </c>
      <c r="R811" s="6" t="str">
        <f>TEXT(Q811, "MMM-YY")</f>
        <v>Aug-25</v>
      </c>
      <c r="X811" s="25">
        <v>96.5</v>
      </c>
      <c r="Y811" t="s">
        <v>1304</v>
      </c>
      <c r="Z811" t="s">
        <v>1305</v>
      </c>
      <c r="AI811" s="8">
        <v>1.7</v>
      </c>
      <c r="AN811" s="9">
        <f t="shared" si="26"/>
        <v>1.7</v>
      </c>
      <c r="AO811" s="8"/>
      <c r="AP811" s="9">
        <f>I811-W811-X811-AN811</f>
        <v>2.886579864025407E-15</v>
      </c>
      <c r="AQ811" t="s">
        <v>1316</v>
      </c>
    </row>
    <row r="812" spans="1:43" x14ac:dyDescent="0.3">
      <c r="A812" s="11">
        <f t="shared" si="27"/>
        <v>810</v>
      </c>
      <c r="B812" s="5" t="s">
        <v>1675</v>
      </c>
      <c r="C812" t="s">
        <v>893</v>
      </c>
      <c r="D812" s="24" t="s">
        <v>48</v>
      </c>
      <c r="E812" s="24" t="str">
        <f>IFERROR(VLOOKUP(D812,Dropdown!A:B,2,0),D812)</f>
        <v>CVPL</v>
      </c>
      <c r="F812" s="6">
        <v>45901</v>
      </c>
      <c r="G812" s="6" t="str">
        <f>TEXT(F812, "MMM-YY")</f>
        <v>Sep-25</v>
      </c>
      <c r="H812" t="s">
        <v>765</v>
      </c>
      <c r="I812" s="25">
        <v>94</v>
      </c>
      <c r="J812" s="4">
        <v>2375</v>
      </c>
      <c r="K812" t="s">
        <v>957</v>
      </c>
      <c r="L812" s="4" t="str">
        <f>VLOOKUP(K812, 'Items Master'!A:E,5,0)</f>
        <v>HMEL</v>
      </c>
      <c r="M812" s="4" t="str">
        <f>VLOOKUP(K812, 'Items Master'!A:D,4,0)</f>
        <v>HDPE</v>
      </c>
      <c r="N812" s="4" t="s">
        <v>24</v>
      </c>
      <c r="Q812" s="6">
        <v>45901</v>
      </c>
      <c r="R812" s="6" t="str">
        <f>TEXT(Q812, "MMM-YY")</f>
        <v>Sep-25</v>
      </c>
      <c r="W812" s="25">
        <v>94</v>
      </c>
      <c r="Y812"/>
      <c r="Z812"/>
      <c r="AB812"/>
      <c r="AC812"/>
      <c r="AD812"/>
      <c r="AE812"/>
      <c r="AF812"/>
      <c r="AG812"/>
      <c r="AH812"/>
      <c r="AI812"/>
      <c r="AJ812"/>
      <c r="AK812"/>
      <c r="AL812"/>
      <c r="AM812"/>
      <c r="AN812" s="9">
        <f t="shared" si="26"/>
        <v>0</v>
      </c>
      <c r="AO812" s="8"/>
      <c r="AP812" s="9">
        <f>I812-W812-X812-AN812</f>
        <v>0</v>
      </c>
      <c r="AQ812" t="s">
        <v>1316</v>
      </c>
    </row>
    <row r="813" spans="1:43" x14ac:dyDescent="0.3">
      <c r="A813" s="11">
        <f t="shared" si="27"/>
        <v>811</v>
      </c>
      <c r="B813" s="5" t="s">
        <v>1675</v>
      </c>
      <c r="C813" t="s">
        <v>894</v>
      </c>
      <c r="D813" s="24" t="s">
        <v>857</v>
      </c>
      <c r="E813" s="24" t="str">
        <f>IFERROR(VLOOKUP(D813,Dropdown!A:B,2,0),D813)</f>
        <v>Purav</v>
      </c>
      <c r="F813" s="6">
        <v>45901</v>
      </c>
      <c r="G813" s="6" t="str">
        <f>TEXT(F813, "MMM-YY")</f>
        <v>Sep-25</v>
      </c>
      <c r="H813" t="s">
        <v>766</v>
      </c>
      <c r="I813" s="25">
        <v>97.5</v>
      </c>
      <c r="J813" s="4">
        <v>10000</v>
      </c>
      <c r="K813" t="s">
        <v>991</v>
      </c>
      <c r="L813" s="4" t="str">
        <f>VLOOKUP(K813, 'Items Master'!A:E,5,0)</f>
        <v>OPAL</v>
      </c>
      <c r="M813" s="4" t="str">
        <f>VLOOKUP(K813, 'Items Master'!A:D,4,0)</f>
        <v>HDPE</v>
      </c>
      <c r="N813" s="4" t="s">
        <v>49</v>
      </c>
      <c r="O813" t="s">
        <v>1298</v>
      </c>
      <c r="Q813" s="6">
        <v>45900</v>
      </c>
      <c r="R813" s="6" t="str">
        <f>TEXT(Q813, "MMM-YY")</f>
        <v>Aug-25</v>
      </c>
      <c r="U813" t="s">
        <v>1605</v>
      </c>
      <c r="X813" s="25">
        <v>98.29</v>
      </c>
      <c r="Y813" s="25" t="s">
        <v>1303</v>
      </c>
      <c r="Z813" s="25" t="s">
        <v>1306</v>
      </c>
      <c r="AB813" s="8">
        <v>-0.9</v>
      </c>
      <c r="AH813" s="8">
        <v>0.1</v>
      </c>
      <c r="AK813" s="8">
        <v>0.01</v>
      </c>
      <c r="AN813" s="9">
        <f t="shared" si="26"/>
        <v>-0.79</v>
      </c>
      <c r="AO813" s="8"/>
      <c r="AP813" s="9">
        <f>I813-W813-X813-AN813</f>
        <v>-6.2172489379008766E-15</v>
      </c>
      <c r="AQ813" t="s">
        <v>1316</v>
      </c>
    </row>
    <row r="814" spans="1:43" x14ac:dyDescent="0.3">
      <c r="A814" s="11">
        <f t="shared" si="27"/>
        <v>812</v>
      </c>
      <c r="B814" s="5" t="s">
        <v>1675</v>
      </c>
      <c r="C814" t="s">
        <v>893</v>
      </c>
      <c r="D814" s="24" t="s">
        <v>837</v>
      </c>
      <c r="E814" s="24" t="str">
        <f>IFERROR(VLOOKUP(D814,Dropdown!A:B,2,0),D814)</f>
        <v>SYNTHETIC PACKERS LIMITED</v>
      </c>
      <c r="F814" s="6">
        <v>45901</v>
      </c>
      <c r="G814" s="6" t="str">
        <f>TEXT(F814, "MMM-YY")</f>
        <v>Sep-25</v>
      </c>
      <c r="H814" t="s">
        <v>767</v>
      </c>
      <c r="I814" s="25">
        <v>110</v>
      </c>
      <c r="J814" s="4">
        <v>2500</v>
      </c>
      <c r="K814" t="s">
        <v>928</v>
      </c>
      <c r="L814" s="4" t="str">
        <f>VLOOKUP(K814, 'Items Master'!A:E,5,0)</f>
        <v>EXXON</v>
      </c>
      <c r="M814" s="4" t="str">
        <f>VLOOKUP(K814, 'Items Master'!A:D,4,0)</f>
        <v>LLDPE</v>
      </c>
      <c r="N814" s="4" t="s">
        <v>24</v>
      </c>
      <c r="Q814" s="6">
        <v>45901</v>
      </c>
      <c r="R814" s="6" t="str">
        <f>TEXT(Q814, "MMM-YY")</f>
        <v>Sep-25</v>
      </c>
      <c r="W814" s="25">
        <v>110</v>
      </c>
      <c r="Y814"/>
      <c r="Z814"/>
      <c r="AB814"/>
      <c r="AC814"/>
      <c r="AD814"/>
      <c r="AE814"/>
      <c r="AF814"/>
      <c r="AG814"/>
      <c r="AH814"/>
      <c r="AI814"/>
      <c r="AJ814"/>
      <c r="AK814"/>
      <c r="AL814"/>
      <c r="AM814"/>
      <c r="AN814" s="9">
        <f t="shared" si="26"/>
        <v>0</v>
      </c>
      <c r="AO814" s="8"/>
      <c r="AP814" s="9">
        <f>I814-W814-X814-AN814</f>
        <v>0</v>
      </c>
      <c r="AQ814" t="s">
        <v>1316</v>
      </c>
    </row>
    <row r="815" spans="1:43" x14ac:dyDescent="0.3">
      <c r="A815" s="11">
        <f t="shared" si="27"/>
        <v>813</v>
      </c>
      <c r="B815" s="5" t="s">
        <v>1675</v>
      </c>
      <c r="C815" t="s">
        <v>893</v>
      </c>
      <c r="D815" s="24" t="s">
        <v>824</v>
      </c>
      <c r="E815" s="24" t="str">
        <f>IFERROR(VLOOKUP(D815,Dropdown!A:B,2,0),D815)</f>
        <v>Paragon</v>
      </c>
      <c r="F815" s="6">
        <v>45902</v>
      </c>
      <c r="G815" s="6" t="str">
        <f>TEXT(F815, "MMM-YY")</f>
        <v>Sep-25</v>
      </c>
      <c r="H815" t="s">
        <v>768</v>
      </c>
      <c r="I815" s="25">
        <v>102.39</v>
      </c>
      <c r="J815" s="4">
        <v>3000</v>
      </c>
      <c r="K815" t="s">
        <v>925</v>
      </c>
      <c r="L815" s="4" t="str">
        <f>VLOOKUP(K815, 'Items Master'!A:E,5,0)</f>
        <v>RIL</v>
      </c>
      <c r="M815" s="4" t="str">
        <f>VLOOKUP(K815, 'Items Master'!A:D,4,0)</f>
        <v>PP ICP</v>
      </c>
      <c r="N815" s="4" t="s">
        <v>49</v>
      </c>
      <c r="Q815" s="6">
        <v>45902</v>
      </c>
      <c r="R815" s="6" t="str">
        <f>TEXT(Q815, "MMM-YY")</f>
        <v>Sep-25</v>
      </c>
      <c r="X815" s="25">
        <v>102.59</v>
      </c>
      <c r="Y815" s="25" t="s">
        <v>1304</v>
      </c>
      <c r="Z815" s="25" t="s">
        <v>1305</v>
      </c>
      <c r="AB815"/>
      <c r="AC815"/>
      <c r="AD815"/>
      <c r="AE815"/>
      <c r="AF815"/>
      <c r="AG815"/>
      <c r="AH815"/>
      <c r="AI815"/>
      <c r="AJ815"/>
      <c r="AK815"/>
      <c r="AL815"/>
      <c r="AM815"/>
      <c r="AN815" s="9">
        <f t="shared" si="26"/>
        <v>0</v>
      </c>
      <c r="AO815" s="8"/>
      <c r="AP815" s="9">
        <f>I815-W815-X815-AN815</f>
        <v>-0.20000000000000284</v>
      </c>
      <c r="AQ815" t="s">
        <v>1324</v>
      </c>
    </row>
    <row r="816" spans="1:43" x14ac:dyDescent="0.3">
      <c r="A816" s="11">
        <f t="shared" si="27"/>
        <v>814</v>
      </c>
      <c r="B816" s="5" t="s">
        <v>1675</v>
      </c>
      <c r="C816" t="s">
        <v>893</v>
      </c>
      <c r="D816" s="24" t="s">
        <v>48</v>
      </c>
      <c r="E816" s="24" t="str">
        <f>IFERROR(VLOOKUP(D816,Dropdown!A:B,2,0),D816)</f>
        <v>CVPL</v>
      </c>
      <c r="F816" s="6">
        <v>45902</v>
      </c>
      <c r="G816" s="6" t="str">
        <f>TEXT(F816, "MMM-YY")</f>
        <v>Sep-25</v>
      </c>
      <c r="H816" t="s">
        <v>769</v>
      </c>
      <c r="I816" s="25">
        <v>100.37</v>
      </c>
      <c r="J816" s="4">
        <v>1000</v>
      </c>
      <c r="K816" t="s">
        <v>952</v>
      </c>
      <c r="L816" s="4" t="str">
        <f>VLOOKUP(K816, 'Items Master'!A:E,5,0)</f>
        <v>GAIL</v>
      </c>
      <c r="M816" s="4" t="str">
        <f>VLOOKUP(K816, 'Items Master'!A:D,4,0)</f>
        <v>HDPE</v>
      </c>
      <c r="N816" s="4" t="s">
        <v>49</v>
      </c>
      <c r="O816" t="s">
        <v>1298</v>
      </c>
      <c r="Q816" s="6">
        <v>45900</v>
      </c>
      <c r="R816" s="6" t="str">
        <f>TEXT(Q816, "MMM-YY")</f>
        <v>Aug-25</v>
      </c>
      <c r="X816" s="25">
        <v>99.87</v>
      </c>
      <c r="Y816" s="25" t="s">
        <v>1304</v>
      </c>
      <c r="Z816" s="25" t="s">
        <v>1305</v>
      </c>
      <c r="AB816"/>
      <c r="AC816"/>
      <c r="AD816"/>
      <c r="AE816"/>
      <c r="AF816"/>
      <c r="AG816"/>
      <c r="AH816"/>
      <c r="AI816"/>
      <c r="AJ816"/>
      <c r="AK816"/>
      <c r="AL816"/>
      <c r="AM816"/>
      <c r="AN816" s="9">
        <f t="shared" si="26"/>
        <v>0</v>
      </c>
      <c r="AO816" s="8"/>
      <c r="AP816" s="9">
        <f>I816-W816-X816-AN816</f>
        <v>0.5</v>
      </c>
      <c r="AQ816" t="s">
        <v>1324</v>
      </c>
    </row>
    <row r="817" spans="1:43" x14ac:dyDescent="0.3">
      <c r="A817" s="11">
        <f t="shared" si="27"/>
        <v>815</v>
      </c>
      <c r="B817" s="5" t="s">
        <v>1675</v>
      </c>
      <c r="C817" t="s">
        <v>893</v>
      </c>
      <c r="D817" s="24" t="s">
        <v>48</v>
      </c>
      <c r="E817" s="24" t="str">
        <f>IFERROR(VLOOKUP(D817,Dropdown!A:B,2,0),D817)</f>
        <v>CVPL</v>
      </c>
      <c r="F817" s="6">
        <v>45902</v>
      </c>
      <c r="G817" s="6" t="str">
        <f>TEXT(F817, "MMM-YY")</f>
        <v>Sep-25</v>
      </c>
      <c r="H817" t="s">
        <v>769</v>
      </c>
      <c r="I817" s="25">
        <v>99.99</v>
      </c>
      <c r="J817" s="4">
        <v>7000</v>
      </c>
      <c r="K817" t="s">
        <v>903</v>
      </c>
      <c r="L817" s="4" t="str">
        <f>VLOOKUP(K817, 'Items Master'!A:E,5,0)</f>
        <v>GAIL</v>
      </c>
      <c r="M817" s="4" t="str">
        <f>VLOOKUP(K817, 'Items Master'!A:D,4,0)</f>
        <v>LLDPE</v>
      </c>
      <c r="N817" s="4" t="s">
        <v>49</v>
      </c>
      <c r="Q817" s="6">
        <v>45900</v>
      </c>
      <c r="R817" s="6" t="str">
        <f>TEXT(Q817, "MMM-YY")</f>
        <v>Aug-25</v>
      </c>
      <c r="X817" s="25">
        <v>99.99</v>
      </c>
      <c r="Y817" s="25" t="s">
        <v>1304</v>
      </c>
      <c r="Z817" s="25" t="s">
        <v>1305</v>
      </c>
      <c r="AB817"/>
      <c r="AC817"/>
      <c r="AD817"/>
      <c r="AE817"/>
      <c r="AF817"/>
      <c r="AG817"/>
      <c r="AH817"/>
      <c r="AI817"/>
      <c r="AJ817"/>
      <c r="AK817"/>
      <c r="AL817"/>
      <c r="AM817"/>
      <c r="AN817" s="9">
        <f t="shared" si="26"/>
        <v>0</v>
      </c>
      <c r="AO817" s="8"/>
      <c r="AP817" s="9">
        <f>I817-W817-X817-AN817</f>
        <v>0</v>
      </c>
      <c r="AQ817" t="s">
        <v>1324</v>
      </c>
    </row>
    <row r="818" spans="1:43" x14ac:dyDescent="0.3">
      <c r="A818" s="11">
        <f t="shared" si="27"/>
        <v>816</v>
      </c>
      <c r="B818" s="5" t="s">
        <v>1675</v>
      </c>
      <c r="C818" t="s">
        <v>893</v>
      </c>
      <c r="D818" s="24" t="s">
        <v>48</v>
      </c>
      <c r="E818" s="24" t="str">
        <f>IFERROR(VLOOKUP(D818,Dropdown!A:B,2,0),D818)</f>
        <v>CVPL</v>
      </c>
      <c r="F818" s="6">
        <v>45902</v>
      </c>
      <c r="G818" s="6" t="str">
        <f>TEXT(F818, "MMM-YY")</f>
        <v>Sep-25</v>
      </c>
      <c r="H818" t="s">
        <v>769</v>
      </c>
      <c r="I818" s="25">
        <v>98.3</v>
      </c>
      <c r="J818" s="4">
        <v>3000</v>
      </c>
      <c r="K818" t="s">
        <v>899</v>
      </c>
      <c r="L818" s="4" t="str">
        <f>VLOOKUP(K818, 'Items Master'!A:E,5,0)</f>
        <v>MRPL</v>
      </c>
      <c r="M818" s="4" t="str">
        <f>VLOOKUP(K818, 'Items Master'!A:D,4,0)</f>
        <v>PP</v>
      </c>
      <c r="N818" s="4" t="s">
        <v>49</v>
      </c>
      <c r="O818" t="s">
        <v>1298</v>
      </c>
      <c r="Q818" s="6">
        <v>45900</v>
      </c>
      <c r="R818" s="6" t="str">
        <f>TEXT(Q818, "MMM-YY")</f>
        <v>Aug-25</v>
      </c>
      <c r="X818" s="25">
        <v>96.495999999999995</v>
      </c>
      <c r="Y818" s="25" t="s">
        <v>1304</v>
      </c>
      <c r="Z818" s="25" t="s">
        <v>1305</v>
      </c>
      <c r="AB818"/>
      <c r="AC818"/>
      <c r="AD818"/>
      <c r="AE818"/>
      <c r="AF818"/>
      <c r="AG818"/>
      <c r="AH818"/>
      <c r="AI818"/>
      <c r="AJ818"/>
      <c r="AK818"/>
      <c r="AL818"/>
      <c r="AM818"/>
      <c r="AN818" s="9">
        <f t="shared" si="26"/>
        <v>0</v>
      </c>
      <c r="AO818" s="8"/>
      <c r="AP818" s="9">
        <f>I818-W818-X818-AN818</f>
        <v>1.804000000000002</v>
      </c>
      <c r="AQ818" t="s">
        <v>1324</v>
      </c>
    </row>
    <row r="819" spans="1:43" x14ac:dyDescent="0.3">
      <c r="A819" s="11">
        <f t="shared" si="27"/>
        <v>817</v>
      </c>
      <c r="B819" s="5" t="s">
        <v>1675</v>
      </c>
      <c r="C819" t="s">
        <v>894</v>
      </c>
      <c r="D819" s="24" t="s">
        <v>857</v>
      </c>
      <c r="E819" s="24" t="str">
        <f>IFERROR(VLOOKUP(D819,Dropdown!A:B,2,0),D819)</f>
        <v>Purav</v>
      </c>
      <c r="F819" s="6">
        <v>45902</v>
      </c>
      <c r="G819" s="6" t="str">
        <f>TEXT(F819, "MMM-YY")</f>
        <v>Sep-25</v>
      </c>
      <c r="H819" t="s">
        <v>770</v>
      </c>
      <c r="I819" s="25">
        <v>97.95</v>
      </c>
      <c r="J819" s="4">
        <v>12000</v>
      </c>
      <c r="K819" t="s">
        <v>896</v>
      </c>
      <c r="L819" s="4" t="str">
        <f>VLOOKUP(K819, 'Items Master'!A:E,5,0)</f>
        <v>OPAL</v>
      </c>
      <c r="M819" s="4" t="str">
        <f>VLOOKUP(K819, 'Items Master'!A:D,4,0)</f>
        <v>HDPE</v>
      </c>
      <c r="N819" s="4" t="s">
        <v>49</v>
      </c>
      <c r="O819" t="s">
        <v>1298</v>
      </c>
      <c r="Q819" s="6">
        <v>45900</v>
      </c>
      <c r="R819" s="6" t="str">
        <f>TEXT(Q819, "MMM-YY")</f>
        <v>Aug-25</v>
      </c>
      <c r="U819" t="s">
        <v>1605</v>
      </c>
      <c r="X819" s="25">
        <v>98.75</v>
      </c>
      <c r="Y819" s="25" t="s">
        <v>1303</v>
      </c>
      <c r="Z819" s="25" t="s">
        <v>1306</v>
      </c>
      <c r="AB819" s="8">
        <v>-0.9</v>
      </c>
      <c r="AH819" s="8">
        <v>0.1</v>
      </c>
      <c r="AN819" s="9">
        <f t="shared" si="26"/>
        <v>-0.8</v>
      </c>
      <c r="AO819" s="8"/>
      <c r="AP819" s="9">
        <f>I819-W819-X819-AN819</f>
        <v>2.886579864025407E-15</v>
      </c>
      <c r="AQ819" t="s">
        <v>1316</v>
      </c>
    </row>
    <row r="820" spans="1:43" x14ac:dyDescent="0.3">
      <c r="A820" s="11">
        <f t="shared" si="27"/>
        <v>818</v>
      </c>
      <c r="B820" s="5" t="s">
        <v>1675</v>
      </c>
      <c r="C820" t="s">
        <v>893</v>
      </c>
      <c r="D820" s="24" t="s">
        <v>828</v>
      </c>
      <c r="E820" s="24" t="str">
        <f>IFERROR(VLOOKUP(D820,Dropdown!A:B,2,0),D820)</f>
        <v>SHUBHAM INTERNATIONAL PRIVATE LIMITED</v>
      </c>
      <c r="F820" s="6">
        <v>45903</v>
      </c>
      <c r="G820" s="6" t="str">
        <f>TEXT(F820, "MMM-YY")</f>
        <v>Sep-25</v>
      </c>
      <c r="H820" t="s">
        <v>771</v>
      </c>
      <c r="I820" s="25">
        <v>97.4</v>
      </c>
      <c r="J820" s="4">
        <v>2000</v>
      </c>
      <c r="K820" t="s">
        <v>937</v>
      </c>
      <c r="L820" s="4" t="str">
        <f>VLOOKUP(K820, 'Items Master'!A:E,5,0)</f>
        <v>MRPL</v>
      </c>
      <c r="M820" s="4" t="str">
        <f>VLOOKUP(K820, 'Items Master'!A:D,4,0)</f>
        <v>PP</v>
      </c>
      <c r="N820" s="4" t="s">
        <v>24</v>
      </c>
      <c r="Q820" s="6">
        <v>45903</v>
      </c>
      <c r="R820" s="6" t="str">
        <f>TEXT(Q820, "MMM-YY")</f>
        <v>Sep-25</v>
      </c>
      <c r="W820" s="25">
        <v>97.4</v>
      </c>
      <c r="Y820"/>
      <c r="Z820"/>
      <c r="AB820"/>
      <c r="AC820"/>
      <c r="AD820"/>
      <c r="AE820"/>
      <c r="AF820"/>
      <c r="AG820"/>
      <c r="AH820"/>
      <c r="AI820"/>
      <c r="AJ820"/>
      <c r="AK820"/>
      <c r="AL820"/>
      <c r="AM820"/>
      <c r="AN820" s="9">
        <f t="shared" si="26"/>
        <v>0</v>
      </c>
      <c r="AO820" s="8"/>
      <c r="AP820" s="9">
        <f>I820-W820-X820-AN820</f>
        <v>0</v>
      </c>
      <c r="AQ820" t="s">
        <v>1316</v>
      </c>
    </row>
    <row r="821" spans="1:43" x14ac:dyDescent="0.3">
      <c r="A821" s="11">
        <f t="shared" si="27"/>
        <v>819</v>
      </c>
      <c r="B821" s="5" t="s">
        <v>1675</v>
      </c>
      <c r="C821" t="s">
        <v>894</v>
      </c>
      <c r="D821" s="24" t="s">
        <v>849</v>
      </c>
      <c r="E821" s="24" t="str">
        <f>IFERROR(VLOOKUP(D821,Dropdown!A:B,2,0),D821)</f>
        <v>SERVO PACKAGING LIMITED</v>
      </c>
      <c r="F821" s="6">
        <v>45903</v>
      </c>
      <c r="G821" s="6" t="str">
        <f>TEXT(F821, "MMM-YY")</f>
        <v>Sep-25</v>
      </c>
      <c r="H821" t="s">
        <v>772</v>
      </c>
      <c r="I821" s="25">
        <v>105</v>
      </c>
      <c r="J821" s="4">
        <v>12000</v>
      </c>
      <c r="K821" t="s">
        <v>928</v>
      </c>
      <c r="L821" s="4" t="str">
        <f>VLOOKUP(K821, 'Items Master'!A:E,5,0)</f>
        <v>EXXON</v>
      </c>
      <c r="M821" s="4" t="str">
        <f>VLOOKUP(K821, 'Items Master'!A:D,4,0)</f>
        <v>LLDPE</v>
      </c>
      <c r="N821" s="4" t="s">
        <v>24</v>
      </c>
      <c r="Q821" s="6">
        <v>45903</v>
      </c>
      <c r="R821" s="6" t="str">
        <f>TEXT(Q821, "MMM-YY")</f>
        <v>Sep-25</v>
      </c>
      <c r="W821" s="25">
        <v>105</v>
      </c>
      <c r="Y821"/>
      <c r="Z821"/>
      <c r="AB821"/>
      <c r="AC821"/>
      <c r="AD821"/>
      <c r="AE821"/>
      <c r="AF821"/>
      <c r="AG821"/>
      <c r="AH821"/>
      <c r="AI821"/>
      <c r="AJ821"/>
      <c r="AK821"/>
      <c r="AL821"/>
      <c r="AM821"/>
      <c r="AN821" s="9">
        <f t="shared" si="26"/>
        <v>0</v>
      </c>
      <c r="AO821" s="8"/>
      <c r="AP821" s="9">
        <f>I821-W821-X821-AN821</f>
        <v>0</v>
      </c>
      <c r="AQ821" t="s">
        <v>1316</v>
      </c>
    </row>
    <row r="822" spans="1:43" x14ac:dyDescent="0.3">
      <c r="A822" s="11">
        <f t="shared" si="27"/>
        <v>820</v>
      </c>
      <c r="B822" s="5" t="s">
        <v>1675</v>
      </c>
      <c r="C822" t="s">
        <v>894</v>
      </c>
      <c r="D822" s="24" t="s">
        <v>837</v>
      </c>
      <c r="E822" s="24" t="str">
        <f>IFERROR(VLOOKUP(D822,Dropdown!A:B,2,0),D822)</f>
        <v>SYNTHETIC PACKERS LIMITED</v>
      </c>
      <c r="F822" s="6">
        <v>45903</v>
      </c>
      <c r="G822" s="6" t="str">
        <f>TEXT(F822, "MMM-YY")</f>
        <v>Sep-25</v>
      </c>
      <c r="H822" t="s">
        <v>773</v>
      </c>
      <c r="I822" s="25">
        <v>92.5</v>
      </c>
      <c r="J822" s="4">
        <v>25000</v>
      </c>
      <c r="K822" t="s">
        <v>909</v>
      </c>
      <c r="L822" s="4" t="str">
        <f>VLOOKUP(K822, 'Items Master'!A:E,5,0)</f>
        <v>LUBAN</v>
      </c>
      <c r="M822" s="4" t="str">
        <f>VLOOKUP(K822, 'Items Master'!A:D,4,0)</f>
        <v>HDPE</v>
      </c>
      <c r="N822" s="4" t="s">
        <v>24</v>
      </c>
      <c r="Q822" s="6">
        <v>45903</v>
      </c>
      <c r="R822" s="6" t="str">
        <f>TEXT(Q822, "MMM-YY")</f>
        <v>Sep-25</v>
      </c>
      <c r="W822" s="25">
        <v>92.5</v>
      </c>
      <c r="Y822"/>
      <c r="Z822"/>
      <c r="AB822"/>
      <c r="AC822"/>
      <c r="AD822"/>
      <c r="AE822"/>
      <c r="AF822"/>
      <c r="AG822"/>
      <c r="AH822"/>
      <c r="AI822"/>
      <c r="AJ822"/>
      <c r="AK822"/>
      <c r="AL822"/>
      <c r="AM822"/>
      <c r="AN822" s="9">
        <f t="shared" si="26"/>
        <v>0</v>
      </c>
      <c r="AO822" s="8"/>
      <c r="AP822" s="9">
        <f>I822-W822-X822-AN822</f>
        <v>0</v>
      </c>
      <c r="AQ822" t="s">
        <v>1316</v>
      </c>
    </row>
    <row r="823" spans="1:43" x14ac:dyDescent="0.3">
      <c r="A823" s="11">
        <f t="shared" si="27"/>
        <v>821</v>
      </c>
      <c r="B823" s="5" t="s">
        <v>1675</v>
      </c>
      <c r="C823" t="s">
        <v>894</v>
      </c>
      <c r="D823" s="24" t="s">
        <v>837</v>
      </c>
      <c r="E823" s="24" t="str">
        <f>IFERROR(VLOOKUP(D823,Dropdown!A:B,2,0),D823)</f>
        <v>SYNTHETIC PACKERS LIMITED</v>
      </c>
      <c r="F823" s="6">
        <v>45903</v>
      </c>
      <c r="G823" s="6" t="str">
        <f>TEXT(F823, "MMM-YY")</f>
        <v>Sep-25</v>
      </c>
      <c r="H823" t="s">
        <v>774</v>
      </c>
      <c r="I823" s="25">
        <v>92.75</v>
      </c>
      <c r="J823" s="4">
        <v>14000</v>
      </c>
      <c r="K823" t="s">
        <v>909</v>
      </c>
      <c r="L823" s="4" t="str">
        <f>VLOOKUP(K823, 'Items Master'!A:E,5,0)</f>
        <v>LUBAN</v>
      </c>
      <c r="M823" s="4" t="str">
        <f>VLOOKUP(K823, 'Items Master'!A:D,4,0)</f>
        <v>HDPE</v>
      </c>
      <c r="N823" s="4" t="s">
        <v>24</v>
      </c>
      <c r="Q823" s="6">
        <v>45903</v>
      </c>
      <c r="R823" s="6" t="str">
        <f>TEXT(Q823, "MMM-YY")</f>
        <v>Sep-25</v>
      </c>
      <c r="W823" s="25">
        <v>92.75</v>
      </c>
      <c r="Y823"/>
      <c r="Z823"/>
      <c r="AB823"/>
      <c r="AC823"/>
      <c r="AD823"/>
      <c r="AE823"/>
      <c r="AF823"/>
      <c r="AG823"/>
      <c r="AH823"/>
      <c r="AI823"/>
      <c r="AJ823"/>
      <c r="AK823"/>
      <c r="AL823"/>
      <c r="AM823"/>
      <c r="AN823" s="9">
        <f t="shared" si="26"/>
        <v>0</v>
      </c>
      <c r="AO823" s="8"/>
      <c r="AP823" s="9">
        <f>I823-W823-X823-AN823</f>
        <v>0</v>
      </c>
      <c r="AQ823" t="s">
        <v>1316</v>
      </c>
    </row>
    <row r="824" spans="1:43" x14ac:dyDescent="0.3">
      <c r="A824" s="11">
        <f t="shared" si="27"/>
        <v>822</v>
      </c>
      <c r="B824" s="5" t="s">
        <v>1675</v>
      </c>
      <c r="C824" t="s">
        <v>893</v>
      </c>
      <c r="D824" s="24" t="s">
        <v>891</v>
      </c>
      <c r="E824" s="24" t="str">
        <f>IFERROR(VLOOKUP(D824,Dropdown!A:B,2,0),D824)</f>
        <v>NAVKAR CHEMICALS</v>
      </c>
      <c r="F824" s="6">
        <v>45903</v>
      </c>
      <c r="G824" s="6" t="str">
        <f>TEXT(F824, "MMM-YY")</f>
        <v>Sep-25</v>
      </c>
      <c r="H824" t="s">
        <v>775</v>
      </c>
      <c r="I824" s="25">
        <v>76.900000000000006</v>
      </c>
      <c r="J824" s="4">
        <v>1950</v>
      </c>
      <c r="K824" t="s">
        <v>1017</v>
      </c>
      <c r="L824" s="4" t="str">
        <f>VLOOKUP(K824, 'Items Master'!A:E,5,0)</f>
        <v>NA</v>
      </c>
      <c r="M824" s="4" t="str">
        <f>VLOOKUP(K824, 'Items Master'!A:D,4,0)</f>
        <v>PVC</v>
      </c>
      <c r="N824" s="4" t="s">
        <v>24</v>
      </c>
      <c r="Q824" s="6">
        <v>45903</v>
      </c>
      <c r="R824" s="6" t="str">
        <f>TEXT(Q824, "MMM-YY")</f>
        <v>Sep-25</v>
      </c>
      <c r="W824" s="25">
        <v>76.900000000000006</v>
      </c>
      <c r="Y824"/>
      <c r="Z824"/>
      <c r="AB824"/>
      <c r="AC824"/>
      <c r="AD824"/>
      <c r="AE824"/>
      <c r="AF824"/>
      <c r="AG824"/>
      <c r="AH824"/>
      <c r="AI824"/>
      <c r="AJ824"/>
      <c r="AK824"/>
      <c r="AL824"/>
      <c r="AM824"/>
      <c r="AN824" s="9">
        <f t="shared" si="26"/>
        <v>0</v>
      </c>
      <c r="AO824" s="8"/>
      <c r="AP824" s="9">
        <f>I824-W824-X824-AN824</f>
        <v>0</v>
      </c>
      <c r="AQ824" t="s">
        <v>1316</v>
      </c>
    </row>
    <row r="825" spans="1:43" x14ac:dyDescent="0.3">
      <c r="A825" s="11">
        <f t="shared" si="27"/>
        <v>823</v>
      </c>
      <c r="B825" s="5" t="s">
        <v>1675</v>
      </c>
      <c r="C825" t="s">
        <v>893</v>
      </c>
      <c r="D825" s="24" t="s">
        <v>825</v>
      </c>
      <c r="E825" s="24" t="str">
        <f>IFERROR(VLOOKUP(D825,Dropdown!A:B,2,0),D825)</f>
        <v>HARISHREE POLYMERS PRIVATE LIMITED</v>
      </c>
      <c r="F825" s="6">
        <v>45904</v>
      </c>
      <c r="G825" s="6" t="str">
        <f>TEXT(F825, "MMM-YY")</f>
        <v>Sep-25</v>
      </c>
      <c r="H825" t="s">
        <v>776</v>
      </c>
      <c r="I825" s="25">
        <v>91</v>
      </c>
      <c r="J825" s="4">
        <v>12000</v>
      </c>
      <c r="K825" t="s">
        <v>975</v>
      </c>
      <c r="L825" s="4" t="str">
        <f>VLOOKUP(K825, 'Items Master'!A:E,5,0)</f>
        <v>HMEL</v>
      </c>
      <c r="M825" s="4" t="str">
        <f>VLOOKUP(K825, 'Items Master'!A:D,4,0)</f>
        <v>LLDPE</v>
      </c>
      <c r="N825" s="4" t="s">
        <v>24</v>
      </c>
      <c r="Q825" s="6">
        <v>45904</v>
      </c>
      <c r="R825" s="6" t="str">
        <f>TEXT(Q825, "MMM-YY")</f>
        <v>Sep-25</v>
      </c>
      <c r="W825" s="25">
        <v>91</v>
      </c>
      <c r="Y825"/>
      <c r="Z825"/>
      <c r="AB825"/>
      <c r="AC825"/>
      <c r="AD825"/>
      <c r="AE825"/>
      <c r="AF825"/>
      <c r="AG825"/>
      <c r="AH825"/>
      <c r="AI825"/>
      <c r="AJ825"/>
      <c r="AK825"/>
      <c r="AL825"/>
      <c r="AM825"/>
      <c r="AN825" s="9">
        <f t="shared" si="26"/>
        <v>0</v>
      </c>
      <c r="AO825" s="8"/>
      <c r="AP825" s="9">
        <f>I825-W825-X825-AN825</f>
        <v>0</v>
      </c>
      <c r="AQ825" t="s">
        <v>1316</v>
      </c>
    </row>
    <row r="826" spans="1:43" x14ac:dyDescent="0.3">
      <c r="A826" s="11">
        <f t="shared" si="27"/>
        <v>824</v>
      </c>
      <c r="B826" s="5" t="s">
        <v>1675</v>
      </c>
      <c r="C826" t="s">
        <v>894</v>
      </c>
      <c r="D826" s="24" t="s">
        <v>845</v>
      </c>
      <c r="E826" s="24" t="str">
        <f>IFERROR(VLOOKUP(D826,Dropdown!A:B,2,0),D826)</f>
        <v>SIM POLYMERS LLP</v>
      </c>
      <c r="F826" s="6">
        <v>45904</v>
      </c>
      <c r="G826" s="6" t="str">
        <f>TEXT(F826, "MMM-YY")</f>
        <v>Sep-25</v>
      </c>
      <c r="H826" t="s">
        <v>777</v>
      </c>
      <c r="I826" s="25">
        <v>114</v>
      </c>
      <c r="J826" s="4">
        <v>3000</v>
      </c>
      <c r="K826" t="s">
        <v>943</v>
      </c>
      <c r="L826" s="4" t="str">
        <f>VLOOKUP(K826, 'Items Master'!A:E,5,0)</f>
        <v>BASELL</v>
      </c>
      <c r="M826" s="4" t="str">
        <f>VLOOKUP(K826, 'Items Master'!A:D,4,0)</f>
        <v>LDPE</v>
      </c>
      <c r="N826" s="4" t="s">
        <v>24</v>
      </c>
      <c r="Q826" s="6">
        <v>45904</v>
      </c>
      <c r="R826" s="6" t="str">
        <f>TEXT(Q826, "MMM-YY")</f>
        <v>Sep-25</v>
      </c>
      <c r="W826" s="25">
        <v>114</v>
      </c>
      <c r="Y826"/>
      <c r="Z826"/>
      <c r="AB826"/>
      <c r="AC826"/>
      <c r="AD826"/>
      <c r="AE826"/>
      <c r="AF826"/>
      <c r="AG826"/>
      <c r="AH826"/>
      <c r="AI826"/>
      <c r="AJ826"/>
      <c r="AK826"/>
      <c r="AL826"/>
      <c r="AM826"/>
      <c r="AN826" s="9">
        <f t="shared" si="26"/>
        <v>0</v>
      </c>
      <c r="AO826" s="8"/>
      <c r="AP826" s="9">
        <f>I826-W826-X826-AN826</f>
        <v>0</v>
      </c>
      <c r="AQ826" t="s">
        <v>1316</v>
      </c>
    </row>
    <row r="827" spans="1:43" x14ac:dyDescent="0.3">
      <c r="A827" s="11">
        <f t="shared" si="27"/>
        <v>825</v>
      </c>
      <c r="B827" s="5" t="s">
        <v>1675</v>
      </c>
      <c r="C827" t="s">
        <v>893</v>
      </c>
      <c r="D827" s="24" t="s">
        <v>824</v>
      </c>
      <c r="E827" s="24" t="str">
        <f>IFERROR(VLOOKUP(D827,Dropdown!A:B,2,0),D827)</f>
        <v>Paragon</v>
      </c>
      <c r="F827" s="6">
        <v>45904</v>
      </c>
      <c r="G827" s="6" t="str">
        <f>TEXT(F827, "MMM-YY")</f>
        <v>Sep-25</v>
      </c>
      <c r="H827" t="s">
        <v>778</v>
      </c>
      <c r="I827" s="25">
        <v>99.5</v>
      </c>
      <c r="J827" s="4">
        <v>1700</v>
      </c>
      <c r="K827" t="s">
        <v>922</v>
      </c>
      <c r="L827" s="4" t="str">
        <f>VLOOKUP(K827, 'Items Master'!A:E,5,0)</f>
        <v>RIL</v>
      </c>
      <c r="M827" s="4" t="str">
        <f>VLOOKUP(K827, 'Items Master'!A:D,4,0)</f>
        <v>LLDPE</v>
      </c>
      <c r="N827" s="4" t="s">
        <v>49</v>
      </c>
      <c r="Q827" s="6">
        <v>45904</v>
      </c>
      <c r="R827" s="6" t="str">
        <f>TEXT(Q827, "MMM-YY")</f>
        <v>Sep-25</v>
      </c>
      <c r="X827" s="25">
        <v>99.49</v>
      </c>
      <c r="Y827" s="25" t="s">
        <v>1303</v>
      </c>
      <c r="Z827" s="25" t="s">
        <v>1305</v>
      </c>
      <c r="AB827"/>
      <c r="AC827"/>
      <c r="AD827"/>
      <c r="AE827"/>
      <c r="AF827"/>
      <c r="AG827"/>
      <c r="AH827"/>
      <c r="AI827"/>
      <c r="AJ827"/>
      <c r="AK827"/>
      <c r="AL827"/>
      <c r="AM827"/>
      <c r="AN827" s="9">
        <f t="shared" si="26"/>
        <v>0</v>
      </c>
      <c r="AO827" s="8"/>
      <c r="AP827" s="9">
        <f>I827-W827-X827-AN827</f>
        <v>1.0000000000005116E-2</v>
      </c>
      <c r="AQ827" t="s">
        <v>1324</v>
      </c>
    </row>
    <row r="828" spans="1:43" x14ac:dyDescent="0.3">
      <c r="A828" s="11">
        <f t="shared" si="27"/>
        <v>826</v>
      </c>
      <c r="B828" s="5" t="s">
        <v>1675</v>
      </c>
      <c r="C828" t="s">
        <v>893</v>
      </c>
      <c r="D828" s="24" t="s">
        <v>836</v>
      </c>
      <c r="E828" s="24" t="str">
        <f>IFERROR(VLOOKUP(D828,Dropdown!A:B,2,0),D828)</f>
        <v>Intime</v>
      </c>
      <c r="F828" s="6">
        <v>45904</v>
      </c>
      <c r="G828" s="6" t="str">
        <f>TEXT(F828, "MMM-YY")</f>
        <v>Sep-25</v>
      </c>
      <c r="H828" t="s">
        <v>779</v>
      </c>
      <c r="I828" s="25">
        <v>98.433000000000007</v>
      </c>
      <c r="J828" s="4">
        <v>25000</v>
      </c>
      <c r="K828" t="s">
        <v>911</v>
      </c>
      <c r="L828" s="4" t="str">
        <f>VLOOKUP(K828, 'Items Master'!A:E,5,0)</f>
        <v>BCPL</v>
      </c>
      <c r="M828" s="4" t="str">
        <f>VLOOKUP(K828, 'Items Master'!A:D,4,0)</f>
        <v>LLDPE</v>
      </c>
      <c r="N828" s="4" t="s">
        <v>49</v>
      </c>
      <c r="Q828" s="6">
        <v>45904</v>
      </c>
      <c r="R828" s="6" t="str">
        <f>TEXT(Q828, "MMM-YY")</f>
        <v>Sep-25</v>
      </c>
      <c r="X828" s="25">
        <v>98.433000000000007</v>
      </c>
      <c r="Y828" s="25" t="s">
        <v>1304</v>
      </c>
      <c r="Z828" s="25" t="s">
        <v>1308</v>
      </c>
      <c r="AB828"/>
      <c r="AC828"/>
      <c r="AD828"/>
      <c r="AE828"/>
      <c r="AF828"/>
      <c r="AG828"/>
      <c r="AH828"/>
      <c r="AI828"/>
      <c r="AJ828"/>
      <c r="AK828"/>
      <c r="AL828"/>
      <c r="AM828"/>
      <c r="AN828" s="9">
        <f t="shared" si="26"/>
        <v>0</v>
      </c>
      <c r="AO828" s="8"/>
      <c r="AP828" s="9">
        <f>I828-W828-X828-AN828</f>
        <v>0</v>
      </c>
      <c r="AQ828" t="s">
        <v>1324</v>
      </c>
    </row>
    <row r="829" spans="1:43" x14ac:dyDescent="0.3">
      <c r="A829" s="11">
        <f t="shared" si="27"/>
        <v>827</v>
      </c>
      <c r="B829" s="5" t="s">
        <v>1675</v>
      </c>
      <c r="C829" t="s">
        <v>893</v>
      </c>
      <c r="D829" s="24" t="s">
        <v>860</v>
      </c>
      <c r="E829" s="24" t="str">
        <f>IFERROR(VLOOKUP(D829,Dropdown!A:B,2,0),D829)</f>
        <v>VINAY PLASTICS</v>
      </c>
      <c r="F829" s="6">
        <v>45904</v>
      </c>
      <c r="G829" s="6" t="str">
        <f>TEXT(F829, "MMM-YY")</f>
        <v>Sep-25</v>
      </c>
      <c r="H829" t="s">
        <v>780</v>
      </c>
      <c r="I829" s="25">
        <v>98.5</v>
      </c>
      <c r="J829" s="4">
        <v>5000</v>
      </c>
      <c r="K829" t="s">
        <v>1018</v>
      </c>
      <c r="L829" s="4" t="str">
        <f>VLOOKUP(K829, 'Items Master'!A:E,5,0)</f>
        <v>RIL</v>
      </c>
      <c r="M829" s="4" t="str">
        <f>VLOOKUP(K829, 'Items Master'!A:D,4,0)</f>
        <v>PP ICP</v>
      </c>
      <c r="N829" s="4" t="s">
        <v>24</v>
      </c>
      <c r="Q829" s="6">
        <v>45904</v>
      </c>
      <c r="R829" s="6" t="str">
        <f>TEXT(Q829, "MMM-YY")</f>
        <v>Sep-25</v>
      </c>
      <c r="W829" s="25">
        <v>98.5</v>
      </c>
      <c r="Y829"/>
      <c r="Z829"/>
      <c r="AB829"/>
      <c r="AC829"/>
      <c r="AD829"/>
      <c r="AE829"/>
      <c r="AF829"/>
      <c r="AG829"/>
      <c r="AH829"/>
      <c r="AI829"/>
      <c r="AJ829"/>
      <c r="AK829"/>
      <c r="AL829"/>
      <c r="AM829"/>
      <c r="AN829" s="9">
        <f t="shared" si="26"/>
        <v>0</v>
      </c>
      <c r="AO829" s="8"/>
      <c r="AP829" s="9">
        <f>I829-W829-X829-AN829</f>
        <v>0</v>
      </c>
      <c r="AQ829" t="s">
        <v>1316</v>
      </c>
    </row>
    <row r="830" spans="1:43" x14ac:dyDescent="0.3">
      <c r="A830" s="11">
        <f t="shared" si="27"/>
        <v>828</v>
      </c>
      <c r="B830" s="5" t="s">
        <v>1675</v>
      </c>
      <c r="C830" t="s">
        <v>893</v>
      </c>
      <c r="D830" s="24" t="s">
        <v>845</v>
      </c>
      <c r="E830" s="24" t="str">
        <f>IFERROR(VLOOKUP(D830,Dropdown!A:B,2,0),D830)</f>
        <v>SIM POLYMERS LLP</v>
      </c>
      <c r="F830" s="6">
        <v>45904</v>
      </c>
      <c r="G830" s="6" t="str">
        <f>TEXT(F830, "MMM-YY")</f>
        <v>Sep-25</v>
      </c>
      <c r="H830" t="s">
        <v>781</v>
      </c>
      <c r="I830" s="25">
        <v>112.62</v>
      </c>
      <c r="J830" s="4">
        <v>5000</v>
      </c>
      <c r="K830" t="s">
        <v>953</v>
      </c>
      <c r="L830" s="4" t="str">
        <f>VLOOKUP(K830, 'Items Master'!A:E,5,0)</f>
        <v>LOTRENE</v>
      </c>
      <c r="M830" s="4" t="str">
        <f>VLOOKUP(K830, 'Items Master'!A:D,4,0)</f>
        <v>LDPE</v>
      </c>
      <c r="N830" s="4" t="s">
        <v>24</v>
      </c>
      <c r="Q830" s="6">
        <v>45904</v>
      </c>
      <c r="R830" s="6" t="str">
        <f>TEXT(Q830, "MMM-YY")</f>
        <v>Sep-25</v>
      </c>
      <c r="W830" s="25">
        <v>112.62</v>
      </c>
      <c r="Y830"/>
      <c r="Z830"/>
      <c r="AB830"/>
      <c r="AC830"/>
      <c r="AD830"/>
      <c r="AE830"/>
      <c r="AF830"/>
      <c r="AG830"/>
      <c r="AH830"/>
      <c r="AI830"/>
      <c r="AJ830"/>
      <c r="AK830"/>
      <c r="AL830"/>
      <c r="AM830"/>
      <c r="AN830" s="9">
        <f t="shared" si="26"/>
        <v>0</v>
      </c>
      <c r="AO830" s="8"/>
      <c r="AP830" s="9">
        <f>I830-W830-X830-AN830</f>
        <v>0</v>
      </c>
      <c r="AQ830" t="s">
        <v>1316</v>
      </c>
    </row>
    <row r="831" spans="1:43" x14ac:dyDescent="0.3">
      <c r="A831" s="11">
        <f t="shared" si="27"/>
        <v>829</v>
      </c>
      <c r="B831" s="5" t="s">
        <v>1675</v>
      </c>
      <c r="C831" t="s">
        <v>893</v>
      </c>
      <c r="D831" s="24" t="s">
        <v>837</v>
      </c>
      <c r="E831" s="24" t="str">
        <f>IFERROR(VLOOKUP(D831,Dropdown!A:B,2,0),D831)</f>
        <v>SYNTHETIC PACKERS LIMITED</v>
      </c>
      <c r="F831" s="6">
        <v>45906</v>
      </c>
      <c r="G831" s="6" t="str">
        <f>TEXT(F831, "MMM-YY")</f>
        <v>Sep-25</v>
      </c>
      <c r="H831" t="s">
        <v>782</v>
      </c>
      <c r="I831" s="25">
        <v>110</v>
      </c>
      <c r="J831" s="4">
        <v>3000</v>
      </c>
      <c r="K831" t="s">
        <v>1001</v>
      </c>
      <c r="L831" s="4" t="str">
        <f>VLOOKUP(K831, 'Items Master'!A:E,5,0)</f>
        <v>EXXON</v>
      </c>
      <c r="M831" s="4" t="str">
        <f>VLOOKUP(K831, 'Items Master'!A:D,4,0)</f>
        <v>Metallocene</v>
      </c>
      <c r="N831" s="4" t="s">
        <v>24</v>
      </c>
      <c r="Q831" s="6">
        <v>45906</v>
      </c>
      <c r="R831" s="6" t="str">
        <f>TEXT(Q831, "MMM-YY")</f>
        <v>Sep-25</v>
      </c>
      <c r="W831" s="25">
        <v>110</v>
      </c>
      <c r="Y831"/>
      <c r="Z831"/>
      <c r="AB831"/>
      <c r="AC831"/>
      <c r="AD831"/>
      <c r="AE831"/>
      <c r="AF831"/>
      <c r="AG831"/>
      <c r="AH831"/>
      <c r="AI831"/>
      <c r="AJ831"/>
      <c r="AK831"/>
      <c r="AL831"/>
      <c r="AM831"/>
      <c r="AN831" s="9">
        <f t="shared" si="26"/>
        <v>0</v>
      </c>
      <c r="AO831" s="8"/>
      <c r="AP831" s="9">
        <f>I831-W831-X831-AN831</f>
        <v>0</v>
      </c>
      <c r="AQ831" t="s">
        <v>1316</v>
      </c>
    </row>
    <row r="832" spans="1:43" x14ac:dyDescent="0.3">
      <c r="A832" s="11">
        <f t="shared" si="27"/>
        <v>830</v>
      </c>
      <c r="B832" s="5" t="s">
        <v>1675</v>
      </c>
      <c r="C832" t="s">
        <v>894</v>
      </c>
      <c r="D832" s="24" t="s">
        <v>837</v>
      </c>
      <c r="E832" s="24" t="str">
        <f>IFERROR(VLOOKUP(D832,Dropdown!A:B,2,0),D832)</f>
        <v>SYNTHETIC PACKERS LIMITED</v>
      </c>
      <c r="F832" s="6">
        <v>45906</v>
      </c>
      <c r="G832" s="6" t="str">
        <f>TEXT(F832, "MMM-YY")</f>
        <v>Sep-25</v>
      </c>
      <c r="H832" t="s">
        <v>783</v>
      </c>
      <c r="I832" s="25">
        <v>92.5</v>
      </c>
      <c r="J832" s="4">
        <v>25000</v>
      </c>
      <c r="K832" t="s">
        <v>909</v>
      </c>
      <c r="L832" s="4" t="str">
        <f>VLOOKUP(K832, 'Items Master'!A:E,5,0)</f>
        <v>LUBAN</v>
      </c>
      <c r="M832" s="4" t="str">
        <f>VLOOKUP(K832, 'Items Master'!A:D,4,0)</f>
        <v>HDPE</v>
      </c>
      <c r="N832" s="4" t="s">
        <v>24</v>
      </c>
      <c r="Q832" s="6">
        <v>45906</v>
      </c>
      <c r="R832" s="6" t="str">
        <f>TEXT(Q832, "MMM-YY")</f>
        <v>Sep-25</v>
      </c>
      <c r="W832" s="25">
        <v>92.5</v>
      </c>
      <c r="Y832"/>
      <c r="Z832"/>
      <c r="AB832"/>
      <c r="AC832"/>
      <c r="AD832"/>
      <c r="AE832"/>
      <c r="AF832"/>
      <c r="AG832"/>
      <c r="AH832"/>
      <c r="AI832"/>
      <c r="AJ832"/>
      <c r="AK832"/>
      <c r="AL832"/>
      <c r="AM832"/>
      <c r="AN832" s="9">
        <f t="shared" si="26"/>
        <v>0</v>
      </c>
      <c r="AO832" s="8"/>
      <c r="AP832" s="9">
        <f>I832-W832-X832-AN832</f>
        <v>0</v>
      </c>
      <c r="AQ832" t="s">
        <v>1316</v>
      </c>
    </row>
    <row r="833" spans="1:43" x14ac:dyDescent="0.3">
      <c r="A833" s="11">
        <f t="shared" si="27"/>
        <v>831</v>
      </c>
      <c r="B833" s="5" t="s">
        <v>1675</v>
      </c>
      <c r="C833" t="s">
        <v>894</v>
      </c>
      <c r="D833" s="24" t="s">
        <v>837</v>
      </c>
      <c r="E833" s="24" t="str">
        <f>IFERROR(VLOOKUP(D833,Dropdown!A:B,2,0),D833)</f>
        <v>SYNTHETIC PACKERS LIMITED</v>
      </c>
      <c r="F833" s="6">
        <v>45906</v>
      </c>
      <c r="G833" s="6" t="str">
        <f>TEXT(F833, "MMM-YY")</f>
        <v>Sep-25</v>
      </c>
      <c r="H833" t="s">
        <v>784</v>
      </c>
      <c r="I833" s="25">
        <v>92.5</v>
      </c>
      <c r="J833" s="4">
        <v>25000</v>
      </c>
      <c r="K833" t="s">
        <v>909</v>
      </c>
      <c r="L833" s="4" t="str">
        <f>VLOOKUP(K833, 'Items Master'!A:E,5,0)</f>
        <v>LUBAN</v>
      </c>
      <c r="M833" s="4" t="str">
        <f>VLOOKUP(K833, 'Items Master'!A:D,4,0)</f>
        <v>HDPE</v>
      </c>
      <c r="N833" s="4" t="s">
        <v>24</v>
      </c>
      <c r="Q833" s="6">
        <v>45906</v>
      </c>
      <c r="R833" s="6" t="str">
        <f>TEXT(Q833, "MMM-YY")</f>
        <v>Sep-25</v>
      </c>
      <c r="W833" s="25">
        <v>92.5</v>
      </c>
      <c r="Y833"/>
      <c r="Z833"/>
      <c r="AB833"/>
      <c r="AC833"/>
      <c r="AD833"/>
      <c r="AE833"/>
      <c r="AF833"/>
      <c r="AG833"/>
      <c r="AH833"/>
      <c r="AI833"/>
      <c r="AJ833"/>
      <c r="AK833"/>
      <c r="AL833"/>
      <c r="AM833"/>
      <c r="AN833" s="9">
        <f t="shared" si="26"/>
        <v>0</v>
      </c>
      <c r="AO833" s="8"/>
      <c r="AP833" s="9">
        <f>I833-W833-X833-AN833</f>
        <v>0</v>
      </c>
      <c r="AQ833" t="s">
        <v>1316</v>
      </c>
    </row>
    <row r="834" spans="1:43" x14ac:dyDescent="0.3">
      <c r="A834" s="11">
        <f t="shared" si="27"/>
        <v>832</v>
      </c>
      <c r="B834" s="5" t="s">
        <v>1675</v>
      </c>
      <c r="C834" t="s">
        <v>894</v>
      </c>
      <c r="D834" s="24" t="s">
        <v>856</v>
      </c>
      <c r="E834" s="24" t="str">
        <f>IFERROR(VLOOKUP(D834,Dropdown!A:B,2,0),D834)</f>
        <v>SRI LAKOSHA POLYMER PRIVATE LTD</v>
      </c>
      <c r="F834" s="6">
        <v>45906</v>
      </c>
      <c r="G834" s="6" t="str">
        <f>TEXT(F834, "MMM-YY")</f>
        <v>Sep-25</v>
      </c>
      <c r="H834" t="s">
        <v>785</v>
      </c>
      <c r="I834" s="25">
        <v>112.25</v>
      </c>
      <c r="J834" s="4">
        <v>12000</v>
      </c>
      <c r="K834" t="s">
        <v>1019</v>
      </c>
      <c r="L834" s="4" t="str">
        <f>VLOOKUP(K834, 'Items Master'!A:E,5,0)</f>
        <v>INNOPLUS</v>
      </c>
      <c r="M834" s="4" t="str">
        <f>VLOOKUP(K834, 'Items Master'!A:D,4,0)</f>
        <v>LDPE</v>
      </c>
      <c r="N834" s="4" t="s">
        <v>24</v>
      </c>
      <c r="Q834" s="6">
        <v>45906</v>
      </c>
      <c r="R834" s="6" t="str">
        <f>TEXT(Q834, "MMM-YY")</f>
        <v>Sep-25</v>
      </c>
      <c r="W834" s="25">
        <v>112.25</v>
      </c>
      <c r="Y834"/>
      <c r="Z834"/>
      <c r="AB834"/>
      <c r="AC834"/>
      <c r="AD834"/>
      <c r="AE834"/>
      <c r="AF834"/>
      <c r="AG834"/>
      <c r="AH834"/>
      <c r="AI834"/>
      <c r="AJ834"/>
      <c r="AK834"/>
      <c r="AL834"/>
      <c r="AM834"/>
      <c r="AN834" s="9">
        <f t="shared" si="26"/>
        <v>0</v>
      </c>
      <c r="AO834" s="8"/>
      <c r="AP834" s="9">
        <f>I834-W834-X834-AN834</f>
        <v>0</v>
      </c>
      <c r="AQ834" t="s">
        <v>1316</v>
      </c>
    </row>
    <row r="835" spans="1:43" x14ac:dyDescent="0.3">
      <c r="A835" s="11">
        <f t="shared" si="27"/>
        <v>833</v>
      </c>
      <c r="B835" s="5" t="s">
        <v>1675</v>
      </c>
      <c r="C835" t="s">
        <v>893</v>
      </c>
      <c r="D835" s="24" t="s">
        <v>874</v>
      </c>
      <c r="E835" s="24" t="str">
        <f>IFERROR(VLOOKUP(D835,Dropdown!A:B,2,0),D835)</f>
        <v>RAJATH CONSUMABLES</v>
      </c>
      <c r="F835" s="6">
        <v>45906</v>
      </c>
      <c r="G835" s="6" t="str">
        <f>TEXT(F835, "MMM-YY")</f>
        <v>Sep-25</v>
      </c>
      <c r="H835" t="s">
        <v>786</v>
      </c>
      <c r="I835" s="25">
        <v>72.5</v>
      </c>
      <c r="J835" s="4">
        <v>3500</v>
      </c>
      <c r="K835" t="s">
        <v>1020</v>
      </c>
      <c r="L835" s="4" t="str">
        <f>VLOOKUP(K835, 'Items Master'!A:E,5,0)</f>
        <v>XINFA</v>
      </c>
      <c r="M835" s="4" t="str">
        <f>VLOOKUP(K835, 'Items Master'!A:D,4,0)</f>
        <v>PVC</v>
      </c>
      <c r="N835" s="4" t="s">
        <v>24</v>
      </c>
      <c r="Q835" s="6">
        <v>45906</v>
      </c>
      <c r="R835" s="6" t="str">
        <f>TEXT(Q835, "MMM-YY")</f>
        <v>Sep-25</v>
      </c>
      <c r="W835" s="25">
        <v>72.5</v>
      </c>
      <c r="Y835"/>
      <c r="Z835"/>
      <c r="AB835"/>
      <c r="AC835"/>
      <c r="AD835"/>
      <c r="AE835"/>
      <c r="AF835"/>
      <c r="AG835"/>
      <c r="AH835"/>
      <c r="AI835"/>
      <c r="AJ835"/>
      <c r="AK835"/>
      <c r="AL835"/>
      <c r="AM835"/>
      <c r="AN835" s="9">
        <f t="shared" si="26"/>
        <v>0</v>
      </c>
      <c r="AO835" s="8"/>
      <c r="AP835" s="9">
        <f>I835-W835-X835-AN835</f>
        <v>0</v>
      </c>
      <c r="AQ835" t="s">
        <v>1316</v>
      </c>
    </row>
    <row r="836" spans="1:43" x14ac:dyDescent="0.3">
      <c r="A836" s="11">
        <f t="shared" si="27"/>
        <v>834</v>
      </c>
      <c r="B836" s="5" t="s">
        <v>1675</v>
      </c>
      <c r="C836" t="s">
        <v>893</v>
      </c>
      <c r="D836" s="24" t="s">
        <v>856</v>
      </c>
      <c r="E836" s="24" t="str">
        <f>IFERROR(VLOOKUP(D836,Dropdown!A:B,2,0),D836)</f>
        <v>SRI LAKOSHA POLYMER PRIVATE LTD</v>
      </c>
      <c r="F836" s="6">
        <v>45908</v>
      </c>
      <c r="G836" s="6" t="str">
        <f>TEXT(F836, "MMM-YY")</f>
        <v>Sep-25</v>
      </c>
      <c r="H836" t="s">
        <v>787</v>
      </c>
      <c r="I836" s="25">
        <v>70.5</v>
      </c>
      <c r="J836" s="4">
        <v>25000</v>
      </c>
      <c r="K836" t="s">
        <v>900</v>
      </c>
      <c r="L836" s="4" t="str">
        <f>VLOOKUP(K836, 'Items Master'!A:E,5,0)</f>
        <v>HANWHA</v>
      </c>
      <c r="M836" s="4" t="str">
        <f>VLOOKUP(K836, 'Items Master'!A:D,4,0)</f>
        <v>PVC</v>
      </c>
      <c r="N836" s="4" t="s">
        <v>24</v>
      </c>
      <c r="Q836" s="6">
        <v>45908</v>
      </c>
      <c r="R836" s="6" t="str">
        <f>TEXT(Q836, "MMM-YY")</f>
        <v>Sep-25</v>
      </c>
      <c r="W836" s="25">
        <v>70.5</v>
      </c>
      <c r="Y836"/>
      <c r="Z836"/>
      <c r="AB836"/>
      <c r="AC836"/>
      <c r="AD836"/>
      <c r="AE836"/>
      <c r="AF836"/>
      <c r="AG836"/>
      <c r="AH836"/>
      <c r="AI836"/>
      <c r="AJ836"/>
      <c r="AK836"/>
      <c r="AL836"/>
      <c r="AM836"/>
      <c r="AN836" s="9">
        <f t="shared" si="26"/>
        <v>0</v>
      </c>
      <c r="AO836" s="8"/>
      <c r="AP836" s="9">
        <f>I836-W836-X836-AN836</f>
        <v>0</v>
      </c>
      <c r="AQ836" t="s">
        <v>1316</v>
      </c>
    </row>
    <row r="837" spans="1:43" x14ac:dyDescent="0.3">
      <c r="A837" s="11">
        <f t="shared" si="27"/>
        <v>835</v>
      </c>
      <c r="B837" s="5" t="s">
        <v>1675</v>
      </c>
      <c r="C837" t="s">
        <v>893</v>
      </c>
      <c r="D837" s="24" t="s">
        <v>856</v>
      </c>
      <c r="E837" s="24" t="str">
        <f>IFERROR(VLOOKUP(D837,Dropdown!A:B,2,0),D837)</f>
        <v>SRI LAKOSHA POLYMER PRIVATE LTD</v>
      </c>
      <c r="F837" s="6">
        <v>45908</v>
      </c>
      <c r="G837" s="6" t="str">
        <f>TEXT(F837, "MMM-YY")</f>
        <v>Sep-25</v>
      </c>
      <c r="H837" t="s">
        <v>788</v>
      </c>
      <c r="I837" s="25">
        <v>111.77</v>
      </c>
      <c r="J837" s="4">
        <v>13000</v>
      </c>
      <c r="K837" t="s">
        <v>1019</v>
      </c>
      <c r="L837" s="4" t="str">
        <f>VLOOKUP(K837, 'Items Master'!A:E,5,0)</f>
        <v>INNOPLUS</v>
      </c>
      <c r="M837" s="4" t="str">
        <f>VLOOKUP(K837, 'Items Master'!A:D,4,0)</f>
        <v>LDPE</v>
      </c>
      <c r="N837" s="4" t="s">
        <v>24</v>
      </c>
      <c r="Q837" s="6">
        <v>45908</v>
      </c>
      <c r="R837" s="6" t="str">
        <f>TEXT(Q837, "MMM-YY")</f>
        <v>Sep-25</v>
      </c>
      <c r="W837" s="25">
        <v>111.77</v>
      </c>
      <c r="Y837"/>
      <c r="Z837"/>
      <c r="AB837"/>
      <c r="AC837"/>
      <c r="AD837"/>
      <c r="AE837"/>
      <c r="AF837"/>
      <c r="AG837"/>
      <c r="AH837"/>
      <c r="AI837"/>
      <c r="AJ837"/>
      <c r="AK837"/>
      <c r="AL837"/>
      <c r="AM837"/>
      <c r="AN837" s="9">
        <f t="shared" ref="AN837:AN900" si="28">SUM(AB837:AM837)</f>
        <v>0</v>
      </c>
      <c r="AO837" s="8"/>
      <c r="AP837" s="9">
        <f>I837-W837-X837-AN837</f>
        <v>0</v>
      </c>
      <c r="AQ837" t="s">
        <v>1316</v>
      </c>
    </row>
    <row r="838" spans="1:43" x14ac:dyDescent="0.3">
      <c r="A838" s="11">
        <f t="shared" si="27"/>
        <v>836</v>
      </c>
      <c r="B838" s="5" t="s">
        <v>1675</v>
      </c>
      <c r="C838" t="s">
        <v>894</v>
      </c>
      <c r="D838" s="24" t="s">
        <v>837</v>
      </c>
      <c r="E838" s="24" t="str">
        <f>IFERROR(VLOOKUP(D838,Dropdown!A:B,2,0),D838)</f>
        <v>SYNTHETIC PACKERS LIMITED</v>
      </c>
      <c r="F838" s="6">
        <v>45908</v>
      </c>
      <c r="G838" s="6" t="str">
        <f>TEXT(F838, "MMM-YY")</f>
        <v>Sep-25</v>
      </c>
      <c r="H838" t="s">
        <v>789</v>
      </c>
      <c r="I838" s="25">
        <v>91.5</v>
      </c>
      <c r="J838" s="4">
        <v>12000</v>
      </c>
      <c r="K838" t="s">
        <v>982</v>
      </c>
      <c r="L838" s="4" t="str">
        <f>VLOOKUP(K838, 'Items Master'!A:E,5,0)</f>
        <v>SABIC</v>
      </c>
      <c r="M838" s="4" t="str">
        <f>VLOOKUP(K838, 'Items Master'!A:D,4,0)</f>
        <v>HDPE</v>
      </c>
      <c r="N838" s="4" t="s">
        <v>24</v>
      </c>
      <c r="Q838" s="6">
        <v>45908</v>
      </c>
      <c r="R838" s="6" t="str">
        <f>TEXT(Q838, "MMM-YY")</f>
        <v>Sep-25</v>
      </c>
      <c r="W838" s="25">
        <v>91.5</v>
      </c>
      <c r="Y838"/>
      <c r="Z838"/>
      <c r="AB838"/>
      <c r="AC838"/>
      <c r="AD838"/>
      <c r="AE838"/>
      <c r="AF838"/>
      <c r="AG838"/>
      <c r="AH838"/>
      <c r="AI838"/>
      <c r="AJ838"/>
      <c r="AK838"/>
      <c r="AL838"/>
      <c r="AM838"/>
      <c r="AN838" s="9">
        <f t="shared" si="28"/>
        <v>0</v>
      </c>
      <c r="AO838" s="8"/>
      <c r="AP838" s="9">
        <f>I838-W838-X838-AN838</f>
        <v>0</v>
      </c>
      <c r="AQ838" t="s">
        <v>1316</v>
      </c>
    </row>
    <row r="839" spans="1:43" x14ac:dyDescent="0.3">
      <c r="A839" s="11">
        <f t="shared" si="27"/>
        <v>837</v>
      </c>
      <c r="B839" s="5" t="s">
        <v>1675</v>
      </c>
      <c r="C839" t="s">
        <v>894</v>
      </c>
      <c r="D839" s="24" t="s">
        <v>837</v>
      </c>
      <c r="E839" s="24" t="str">
        <f>IFERROR(VLOOKUP(D839,Dropdown!A:B,2,0),D839)</f>
        <v>SYNTHETIC PACKERS LIMITED</v>
      </c>
      <c r="F839" s="6">
        <v>45908</v>
      </c>
      <c r="G839" s="6" t="str">
        <f>TEXT(F839, "MMM-YY")</f>
        <v>Sep-25</v>
      </c>
      <c r="H839" t="s">
        <v>790</v>
      </c>
      <c r="I839" s="25">
        <v>92.5</v>
      </c>
      <c r="J839" s="4">
        <v>10000</v>
      </c>
      <c r="K839" t="s">
        <v>909</v>
      </c>
      <c r="L839" s="4" t="str">
        <f>VLOOKUP(K839, 'Items Master'!A:E,5,0)</f>
        <v>LUBAN</v>
      </c>
      <c r="M839" s="4" t="str">
        <f>VLOOKUP(K839, 'Items Master'!A:D,4,0)</f>
        <v>HDPE</v>
      </c>
      <c r="N839" s="4" t="s">
        <v>24</v>
      </c>
      <c r="Q839" s="6">
        <v>45908</v>
      </c>
      <c r="R839" s="6" t="str">
        <f>TEXT(Q839, "MMM-YY")</f>
        <v>Sep-25</v>
      </c>
      <c r="W839" s="25">
        <v>92.5</v>
      </c>
      <c r="Y839"/>
      <c r="Z839"/>
      <c r="AB839"/>
      <c r="AC839"/>
      <c r="AD839"/>
      <c r="AE839"/>
      <c r="AF839"/>
      <c r="AG839"/>
      <c r="AH839"/>
      <c r="AI839"/>
      <c r="AJ839"/>
      <c r="AK839"/>
      <c r="AL839"/>
      <c r="AM839"/>
      <c r="AN839" s="9">
        <f t="shared" si="28"/>
        <v>0</v>
      </c>
      <c r="AO839" s="8"/>
      <c r="AP839" s="9">
        <f>I839-W839-X839-AN839</f>
        <v>0</v>
      </c>
      <c r="AQ839" t="s">
        <v>1316</v>
      </c>
    </row>
    <row r="840" spans="1:43" x14ac:dyDescent="0.3">
      <c r="A840" s="11">
        <f t="shared" ref="A840:A903" si="29">A839+1</f>
        <v>838</v>
      </c>
      <c r="B840" s="5" t="s">
        <v>1675</v>
      </c>
      <c r="C840" t="s">
        <v>894</v>
      </c>
      <c r="D840" s="24" t="s">
        <v>874</v>
      </c>
      <c r="E840" s="24" t="str">
        <f>IFERROR(VLOOKUP(D840,Dropdown!A:B,2,0),D840)</f>
        <v>RAJATH CONSUMABLES</v>
      </c>
      <c r="F840" s="6">
        <v>45908</v>
      </c>
      <c r="G840" s="6" t="str">
        <f>TEXT(F840, "MMM-YY")</f>
        <v>Sep-25</v>
      </c>
      <c r="H840" t="s">
        <v>791</v>
      </c>
      <c r="I840" s="25">
        <v>74.599999999999994</v>
      </c>
      <c r="J840" s="4">
        <v>16000</v>
      </c>
      <c r="K840" t="s">
        <v>924</v>
      </c>
      <c r="L840" s="4" t="str">
        <f>VLOOKUP(K840, 'Items Master'!A:E,5,0)</f>
        <v>LG</v>
      </c>
      <c r="M840" s="4" t="str">
        <f>VLOOKUP(K840, 'Items Master'!A:D,4,0)</f>
        <v>PVC</v>
      </c>
      <c r="N840" s="4" t="s">
        <v>24</v>
      </c>
      <c r="Q840" s="6">
        <v>45908</v>
      </c>
      <c r="R840" s="6" t="str">
        <f>TEXT(Q840, "MMM-YY")</f>
        <v>Sep-25</v>
      </c>
      <c r="W840" s="25">
        <v>74.599999999999994</v>
      </c>
      <c r="Y840"/>
      <c r="Z840"/>
      <c r="AB840"/>
      <c r="AC840"/>
      <c r="AD840"/>
      <c r="AE840"/>
      <c r="AF840"/>
      <c r="AG840"/>
      <c r="AH840"/>
      <c r="AI840"/>
      <c r="AJ840"/>
      <c r="AK840"/>
      <c r="AL840"/>
      <c r="AM840"/>
      <c r="AN840" s="9">
        <f t="shared" si="28"/>
        <v>0</v>
      </c>
      <c r="AO840" s="8"/>
      <c r="AP840" s="9">
        <f>I840-W840-X840-AN840</f>
        <v>0</v>
      </c>
      <c r="AQ840" t="s">
        <v>1316</v>
      </c>
    </row>
    <row r="841" spans="1:43" x14ac:dyDescent="0.3">
      <c r="A841" s="11">
        <f t="shared" si="29"/>
        <v>839</v>
      </c>
      <c r="B841" s="5" t="s">
        <v>1675</v>
      </c>
      <c r="C841" t="s">
        <v>893</v>
      </c>
      <c r="D841" s="24" t="s">
        <v>837</v>
      </c>
      <c r="E841" s="24" t="str">
        <f>IFERROR(VLOOKUP(D841,Dropdown!A:B,2,0),D841)</f>
        <v>SYNTHETIC PACKERS LIMITED</v>
      </c>
      <c r="F841" s="6">
        <v>45908</v>
      </c>
      <c r="G841" s="6" t="str">
        <f>TEXT(F841, "MMM-YY")</f>
        <v>Sep-25</v>
      </c>
      <c r="H841" t="s">
        <v>792</v>
      </c>
      <c r="I841" s="25">
        <v>110</v>
      </c>
      <c r="J841" s="4">
        <v>5000</v>
      </c>
      <c r="K841" t="s">
        <v>1001</v>
      </c>
      <c r="L841" s="4" t="str">
        <f>VLOOKUP(K841, 'Items Master'!A:E,5,0)</f>
        <v>EXXON</v>
      </c>
      <c r="M841" s="4" t="str">
        <f>VLOOKUP(K841, 'Items Master'!A:D,4,0)</f>
        <v>Metallocene</v>
      </c>
      <c r="N841" s="4" t="s">
        <v>24</v>
      </c>
      <c r="Q841" s="6">
        <v>45908</v>
      </c>
      <c r="R841" s="6" t="str">
        <f>TEXT(Q841, "MMM-YY")</f>
        <v>Sep-25</v>
      </c>
      <c r="W841" s="25">
        <v>110</v>
      </c>
      <c r="Y841"/>
      <c r="Z841"/>
      <c r="AB841"/>
      <c r="AC841"/>
      <c r="AD841"/>
      <c r="AE841"/>
      <c r="AF841"/>
      <c r="AG841"/>
      <c r="AH841"/>
      <c r="AI841"/>
      <c r="AJ841"/>
      <c r="AK841"/>
      <c r="AL841"/>
      <c r="AM841"/>
      <c r="AN841" s="9">
        <f t="shared" si="28"/>
        <v>0</v>
      </c>
      <c r="AO841" s="8"/>
      <c r="AP841" s="9">
        <f>I841-W841-X841-AN841</f>
        <v>0</v>
      </c>
      <c r="AQ841" t="s">
        <v>1316</v>
      </c>
    </row>
    <row r="842" spans="1:43" x14ac:dyDescent="0.3">
      <c r="A842" s="11">
        <f t="shared" si="29"/>
        <v>840</v>
      </c>
      <c r="B842" s="5" t="s">
        <v>1675</v>
      </c>
      <c r="C842" t="s">
        <v>893</v>
      </c>
      <c r="D842" s="24" t="s">
        <v>48</v>
      </c>
      <c r="E842" s="24" t="str">
        <f>IFERROR(VLOOKUP(D842,Dropdown!A:B,2,0),D842)</f>
        <v>CVPL</v>
      </c>
      <c r="F842" s="6">
        <v>45908</v>
      </c>
      <c r="G842" s="6" t="str">
        <f>TEXT(F842, "MMM-YY")</f>
        <v>Sep-25</v>
      </c>
      <c r="H842" t="s">
        <v>793</v>
      </c>
      <c r="I842" s="25">
        <v>93.75</v>
      </c>
      <c r="J842" s="4">
        <v>2000</v>
      </c>
      <c r="K842" t="s">
        <v>916</v>
      </c>
      <c r="L842" s="4" t="str">
        <f>VLOOKUP(K842, 'Items Master'!A:E,5,0)</f>
        <v>RIL</v>
      </c>
      <c r="M842" s="4" t="str">
        <f>VLOOKUP(K842, 'Items Master'!A:D,4,0)</f>
        <v>PP</v>
      </c>
      <c r="N842" s="4" t="s">
        <v>24</v>
      </c>
      <c r="Q842" s="6">
        <v>45908</v>
      </c>
      <c r="R842" s="6" t="str">
        <f>TEXT(Q842, "MMM-YY")</f>
        <v>Sep-25</v>
      </c>
      <c r="W842" s="25">
        <v>93.75</v>
      </c>
      <c r="Y842"/>
      <c r="Z842"/>
      <c r="AB842"/>
      <c r="AC842"/>
      <c r="AD842"/>
      <c r="AE842"/>
      <c r="AF842"/>
      <c r="AG842"/>
      <c r="AH842"/>
      <c r="AI842"/>
      <c r="AJ842"/>
      <c r="AK842"/>
      <c r="AL842"/>
      <c r="AM842"/>
      <c r="AN842" s="9">
        <f t="shared" si="28"/>
        <v>0</v>
      </c>
      <c r="AO842" s="8"/>
      <c r="AP842" s="9">
        <f>I842-W842-X842-AN842</f>
        <v>0</v>
      </c>
      <c r="AQ842" t="s">
        <v>1316</v>
      </c>
    </row>
    <row r="843" spans="1:43" x14ac:dyDescent="0.3">
      <c r="A843" s="11">
        <f t="shared" si="29"/>
        <v>841</v>
      </c>
      <c r="B843" s="5" t="s">
        <v>1675</v>
      </c>
      <c r="C843" t="s">
        <v>893</v>
      </c>
      <c r="D843" s="24" t="s">
        <v>48</v>
      </c>
      <c r="E843" s="24" t="str">
        <f>IFERROR(VLOOKUP(D843,Dropdown!A:B,2,0),D843)</f>
        <v>CVPL</v>
      </c>
      <c r="F843" s="6">
        <v>45908</v>
      </c>
      <c r="G843" s="6" t="str">
        <f>TEXT(F843, "MMM-YY")</f>
        <v>Sep-25</v>
      </c>
      <c r="H843" t="s">
        <v>793</v>
      </c>
      <c r="I843" s="25">
        <v>127.25</v>
      </c>
      <c r="J843" s="4">
        <v>300</v>
      </c>
      <c r="K843" t="s">
        <v>967</v>
      </c>
      <c r="L843" s="4" t="str">
        <f>VLOOKUP(K843, 'Items Master'!A:E,5,0)</f>
        <v>RIL</v>
      </c>
      <c r="M843" s="4" t="str">
        <f>VLOOKUP(K843, 'Items Master'!A:D,4,0)</f>
        <v>LDPE</v>
      </c>
      <c r="N843" s="4" t="s">
        <v>24</v>
      </c>
      <c r="Q843" s="6">
        <v>45908</v>
      </c>
      <c r="R843" s="6" t="str">
        <f>TEXT(Q843, "MMM-YY")</f>
        <v>Sep-25</v>
      </c>
      <c r="W843" s="25">
        <v>127.25</v>
      </c>
      <c r="Y843"/>
      <c r="Z843"/>
      <c r="AB843"/>
      <c r="AC843"/>
      <c r="AD843"/>
      <c r="AE843"/>
      <c r="AF843"/>
      <c r="AG843"/>
      <c r="AH843"/>
      <c r="AI843"/>
      <c r="AJ843"/>
      <c r="AK843"/>
      <c r="AL843"/>
      <c r="AM843"/>
      <c r="AN843" s="9">
        <f t="shared" si="28"/>
        <v>0</v>
      </c>
      <c r="AO843" s="8"/>
      <c r="AP843" s="9">
        <f>I843-W843-X843-AN843</f>
        <v>0</v>
      </c>
      <c r="AQ843" t="s">
        <v>1316</v>
      </c>
    </row>
    <row r="844" spans="1:43" x14ac:dyDescent="0.3">
      <c r="A844" s="11">
        <f t="shared" si="29"/>
        <v>842</v>
      </c>
      <c r="B844" s="5" t="s">
        <v>1675</v>
      </c>
      <c r="C844" t="s">
        <v>893</v>
      </c>
      <c r="D844" s="24" t="s">
        <v>836</v>
      </c>
      <c r="E844" s="24" t="str">
        <f>IFERROR(VLOOKUP(D844,Dropdown!A:B,2,0),D844)</f>
        <v>Intime</v>
      </c>
      <c r="F844" s="6">
        <v>45909</v>
      </c>
      <c r="G844" s="6" t="str">
        <f>TEXT(F844, "MMM-YY")</f>
        <v>Sep-25</v>
      </c>
      <c r="H844" t="s">
        <v>794</v>
      </c>
      <c r="I844" s="25">
        <v>98.433000000000007</v>
      </c>
      <c r="J844" s="4">
        <v>12000</v>
      </c>
      <c r="K844" t="s">
        <v>911</v>
      </c>
      <c r="L844" s="4" t="str">
        <f>VLOOKUP(K844, 'Items Master'!A:E,5,0)</f>
        <v>BCPL</v>
      </c>
      <c r="M844" s="4" t="str">
        <f>VLOOKUP(K844, 'Items Master'!A:D,4,0)</f>
        <v>LLDPE</v>
      </c>
      <c r="N844" s="4" t="s">
        <v>49</v>
      </c>
      <c r="Q844" s="6">
        <v>45909</v>
      </c>
      <c r="R844" s="6" t="str">
        <f>TEXT(Q844, "MMM-YY")</f>
        <v>Sep-25</v>
      </c>
      <c r="X844" s="25">
        <v>98.433000000000007</v>
      </c>
      <c r="Y844" s="25" t="s">
        <v>1304</v>
      </c>
      <c r="Z844" s="25" t="s">
        <v>1308</v>
      </c>
      <c r="AB844"/>
      <c r="AC844"/>
      <c r="AD844"/>
      <c r="AE844"/>
      <c r="AF844"/>
      <c r="AG844"/>
      <c r="AH844"/>
      <c r="AI844"/>
      <c r="AJ844"/>
      <c r="AK844"/>
      <c r="AL844"/>
      <c r="AM844"/>
      <c r="AN844" s="9">
        <f t="shared" si="28"/>
        <v>0</v>
      </c>
      <c r="AO844" s="8"/>
      <c r="AP844" s="9">
        <f>I844-W844-X844-AN844</f>
        <v>0</v>
      </c>
      <c r="AQ844" t="s">
        <v>1324</v>
      </c>
    </row>
    <row r="845" spans="1:43" x14ac:dyDescent="0.3">
      <c r="A845" s="11">
        <f t="shared" si="29"/>
        <v>843</v>
      </c>
      <c r="B845" s="5" t="s">
        <v>1675</v>
      </c>
      <c r="C845" t="s">
        <v>893</v>
      </c>
      <c r="D845" s="24" t="s">
        <v>857</v>
      </c>
      <c r="E845" s="24" t="str">
        <f>IFERROR(VLOOKUP(D845,Dropdown!A:B,2,0),D845)</f>
        <v>Purav</v>
      </c>
      <c r="F845" s="6">
        <v>45909</v>
      </c>
      <c r="G845" s="6" t="str">
        <f>TEXT(F845, "MMM-YY")</f>
        <v>Sep-25</v>
      </c>
      <c r="H845" t="s">
        <v>795</v>
      </c>
      <c r="I845" s="25">
        <v>98</v>
      </c>
      <c r="J845" s="4">
        <v>10000</v>
      </c>
      <c r="K845" t="s">
        <v>17</v>
      </c>
      <c r="L845" s="4" t="str">
        <f>VLOOKUP(K845, 'Items Master'!A:E,5,0)</f>
        <v>OPAL</v>
      </c>
      <c r="M845" s="4" t="str">
        <f>VLOOKUP(K845, 'Items Master'!A:D,4,0)</f>
        <v>LLDPE</v>
      </c>
      <c r="N845" s="4" t="s">
        <v>49</v>
      </c>
      <c r="O845" t="s">
        <v>1298</v>
      </c>
      <c r="Q845" s="6">
        <v>45909</v>
      </c>
      <c r="R845" s="6" t="str">
        <f>TEXT(Q845, "MMM-YY")</f>
        <v>Sep-25</v>
      </c>
      <c r="U845" t="s">
        <v>1605</v>
      </c>
      <c r="X845" s="25">
        <v>98.8</v>
      </c>
      <c r="Y845" s="25" t="s">
        <v>1303</v>
      </c>
      <c r="AB845" s="8">
        <v>-0.9</v>
      </c>
      <c r="AH845" s="8">
        <v>0.1</v>
      </c>
      <c r="AN845" s="9">
        <f t="shared" si="28"/>
        <v>-0.8</v>
      </c>
      <c r="AO845" s="8"/>
      <c r="AP845" s="9">
        <f>I845-W845-X845-AN845</f>
        <v>2.886579864025407E-15</v>
      </c>
      <c r="AQ845" t="s">
        <v>1316</v>
      </c>
    </row>
    <row r="846" spans="1:43" x14ac:dyDescent="0.3">
      <c r="A846" s="11">
        <f t="shared" si="29"/>
        <v>844</v>
      </c>
      <c r="B846" s="5" t="s">
        <v>1675</v>
      </c>
      <c r="C846" t="s">
        <v>893</v>
      </c>
      <c r="D846" s="24" t="s">
        <v>824</v>
      </c>
      <c r="E846" s="24" t="str">
        <f>IFERROR(VLOOKUP(D846,Dropdown!A:B,2,0),D846)</f>
        <v>Paragon</v>
      </c>
      <c r="F846" s="6">
        <v>45909</v>
      </c>
      <c r="G846" s="6" t="str">
        <f>TEXT(F846, "MMM-YY")</f>
        <v>Sep-25</v>
      </c>
      <c r="H846" t="s">
        <v>796</v>
      </c>
      <c r="I846" s="25">
        <v>99.5</v>
      </c>
      <c r="J846" s="4">
        <v>12000</v>
      </c>
      <c r="K846" t="s">
        <v>915</v>
      </c>
      <c r="L846" s="4" t="str">
        <f>VLOOKUP(K846, 'Items Master'!A:E,5,0)</f>
        <v>RIL</v>
      </c>
      <c r="M846" s="4" t="str">
        <f>VLOOKUP(K846, 'Items Master'!A:D,4,0)</f>
        <v>LLDPE</v>
      </c>
      <c r="N846" s="4" t="s">
        <v>49</v>
      </c>
      <c r="Q846" s="6">
        <v>45909</v>
      </c>
      <c r="R846" s="6" t="str">
        <f>TEXT(Q846, "MMM-YY")</f>
        <v>Sep-25</v>
      </c>
      <c r="X846" s="25">
        <v>99.5</v>
      </c>
      <c r="Y846" s="25" t="s">
        <v>1303</v>
      </c>
      <c r="AB846"/>
      <c r="AC846"/>
      <c r="AD846"/>
      <c r="AE846"/>
      <c r="AF846"/>
      <c r="AG846"/>
      <c r="AH846"/>
      <c r="AI846"/>
      <c r="AJ846"/>
      <c r="AK846"/>
      <c r="AL846"/>
      <c r="AM846"/>
      <c r="AN846" s="9">
        <f t="shared" si="28"/>
        <v>0</v>
      </c>
      <c r="AO846" s="8"/>
      <c r="AP846" s="9">
        <f>I846-W846-X846-AN846</f>
        <v>0</v>
      </c>
      <c r="AQ846" t="s">
        <v>1324</v>
      </c>
    </row>
    <row r="847" spans="1:43" x14ac:dyDescent="0.3">
      <c r="A847" s="11">
        <f t="shared" si="29"/>
        <v>845</v>
      </c>
      <c r="B847" s="5" t="s">
        <v>1675</v>
      </c>
      <c r="C847" t="s">
        <v>893</v>
      </c>
      <c r="D847" s="24" t="s">
        <v>857</v>
      </c>
      <c r="E847" s="24" t="str">
        <f>IFERROR(VLOOKUP(D847,Dropdown!A:B,2,0),D847)</f>
        <v>Purav</v>
      </c>
      <c r="F847" s="6">
        <v>45909</v>
      </c>
      <c r="G847" s="6" t="str">
        <f>TEXT(F847, "MMM-YY")</f>
        <v>Sep-25</v>
      </c>
      <c r="H847" t="s">
        <v>797</v>
      </c>
      <c r="I847" s="25">
        <v>99.81</v>
      </c>
      <c r="J847" s="4">
        <v>5000</v>
      </c>
      <c r="K847" t="s">
        <v>921</v>
      </c>
      <c r="L847" s="4" t="str">
        <f>VLOOKUP(K847, 'Items Master'!A:E,5,0)</f>
        <v>OPAL</v>
      </c>
      <c r="M847" s="4" t="str">
        <f>VLOOKUP(K847, 'Items Master'!A:D,4,0)</f>
        <v>HDPE</v>
      </c>
      <c r="N847" s="4" t="s">
        <v>49</v>
      </c>
      <c r="O847" t="s">
        <v>1298</v>
      </c>
      <c r="Q847" s="6">
        <v>45900</v>
      </c>
      <c r="R847" s="6" t="str">
        <f>TEXT(Q847, "MMM-YY")</f>
        <v>Aug-25</v>
      </c>
      <c r="U847" t="s">
        <v>1605</v>
      </c>
      <c r="X847" s="25">
        <v>100.61</v>
      </c>
      <c r="Y847" s="25" t="s">
        <v>1303</v>
      </c>
      <c r="AB847" s="8">
        <v>-0.9</v>
      </c>
      <c r="AH847" s="8">
        <v>0.1</v>
      </c>
      <c r="AN847" s="9">
        <f t="shared" si="28"/>
        <v>-0.8</v>
      </c>
      <c r="AO847" s="8"/>
      <c r="AP847" s="9">
        <f>I847-W847-X847-AN847</f>
        <v>2.886579864025407E-15</v>
      </c>
      <c r="AQ847" t="s">
        <v>1316</v>
      </c>
    </row>
    <row r="848" spans="1:43" x14ac:dyDescent="0.3">
      <c r="A848" s="11">
        <f t="shared" si="29"/>
        <v>846</v>
      </c>
      <c r="B848" s="5" t="s">
        <v>1675</v>
      </c>
      <c r="C848" t="s">
        <v>893</v>
      </c>
      <c r="D848" s="24" t="s">
        <v>857</v>
      </c>
      <c r="E848" s="24" t="str">
        <f>IFERROR(VLOOKUP(D848,Dropdown!A:B,2,0),D848)</f>
        <v>Purav</v>
      </c>
      <c r="F848" s="6">
        <v>45909</v>
      </c>
      <c r="G848" s="6" t="str">
        <f>TEXT(F848, "MMM-YY")</f>
        <v>Sep-25</v>
      </c>
      <c r="H848" t="s">
        <v>798</v>
      </c>
      <c r="I848" s="25">
        <v>98</v>
      </c>
      <c r="J848" s="4">
        <v>5000</v>
      </c>
      <c r="K848" t="s">
        <v>17</v>
      </c>
      <c r="L848" s="4" t="str">
        <f>VLOOKUP(K848, 'Items Master'!A:E,5,0)</f>
        <v>OPAL</v>
      </c>
      <c r="M848" s="4" t="str">
        <f>VLOOKUP(K848, 'Items Master'!A:D,4,0)</f>
        <v>LLDPE</v>
      </c>
      <c r="N848" s="4" t="s">
        <v>49</v>
      </c>
      <c r="O848" t="s">
        <v>1298</v>
      </c>
      <c r="Q848" s="6">
        <v>45909</v>
      </c>
      <c r="R848" s="6" t="str">
        <f>TEXT(Q848, "MMM-YY")</f>
        <v>Sep-25</v>
      </c>
      <c r="U848" t="s">
        <v>1605</v>
      </c>
      <c r="X848" s="25">
        <v>98.8</v>
      </c>
      <c r="Y848" s="25" t="s">
        <v>1303</v>
      </c>
      <c r="AB848" s="8">
        <v>-0.9</v>
      </c>
      <c r="AH848" s="8">
        <v>0.1</v>
      </c>
      <c r="AN848" s="9">
        <f t="shared" si="28"/>
        <v>-0.8</v>
      </c>
      <c r="AO848" s="8"/>
      <c r="AP848" s="9">
        <f>I848-W848-X848-AN848</f>
        <v>2.886579864025407E-15</v>
      </c>
      <c r="AQ848" t="s">
        <v>1316</v>
      </c>
    </row>
    <row r="849" spans="1:43" x14ac:dyDescent="0.3">
      <c r="A849" s="11">
        <f t="shared" si="29"/>
        <v>847</v>
      </c>
      <c r="B849" s="5" t="s">
        <v>1675</v>
      </c>
      <c r="C849" t="s">
        <v>894</v>
      </c>
      <c r="D849" s="24" t="s">
        <v>857</v>
      </c>
      <c r="E849" s="24" t="str">
        <f>IFERROR(VLOOKUP(D849,Dropdown!A:B,2,0),D849)</f>
        <v>Purav</v>
      </c>
      <c r="F849" s="6">
        <v>45909</v>
      </c>
      <c r="G849" s="6" t="str">
        <f>TEXT(F849, "MMM-YY")</f>
        <v>Sep-25</v>
      </c>
      <c r="H849" t="s">
        <v>799</v>
      </c>
      <c r="I849" s="25">
        <v>97.95</v>
      </c>
      <c r="J849" s="4">
        <v>12000</v>
      </c>
      <c r="K849" t="s">
        <v>896</v>
      </c>
      <c r="L849" s="4" t="str">
        <f>VLOOKUP(K849, 'Items Master'!A:E,5,0)</f>
        <v>OPAL</v>
      </c>
      <c r="M849" s="4" t="str">
        <f>VLOOKUP(K849, 'Items Master'!A:D,4,0)</f>
        <v>HDPE</v>
      </c>
      <c r="N849" s="4" t="s">
        <v>49</v>
      </c>
      <c r="O849" t="s">
        <v>1298</v>
      </c>
      <c r="Q849" s="6">
        <v>45909</v>
      </c>
      <c r="R849" s="6" t="str">
        <f>TEXT(Q849, "MMM-YY")</f>
        <v>Sep-25</v>
      </c>
      <c r="U849" t="s">
        <v>1605</v>
      </c>
      <c r="X849" s="25">
        <v>98.75</v>
      </c>
      <c r="Y849" s="25" t="s">
        <v>1303</v>
      </c>
      <c r="AB849" s="8">
        <v>-0.9</v>
      </c>
      <c r="AH849" s="8">
        <v>0.1</v>
      </c>
      <c r="AN849" s="9">
        <f t="shared" si="28"/>
        <v>-0.8</v>
      </c>
      <c r="AO849" s="8"/>
      <c r="AP849" s="9">
        <f>I849-W849-X849-AN849</f>
        <v>2.886579864025407E-15</v>
      </c>
      <c r="AQ849" t="s">
        <v>1316</v>
      </c>
    </row>
    <row r="850" spans="1:43" x14ac:dyDescent="0.3">
      <c r="A850" s="11">
        <f t="shared" si="29"/>
        <v>848</v>
      </c>
      <c r="B850" s="5" t="s">
        <v>1675</v>
      </c>
      <c r="C850" t="s">
        <v>893</v>
      </c>
      <c r="D850" s="24" t="s">
        <v>824</v>
      </c>
      <c r="E850" s="24" t="str">
        <f>IFERROR(VLOOKUP(D850,Dropdown!A:B,2,0),D850)</f>
        <v>Paragon</v>
      </c>
      <c r="F850" s="6">
        <v>45909</v>
      </c>
      <c r="G850" s="6" t="str">
        <f>TEXT(F850, "MMM-YY")</f>
        <v>Sep-25</v>
      </c>
      <c r="H850" t="s">
        <v>800</v>
      </c>
      <c r="I850" s="25">
        <v>98.39</v>
      </c>
      <c r="J850" s="4">
        <v>3000</v>
      </c>
      <c r="K850" t="s">
        <v>925</v>
      </c>
      <c r="L850" s="4" t="str">
        <f>VLOOKUP(K850, 'Items Master'!A:E,5,0)</f>
        <v>RIL</v>
      </c>
      <c r="M850" s="4" t="str">
        <f>VLOOKUP(K850, 'Items Master'!A:D,4,0)</f>
        <v>PP ICP</v>
      </c>
      <c r="N850" s="4" t="s">
        <v>49</v>
      </c>
      <c r="Q850" s="6">
        <v>45909</v>
      </c>
      <c r="R850" s="6" t="str">
        <f>TEXT(Q850, "MMM-YY")</f>
        <v>Sep-25</v>
      </c>
      <c r="X850" s="25">
        <v>98.39</v>
      </c>
      <c r="AB850"/>
      <c r="AC850"/>
      <c r="AD850"/>
      <c r="AE850"/>
      <c r="AF850"/>
      <c r="AG850"/>
      <c r="AH850"/>
      <c r="AI850"/>
      <c r="AJ850"/>
      <c r="AK850"/>
      <c r="AL850"/>
      <c r="AM850"/>
      <c r="AN850" s="9">
        <f t="shared" si="28"/>
        <v>0</v>
      </c>
      <c r="AO850" s="8"/>
      <c r="AP850" s="9">
        <f>I850-W850-X850-AN850</f>
        <v>0</v>
      </c>
      <c r="AQ850" t="s">
        <v>1324</v>
      </c>
    </row>
    <row r="851" spans="1:43" x14ac:dyDescent="0.3">
      <c r="A851" s="11">
        <f t="shared" si="29"/>
        <v>849</v>
      </c>
      <c r="B851" s="5" t="s">
        <v>1675</v>
      </c>
      <c r="C851" t="s">
        <v>893</v>
      </c>
      <c r="D851" s="24" t="s">
        <v>874</v>
      </c>
      <c r="E851" s="24" t="str">
        <f>IFERROR(VLOOKUP(D851,Dropdown!A:B,2,0),D851)</f>
        <v>RAJATH CONSUMABLES</v>
      </c>
      <c r="F851" s="6">
        <v>45909</v>
      </c>
      <c r="G851" s="6" t="str">
        <f>TEXT(F851, "MMM-YY")</f>
        <v>Sep-25</v>
      </c>
      <c r="H851" t="s">
        <v>801</v>
      </c>
      <c r="I851" s="25">
        <v>72</v>
      </c>
      <c r="J851" s="4">
        <v>2500</v>
      </c>
      <c r="K851" t="s">
        <v>1020</v>
      </c>
      <c r="L851" s="4" t="str">
        <f>VLOOKUP(K851, 'Items Master'!A:E,5,0)</f>
        <v>XINFA</v>
      </c>
      <c r="M851" s="4" t="str">
        <f>VLOOKUP(K851, 'Items Master'!A:D,4,0)</f>
        <v>PVC</v>
      </c>
      <c r="N851" s="4" t="s">
        <v>24</v>
      </c>
      <c r="Q851" s="6">
        <v>45909</v>
      </c>
      <c r="R851" s="6" t="str">
        <f>TEXT(Q851, "MMM-YY")</f>
        <v>Sep-25</v>
      </c>
      <c r="W851" s="25">
        <v>72</v>
      </c>
      <c r="Y851"/>
      <c r="Z851"/>
      <c r="AB851"/>
      <c r="AC851"/>
      <c r="AD851"/>
      <c r="AE851"/>
      <c r="AF851"/>
      <c r="AG851"/>
      <c r="AH851"/>
      <c r="AI851"/>
      <c r="AJ851"/>
      <c r="AK851"/>
      <c r="AL851"/>
      <c r="AM851"/>
      <c r="AN851" s="9">
        <f t="shared" si="28"/>
        <v>0</v>
      </c>
      <c r="AO851" s="8"/>
      <c r="AP851" s="9">
        <f>I851-W851-X851-AN851</f>
        <v>0</v>
      </c>
      <c r="AQ851" t="s">
        <v>1316</v>
      </c>
    </row>
    <row r="852" spans="1:43" x14ac:dyDescent="0.3">
      <c r="A852" s="11">
        <f t="shared" si="29"/>
        <v>850</v>
      </c>
      <c r="B852" s="5" t="s">
        <v>1675</v>
      </c>
      <c r="C852" t="s">
        <v>893</v>
      </c>
      <c r="D852" s="24" t="s">
        <v>872</v>
      </c>
      <c r="E852" s="24" t="str">
        <f>IFERROR(VLOOKUP(D852,Dropdown!A:B,2,0),D852)</f>
        <v>Value</v>
      </c>
      <c r="F852" s="6">
        <v>45910</v>
      </c>
      <c r="G852" s="6" t="str">
        <f>TEXT(F852, "MMM-YY")</f>
        <v>Sep-25</v>
      </c>
      <c r="H852" t="s">
        <v>802</v>
      </c>
      <c r="I852" s="25">
        <v>115.77</v>
      </c>
      <c r="J852" s="4">
        <v>5000</v>
      </c>
      <c r="K852" t="s">
        <v>917</v>
      </c>
      <c r="L852" s="4" t="str">
        <f>VLOOKUP(K852, 'Items Master'!A:E,5,0)</f>
        <v>RIL</v>
      </c>
      <c r="M852" s="4" t="str">
        <f>VLOOKUP(K852, 'Items Master'!A:D,4,0)</f>
        <v>LDPE</v>
      </c>
      <c r="N852" s="4" t="s">
        <v>49</v>
      </c>
      <c r="Q852" s="6">
        <v>45910</v>
      </c>
      <c r="R852" s="6" t="str">
        <f>TEXT(Q852, "MMM-YY")</f>
        <v>Sep-25</v>
      </c>
      <c r="U852" t="s">
        <v>1605</v>
      </c>
      <c r="X852" s="25">
        <v>115.77</v>
      </c>
      <c r="Y852" s="25" t="s">
        <v>1310</v>
      </c>
      <c r="Z852" s="25" t="s">
        <v>1305</v>
      </c>
      <c r="AB852"/>
      <c r="AC852"/>
      <c r="AD852"/>
      <c r="AE852"/>
      <c r="AF852"/>
      <c r="AG852"/>
      <c r="AH852"/>
      <c r="AI852"/>
      <c r="AJ852"/>
      <c r="AK852"/>
      <c r="AL852"/>
      <c r="AM852"/>
      <c r="AN852" s="9">
        <f t="shared" si="28"/>
        <v>0</v>
      </c>
      <c r="AO852" s="8"/>
      <c r="AP852" s="9">
        <f>I852-W852-X852-AN852</f>
        <v>0</v>
      </c>
      <c r="AQ852" t="s">
        <v>1316</v>
      </c>
    </row>
    <row r="853" spans="1:43" x14ac:dyDescent="0.3">
      <c r="A853" s="11">
        <f t="shared" si="29"/>
        <v>851</v>
      </c>
      <c r="B853" s="5" t="s">
        <v>1675</v>
      </c>
      <c r="C853" t="s">
        <v>894</v>
      </c>
      <c r="D853" s="24" t="s">
        <v>837</v>
      </c>
      <c r="E853" s="24" t="str">
        <f>IFERROR(VLOOKUP(D853,Dropdown!A:B,2,0),D853)</f>
        <v>SYNTHETIC PACKERS LIMITED</v>
      </c>
      <c r="F853" s="6">
        <v>45910</v>
      </c>
      <c r="G853" s="6" t="str">
        <f>TEXT(F853, "MMM-YY")</f>
        <v>Sep-25</v>
      </c>
      <c r="H853" t="s">
        <v>803</v>
      </c>
      <c r="I853" s="25">
        <v>91.5</v>
      </c>
      <c r="J853" s="4">
        <v>12000</v>
      </c>
      <c r="K853" t="s">
        <v>982</v>
      </c>
      <c r="L853" s="4" t="str">
        <f>VLOOKUP(K853, 'Items Master'!A:E,5,0)</f>
        <v>SABIC</v>
      </c>
      <c r="M853" s="4" t="str">
        <f>VLOOKUP(K853, 'Items Master'!A:D,4,0)</f>
        <v>HDPE</v>
      </c>
      <c r="N853" s="4" t="s">
        <v>24</v>
      </c>
      <c r="Q853" s="6">
        <v>45910</v>
      </c>
      <c r="R853" s="6" t="str">
        <f>TEXT(Q853, "MMM-YY")</f>
        <v>Sep-25</v>
      </c>
      <c r="W853" s="25">
        <v>91.5</v>
      </c>
      <c r="Y853"/>
      <c r="Z853"/>
      <c r="AB853"/>
      <c r="AC853"/>
      <c r="AD853"/>
      <c r="AE853"/>
      <c r="AF853"/>
      <c r="AG853"/>
      <c r="AH853"/>
      <c r="AI853"/>
      <c r="AJ853"/>
      <c r="AK853"/>
      <c r="AL853"/>
      <c r="AM853"/>
      <c r="AN853" s="9">
        <f t="shared" si="28"/>
        <v>0</v>
      </c>
      <c r="AO853" s="8"/>
      <c r="AP853" s="9">
        <f>I853-W853-X853-AN853</f>
        <v>0</v>
      </c>
      <c r="AQ853" t="s">
        <v>1316</v>
      </c>
    </row>
    <row r="854" spans="1:43" x14ac:dyDescent="0.3">
      <c r="A854" s="11">
        <f t="shared" si="29"/>
        <v>852</v>
      </c>
      <c r="B854" s="5" t="s">
        <v>1675</v>
      </c>
      <c r="C854" t="s">
        <v>893</v>
      </c>
      <c r="D854" s="24" t="s">
        <v>48</v>
      </c>
      <c r="E854" s="24" t="str">
        <f>IFERROR(VLOOKUP(D854,Dropdown!A:B,2,0),D854)</f>
        <v>CVPL</v>
      </c>
      <c r="F854" s="6">
        <v>45910</v>
      </c>
      <c r="G854" s="6" t="str">
        <f>TEXT(F854, "MMM-YY")</f>
        <v>Sep-25</v>
      </c>
      <c r="H854" t="s">
        <v>804</v>
      </c>
      <c r="I854" s="25">
        <v>99.99</v>
      </c>
      <c r="J854" s="4">
        <v>3000</v>
      </c>
      <c r="K854" t="s">
        <v>903</v>
      </c>
      <c r="L854" s="4" t="str">
        <f>VLOOKUP(K854, 'Items Master'!A:E,5,0)</f>
        <v>GAIL</v>
      </c>
      <c r="M854" s="4" t="str">
        <f>VLOOKUP(K854, 'Items Master'!A:D,4,0)</f>
        <v>LLDPE</v>
      </c>
      <c r="N854" s="4" t="s">
        <v>49</v>
      </c>
      <c r="Q854" s="6">
        <v>45910</v>
      </c>
      <c r="R854" s="6" t="str">
        <f>TEXT(Q854, "MMM-YY")</f>
        <v>Sep-25</v>
      </c>
      <c r="X854" s="25">
        <v>99.99</v>
      </c>
      <c r="Y854" s="25" t="s">
        <v>1304</v>
      </c>
      <c r="Z854" s="25" t="s">
        <v>1305</v>
      </c>
      <c r="AB854"/>
      <c r="AC854"/>
      <c r="AD854"/>
      <c r="AE854"/>
      <c r="AF854"/>
      <c r="AG854"/>
      <c r="AH854"/>
      <c r="AI854"/>
      <c r="AJ854"/>
      <c r="AK854"/>
      <c r="AL854"/>
      <c r="AM854"/>
      <c r="AN854" s="9">
        <f t="shared" si="28"/>
        <v>0</v>
      </c>
      <c r="AO854" s="8"/>
      <c r="AP854" s="9">
        <f>I854-W854-X854-AN854</f>
        <v>0</v>
      </c>
      <c r="AQ854" t="s">
        <v>1324</v>
      </c>
    </row>
    <row r="855" spans="1:43" x14ac:dyDescent="0.3">
      <c r="A855" s="11">
        <f t="shared" si="29"/>
        <v>853</v>
      </c>
      <c r="B855" s="5" t="s">
        <v>1675</v>
      </c>
      <c r="C855" t="s">
        <v>893</v>
      </c>
      <c r="D855" s="24" t="s">
        <v>48</v>
      </c>
      <c r="E855" s="24" t="str">
        <f>IFERROR(VLOOKUP(D855,Dropdown!A:B,2,0),D855)</f>
        <v>CVPL</v>
      </c>
      <c r="F855" s="6">
        <v>45910</v>
      </c>
      <c r="G855" s="6" t="str">
        <f>TEXT(F855, "MMM-YY")</f>
        <v>Sep-25</v>
      </c>
      <c r="H855" t="s">
        <v>804</v>
      </c>
      <c r="I855" s="25">
        <v>113.75</v>
      </c>
      <c r="J855" s="4">
        <v>200</v>
      </c>
      <c r="K855" t="s">
        <v>953</v>
      </c>
      <c r="L855" s="4" t="str">
        <f>VLOOKUP(K855, 'Items Master'!A:E,5,0)</f>
        <v>LOTRENE</v>
      </c>
      <c r="M855" s="4" t="str">
        <f>VLOOKUP(K855, 'Items Master'!A:D,4,0)</f>
        <v>LDPE</v>
      </c>
      <c r="N855" s="4" t="s">
        <v>24</v>
      </c>
      <c r="Q855" s="6">
        <v>45910</v>
      </c>
      <c r="R855" s="6" t="str">
        <f>TEXT(Q855, "MMM-YY")</f>
        <v>Sep-25</v>
      </c>
      <c r="W855" s="25">
        <v>113.75</v>
      </c>
      <c r="Y855"/>
      <c r="Z855"/>
      <c r="AB855"/>
      <c r="AC855"/>
      <c r="AD855"/>
      <c r="AE855"/>
      <c r="AF855"/>
      <c r="AG855"/>
      <c r="AH855"/>
      <c r="AI855"/>
      <c r="AJ855"/>
      <c r="AK855"/>
      <c r="AL855"/>
      <c r="AM855"/>
      <c r="AN855" s="9">
        <f t="shared" si="28"/>
        <v>0</v>
      </c>
      <c r="AO855" s="8"/>
      <c r="AP855" s="9">
        <f>I855-W855-X855-AN855</f>
        <v>0</v>
      </c>
      <c r="AQ855" t="s">
        <v>1316</v>
      </c>
    </row>
    <row r="856" spans="1:43" x14ac:dyDescent="0.3">
      <c r="A856" s="11">
        <f t="shared" si="29"/>
        <v>854</v>
      </c>
      <c r="B856" s="5" t="s">
        <v>1675</v>
      </c>
      <c r="C856" t="s">
        <v>893</v>
      </c>
      <c r="D856" s="24" t="s">
        <v>892</v>
      </c>
      <c r="E856" s="24" t="str">
        <f>IFERROR(VLOOKUP(D856,Dropdown!A:B,2,0),D856)</f>
        <v>KULODAY TECHNOPACK PVT.LTD</v>
      </c>
      <c r="F856" s="6">
        <v>45910</v>
      </c>
      <c r="G856" s="6" t="str">
        <f>TEXT(F856, "MMM-YY")</f>
        <v>Sep-25</v>
      </c>
      <c r="H856" t="s">
        <v>805</v>
      </c>
      <c r="I856" s="25">
        <v>108.5</v>
      </c>
      <c r="J856" s="4">
        <v>20000</v>
      </c>
      <c r="K856" t="s">
        <v>931</v>
      </c>
      <c r="L856" s="4" t="str">
        <f>VLOOKUP(K856, 'Items Master'!A:E,5,0)</f>
        <v>BASELL</v>
      </c>
      <c r="M856" s="4" t="str">
        <f>VLOOKUP(K856, 'Items Master'!A:D,4,0)</f>
        <v>LDPE</v>
      </c>
      <c r="N856" s="4" t="s">
        <v>24</v>
      </c>
      <c r="Q856" s="6">
        <v>45910</v>
      </c>
      <c r="R856" s="6" t="str">
        <f>TEXT(Q856, "MMM-YY")</f>
        <v>Sep-25</v>
      </c>
      <c r="W856" s="25">
        <v>108.5</v>
      </c>
      <c r="Y856"/>
      <c r="Z856"/>
      <c r="AB856"/>
      <c r="AC856"/>
      <c r="AD856"/>
      <c r="AE856"/>
      <c r="AF856"/>
      <c r="AG856"/>
      <c r="AH856"/>
      <c r="AI856"/>
      <c r="AJ856"/>
      <c r="AK856"/>
      <c r="AL856"/>
      <c r="AM856"/>
      <c r="AN856" s="9">
        <f t="shared" si="28"/>
        <v>0</v>
      </c>
      <c r="AO856" s="8"/>
      <c r="AP856" s="9">
        <f>I856-W856-X856-AN856</f>
        <v>0</v>
      </c>
      <c r="AQ856" t="s">
        <v>1316</v>
      </c>
    </row>
    <row r="857" spans="1:43" x14ac:dyDescent="0.3">
      <c r="A857" s="11">
        <f t="shared" si="29"/>
        <v>855</v>
      </c>
      <c r="B857" s="5" t="s">
        <v>1675</v>
      </c>
      <c r="C857" t="s">
        <v>893</v>
      </c>
      <c r="D857" s="24" t="s">
        <v>864</v>
      </c>
      <c r="E857" s="24" t="str">
        <f>IFERROR(VLOOKUP(D857,Dropdown!A:B,2,0),D857)</f>
        <v>SVP</v>
      </c>
      <c r="F857" s="6">
        <v>45911</v>
      </c>
      <c r="G857" s="6" t="str">
        <f>TEXT(F857, "MMM-YY")</f>
        <v>Sep-25</v>
      </c>
      <c r="H857" t="s">
        <v>806</v>
      </c>
      <c r="I857" s="25">
        <v>98.08</v>
      </c>
      <c r="J857" s="4">
        <v>1500</v>
      </c>
      <c r="K857" t="s">
        <v>1000</v>
      </c>
      <c r="L857" s="4" t="str">
        <f>VLOOKUP(K857, 'Items Master'!A:E,5,0)</f>
        <v>HMEL</v>
      </c>
      <c r="M857" s="4" t="str">
        <f>VLOOKUP(K857, 'Items Master'!A:D,4,0)</f>
        <v>PP RCP</v>
      </c>
      <c r="N857" s="4" t="s">
        <v>49</v>
      </c>
      <c r="Q857" s="6">
        <v>45911</v>
      </c>
      <c r="R857" s="6" t="str">
        <f>TEXT(Q857, "MMM-YY")</f>
        <v>Sep-25</v>
      </c>
      <c r="X857" s="25">
        <v>102.18</v>
      </c>
      <c r="Y857" t="s">
        <v>1303</v>
      </c>
      <c r="Z857" t="s">
        <v>1305</v>
      </c>
      <c r="AB857" s="8">
        <v>-1.1000000000000001</v>
      </c>
      <c r="AC857" s="8">
        <v>-0.5</v>
      </c>
      <c r="AE857" s="8">
        <v>-1</v>
      </c>
      <c r="AF857" s="8">
        <v>-1.5</v>
      </c>
      <c r="AN857" s="9">
        <f t="shared" si="28"/>
        <v>-4.0999999999999996</v>
      </c>
      <c r="AO857" s="8"/>
      <c r="AP857" s="9">
        <f>I857-W857-X857-AN857</f>
        <v>-8.8817841970012523E-15</v>
      </c>
      <c r="AQ857" t="s">
        <v>1316</v>
      </c>
    </row>
    <row r="858" spans="1:43" x14ac:dyDescent="0.3">
      <c r="A858" s="11">
        <f t="shared" si="29"/>
        <v>856</v>
      </c>
      <c r="B858" s="5" t="s">
        <v>1675</v>
      </c>
      <c r="C858" t="s">
        <v>893</v>
      </c>
      <c r="D858" s="24" t="s">
        <v>48</v>
      </c>
      <c r="E858" s="24" t="str">
        <f>IFERROR(VLOOKUP(D858,Dropdown!A:B,2,0),D858)</f>
        <v>CVPL</v>
      </c>
      <c r="F858" s="6">
        <v>45911</v>
      </c>
      <c r="G858" s="6" t="str">
        <f>TEXT(F858, "MMM-YY")</f>
        <v>Sep-25</v>
      </c>
      <c r="H858" t="s">
        <v>807</v>
      </c>
      <c r="I858" s="25">
        <v>99.99</v>
      </c>
      <c r="J858" s="4">
        <v>2500</v>
      </c>
      <c r="K858" t="s">
        <v>903</v>
      </c>
      <c r="L858" s="4" t="str">
        <f>VLOOKUP(K858, 'Items Master'!A:E,5,0)</f>
        <v>GAIL</v>
      </c>
      <c r="M858" s="4" t="str">
        <f>VLOOKUP(K858, 'Items Master'!A:D,4,0)</f>
        <v>LLDPE</v>
      </c>
      <c r="N858" s="4" t="s">
        <v>49</v>
      </c>
      <c r="Q858" s="6">
        <v>45911</v>
      </c>
      <c r="R858" s="6" t="str">
        <f>TEXT(Q858, "MMM-YY")</f>
        <v>Sep-25</v>
      </c>
      <c r="X858" s="25">
        <v>99.99</v>
      </c>
      <c r="Y858" s="25" t="s">
        <v>1304</v>
      </c>
      <c r="Z858" s="25" t="s">
        <v>1305</v>
      </c>
      <c r="AB858"/>
      <c r="AC858"/>
      <c r="AD858"/>
      <c r="AE858"/>
      <c r="AF858"/>
      <c r="AG858"/>
      <c r="AH858"/>
      <c r="AI858"/>
      <c r="AJ858"/>
      <c r="AK858"/>
      <c r="AL858"/>
      <c r="AM858"/>
      <c r="AN858" s="9">
        <f t="shared" si="28"/>
        <v>0</v>
      </c>
      <c r="AO858" s="8"/>
      <c r="AP858" s="9">
        <f>I858-W858-X858-AN858</f>
        <v>0</v>
      </c>
      <c r="AQ858" t="s">
        <v>1324</v>
      </c>
    </row>
    <row r="859" spans="1:43" x14ac:dyDescent="0.3">
      <c r="A859" s="11">
        <f t="shared" si="29"/>
        <v>857</v>
      </c>
      <c r="B859" s="5" t="s">
        <v>1675</v>
      </c>
      <c r="C859" t="s">
        <v>893</v>
      </c>
      <c r="D859" s="24" t="s">
        <v>857</v>
      </c>
      <c r="E859" s="24" t="str">
        <f>IFERROR(VLOOKUP(D859,Dropdown!A:B,2,0),D859)</f>
        <v>Purav</v>
      </c>
      <c r="F859" s="6">
        <v>45911</v>
      </c>
      <c r="G859" s="6" t="str">
        <f>TEXT(F859, "MMM-YY")</f>
        <v>Sep-25</v>
      </c>
      <c r="H859" t="s">
        <v>808</v>
      </c>
      <c r="I859" s="25">
        <v>97.95</v>
      </c>
      <c r="J859" s="4">
        <v>6000</v>
      </c>
      <c r="K859" t="s">
        <v>896</v>
      </c>
      <c r="L859" s="4" t="str">
        <f>VLOOKUP(K859, 'Items Master'!A:E,5,0)</f>
        <v>OPAL</v>
      </c>
      <c r="M859" s="4" t="str">
        <f>VLOOKUP(K859, 'Items Master'!A:D,4,0)</f>
        <v>HDPE</v>
      </c>
      <c r="N859" s="4" t="s">
        <v>49</v>
      </c>
      <c r="O859" t="s">
        <v>1298</v>
      </c>
      <c r="Q859" s="6">
        <v>45911</v>
      </c>
      <c r="R859" s="6" t="str">
        <f>TEXT(Q859, "MMM-YY")</f>
        <v>Sep-25</v>
      </c>
      <c r="U859" t="s">
        <v>1605</v>
      </c>
      <c r="X859" s="25">
        <v>98.75</v>
      </c>
      <c r="Y859" s="25" t="s">
        <v>1303</v>
      </c>
      <c r="Z859" s="25" t="s">
        <v>1306</v>
      </c>
      <c r="AB859" s="8">
        <v>-0.9</v>
      </c>
      <c r="AH859" s="8">
        <v>0.1</v>
      </c>
      <c r="AN859" s="9">
        <f t="shared" si="28"/>
        <v>-0.8</v>
      </c>
      <c r="AO859" s="8"/>
      <c r="AP859" s="9">
        <f>I859-W859-X859-AN859</f>
        <v>2.886579864025407E-15</v>
      </c>
      <c r="AQ859" t="s">
        <v>1316</v>
      </c>
    </row>
    <row r="860" spans="1:43" x14ac:dyDescent="0.3">
      <c r="A860" s="11">
        <f t="shared" si="29"/>
        <v>858</v>
      </c>
      <c r="B860" s="5" t="s">
        <v>1675</v>
      </c>
      <c r="C860" t="s">
        <v>893</v>
      </c>
      <c r="D860" s="24" t="s">
        <v>857</v>
      </c>
      <c r="E860" s="24" t="str">
        <f>IFERROR(VLOOKUP(D860,Dropdown!A:B,2,0),D860)</f>
        <v>Purav</v>
      </c>
      <c r="F860" s="6">
        <v>45911</v>
      </c>
      <c r="G860" s="6" t="str">
        <f>TEXT(F860, "MMM-YY")</f>
        <v>Sep-25</v>
      </c>
      <c r="H860" t="s">
        <v>809</v>
      </c>
      <c r="I860" s="25">
        <v>98</v>
      </c>
      <c r="J860" s="4">
        <v>4000</v>
      </c>
      <c r="K860" t="s">
        <v>17</v>
      </c>
      <c r="L860" s="4" t="str">
        <f>VLOOKUP(K860, 'Items Master'!A:E,5,0)</f>
        <v>OPAL</v>
      </c>
      <c r="M860" s="4" t="str">
        <f>VLOOKUP(K860, 'Items Master'!A:D,4,0)</f>
        <v>LLDPE</v>
      </c>
      <c r="N860" s="4" t="s">
        <v>49</v>
      </c>
      <c r="O860" t="s">
        <v>1298</v>
      </c>
      <c r="Q860" s="6">
        <v>45911</v>
      </c>
      <c r="R860" s="6" t="str">
        <f>TEXT(Q860, "MMM-YY")</f>
        <v>Sep-25</v>
      </c>
      <c r="U860" t="s">
        <v>1605</v>
      </c>
      <c r="X860" s="25">
        <v>98.8</v>
      </c>
      <c r="Y860" s="25" t="s">
        <v>1303</v>
      </c>
      <c r="Z860" s="25" t="s">
        <v>1306</v>
      </c>
      <c r="AB860" s="8">
        <v>-0.9</v>
      </c>
      <c r="AH860" s="8">
        <v>0.1</v>
      </c>
      <c r="AN860" s="9">
        <f t="shared" si="28"/>
        <v>-0.8</v>
      </c>
      <c r="AO860" s="8"/>
      <c r="AP860" s="9">
        <f>I860-W860-X860-AN860</f>
        <v>2.886579864025407E-15</v>
      </c>
      <c r="AQ860" t="s">
        <v>1316</v>
      </c>
    </row>
    <row r="861" spans="1:43" x14ac:dyDescent="0.3">
      <c r="A861" s="11">
        <f t="shared" si="29"/>
        <v>859</v>
      </c>
      <c r="B861" s="5" t="s">
        <v>1675</v>
      </c>
      <c r="C861" t="s">
        <v>893</v>
      </c>
      <c r="D861" s="24" t="s">
        <v>838</v>
      </c>
      <c r="E861" s="24" t="str">
        <f>IFERROR(VLOOKUP(D861,Dropdown!A:B,2,0),D861)</f>
        <v>Treenity</v>
      </c>
      <c r="F861" s="6">
        <v>45911</v>
      </c>
      <c r="G861" s="6" t="str">
        <f>TEXT(F861, "MMM-YY")</f>
        <v>Sep-25</v>
      </c>
      <c r="H861" t="s">
        <v>810</v>
      </c>
      <c r="I861" s="25">
        <v>93.25</v>
      </c>
      <c r="J861" s="4">
        <v>25000</v>
      </c>
      <c r="K861" t="s">
        <v>899</v>
      </c>
      <c r="L861" s="4" t="str">
        <f>VLOOKUP(K861, 'Items Master'!A:E,5,0)</f>
        <v>MRPL</v>
      </c>
      <c r="M861" s="4" t="str">
        <f>VLOOKUP(K861, 'Items Master'!A:D,4,0)</f>
        <v>PP</v>
      </c>
      <c r="N861" s="4" t="s">
        <v>49</v>
      </c>
      <c r="Q861" s="6">
        <v>45911</v>
      </c>
      <c r="R861" s="6" t="str">
        <f>TEXT(Q861, "MMM-YY")</f>
        <v>Sep-25</v>
      </c>
      <c r="X861" s="25">
        <v>91.5</v>
      </c>
      <c r="Y861" s="25" t="s">
        <v>1304</v>
      </c>
      <c r="Z861" s="25" t="s">
        <v>1305</v>
      </c>
      <c r="AB861"/>
      <c r="AC861"/>
      <c r="AD861"/>
      <c r="AE861"/>
      <c r="AF861"/>
      <c r="AG861"/>
      <c r="AH861"/>
      <c r="AI861" s="8">
        <v>1.75</v>
      </c>
      <c r="AJ861"/>
      <c r="AK861"/>
      <c r="AL861"/>
      <c r="AM861"/>
      <c r="AN861" s="9">
        <f t="shared" si="28"/>
        <v>1.75</v>
      </c>
      <c r="AO861" s="8"/>
      <c r="AP861" s="9">
        <f>I861-W861-X861-AN861</f>
        <v>0</v>
      </c>
      <c r="AQ861" t="s">
        <v>1316</v>
      </c>
    </row>
    <row r="862" spans="1:43" x14ac:dyDescent="0.3">
      <c r="A862" s="11">
        <f t="shared" si="29"/>
        <v>860</v>
      </c>
      <c r="B862" s="5" t="s">
        <v>1675</v>
      </c>
      <c r="C862" t="s">
        <v>893</v>
      </c>
      <c r="D862" s="24" t="s">
        <v>874</v>
      </c>
      <c r="E862" s="24" t="str">
        <f>IFERROR(VLOOKUP(D862,Dropdown!A:B,2,0),D862)</f>
        <v>RAJATH CONSUMABLES</v>
      </c>
      <c r="F862" s="6">
        <v>45912</v>
      </c>
      <c r="G862" s="6" t="str">
        <f>TEXT(F862, "MMM-YY")</f>
        <v>Sep-25</v>
      </c>
      <c r="H862" t="s">
        <v>811</v>
      </c>
      <c r="I862" s="25">
        <v>71.5</v>
      </c>
      <c r="J862" s="4">
        <v>1125</v>
      </c>
      <c r="K862" t="s">
        <v>1020</v>
      </c>
      <c r="L862" s="4" t="str">
        <f>VLOOKUP(K862, 'Items Master'!A:E,5,0)</f>
        <v>XINFA</v>
      </c>
      <c r="M862" s="4" t="str">
        <f>VLOOKUP(K862, 'Items Master'!A:D,4,0)</f>
        <v>PVC</v>
      </c>
      <c r="N862" s="4" t="s">
        <v>24</v>
      </c>
      <c r="Q862" s="6">
        <v>45912</v>
      </c>
      <c r="R862" s="6" t="str">
        <f>TEXT(Q862, "MMM-YY")</f>
        <v>Sep-25</v>
      </c>
      <c r="W862" s="25">
        <v>71.5</v>
      </c>
      <c r="Y862"/>
      <c r="Z862"/>
      <c r="AB862"/>
      <c r="AC862"/>
      <c r="AD862"/>
      <c r="AE862"/>
      <c r="AF862"/>
      <c r="AG862"/>
      <c r="AH862"/>
      <c r="AI862"/>
      <c r="AJ862"/>
      <c r="AK862"/>
      <c r="AL862"/>
      <c r="AM862"/>
      <c r="AN862" s="9">
        <f t="shared" si="28"/>
        <v>0</v>
      </c>
      <c r="AO862" s="8"/>
      <c r="AP862" s="9">
        <f>I862-W862-X862-AN862</f>
        <v>0</v>
      </c>
      <c r="AQ862" t="s">
        <v>1316</v>
      </c>
    </row>
    <row r="863" spans="1:43" x14ac:dyDescent="0.3">
      <c r="A863" s="11">
        <f t="shared" si="29"/>
        <v>861</v>
      </c>
      <c r="B863" s="5" t="s">
        <v>1675</v>
      </c>
      <c r="C863" t="s">
        <v>893</v>
      </c>
      <c r="D863" s="24" t="s">
        <v>828</v>
      </c>
      <c r="E863" s="24" t="str">
        <f>IFERROR(VLOOKUP(D863,Dropdown!A:B,2,0),D863)</f>
        <v>SHUBHAM INTERNATIONAL PRIVATE LIMITED</v>
      </c>
      <c r="F863" s="6">
        <v>45912</v>
      </c>
      <c r="G863" s="6" t="str">
        <f>TEXT(F863, "MMM-YY")</f>
        <v>Sep-25</v>
      </c>
      <c r="H863" t="s">
        <v>812</v>
      </c>
      <c r="I863" s="25">
        <v>95.3</v>
      </c>
      <c r="J863" s="4">
        <v>3000</v>
      </c>
      <c r="K863" t="s">
        <v>912</v>
      </c>
      <c r="L863" s="4" t="str">
        <f>VLOOKUP(K863, 'Items Master'!A:E,5,0)</f>
        <v>RIL</v>
      </c>
      <c r="M863" s="4" t="str">
        <f>VLOOKUP(K863, 'Items Master'!A:D,4,0)</f>
        <v>PP</v>
      </c>
      <c r="N863" s="4" t="s">
        <v>24</v>
      </c>
      <c r="Q863" s="6">
        <v>45912</v>
      </c>
      <c r="R863" s="6" t="str">
        <f>TEXT(Q863, "MMM-YY")</f>
        <v>Sep-25</v>
      </c>
      <c r="W863" s="25">
        <v>95.3</v>
      </c>
      <c r="Y863"/>
      <c r="Z863"/>
      <c r="AB863"/>
      <c r="AC863"/>
      <c r="AD863"/>
      <c r="AE863"/>
      <c r="AF863"/>
      <c r="AG863"/>
      <c r="AH863"/>
      <c r="AI863"/>
      <c r="AJ863"/>
      <c r="AK863"/>
      <c r="AL863"/>
      <c r="AM863"/>
      <c r="AN863" s="9">
        <f t="shared" si="28"/>
        <v>0</v>
      </c>
      <c r="AO863" s="8"/>
      <c r="AP863" s="9">
        <f>I863-W863-X863-AN863</f>
        <v>0</v>
      </c>
      <c r="AQ863" t="s">
        <v>1316</v>
      </c>
    </row>
    <row r="864" spans="1:43" x14ac:dyDescent="0.3">
      <c r="A864" s="11">
        <f t="shared" si="29"/>
        <v>862</v>
      </c>
      <c r="B864" s="5" t="s">
        <v>1675</v>
      </c>
      <c r="C864" t="s">
        <v>893</v>
      </c>
      <c r="D864" s="24" t="s">
        <v>836</v>
      </c>
      <c r="E864" s="24" t="str">
        <f>IFERROR(VLOOKUP(D864,Dropdown!A:B,2,0),D864)</f>
        <v>Intime</v>
      </c>
      <c r="F864" s="6">
        <v>45912</v>
      </c>
      <c r="G864" s="6" t="str">
        <f>TEXT(F864, "MMM-YY")</f>
        <v>Sep-25</v>
      </c>
      <c r="H864" t="s">
        <v>813</v>
      </c>
      <c r="I864" s="25">
        <v>98.433000000000007</v>
      </c>
      <c r="J864" s="4">
        <v>11000</v>
      </c>
      <c r="K864" t="s">
        <v>911</v>
      </c>
      <c r="L864" s="4" t="str">
        <f>VLOOKUP(K864, 'Items Master'!A:E,5,0)</f>
        <v>BCPL</v>
      </c>
      <c r="M864" s="4" t="str">
        <f>VLOOKUP(K864, 'Items Master'!A:D,4,0)</f>
        <v>LLDPE</v>
      </c>
      <c r="N864" s="4" t="s">
        <v>49</v>
      </c>
      <c r="Q864" s="6">
        <v>45912</v>
      </c>
      <c r="R864" s="6" t="str">
        <f>TEXT(Q864, "MMM-YY")</f>
        <v>Sep-25</v>
      </c>
      <c r="X864" s="25">
        <v>98.433000000000007</v>
      </c>
      <c r="Y864" s="25" t="s">
        <v>1304</v>
      </c>
      <c r="Z864" s="25" t="s">
        <v>1308</v>
      </c>
      <c r="AB864"/>
      <c r="AC864"/>
      <c r="AD864"/>
      <c r="AE864"/>
      <c r="AF864"/>
      <c r="AG864"/>
      <c r="AH864"/>
      <c r="AI864"/>
      <c r="AJ864"/>
      <c r="AK864"/>
      <c r="AL864"/>
      <c r="AM864"/>
      <c r="AN864" s="9">
        <f t="shared" si="28"/>
        <v>0</v>
      </c>
      <c r="AO864" s="8"/>
      <c r="AP864" s="9">
        <f>I864-W864-X864-AN864</f>
        <v>0</v>
      </c>
      <c r="AQ864" t="s">
        <v>1324</v>
      </c>
    </row>
    <row r="865" spans="1:43" x14ac:dyDescent="0.3">
      <c r="A865" s="11">
        <f t="shared" si="29"/>
        <v>863</v>
      </c>
      <c r="B865" s="5" t="s">
        <v>1675</v>
      </c>
      <c r="C865" t="s">
        <v>893</v>
      </c>
      <c r="D865" s="24" t="s">
        <v>48</v>
      </c>
      <c r="E865" s="24" t="str">
        <f>IFERROR(VLOOKUP(D865,Dropdown!A:B,2,0),D865)</f>
        <v>CVPL</v>
      </c>
      <c r="F865" s="6">
        <v>45912</v>
      </c>
      <c r="G865" s="6" t="str">
        <f>TEXT(F865, "MMM-YY")</f>
        <v>Sep-25</v>
      </c>
      <c r="H865" t="s">
        <v>814</v>
      </c>
      <c r="I865" s="25">
        <v>100.37</v>
      </c>
      <c r="J865" s="4">
        <v>2500</v>
      </c>
      <c r="K865" t="s">
        <v>952</v>
      </c>
      <c r="L865" s="4" t="str">
        <f>VLOOKUP(K865, 'Items Master'!A:E,5,0)</f>
        <v>GAIL</v>
      </c>
      <c r="M865" s="4" t="str">
        <f>VLOOKUP(K865, 'Items Master'!A:D,4,0)</f>
        <v>HDPE</v>
      </c>
      <c r="N865" s="4" t="s">
        <v>49</v>
      </c>
      <c r="O865" t="s">
        <v>1298</v>
      </c>
      <c r="Q865" s="6">
        <v>45912</v>
      </c>
      <c r="R865" s="6" t="str">
        <f>TEXT(Q865, "MMM-YY")</f>
        <v>Sep-25</v>
      </c>
      <c r="X865" s="25">
        <v>99.87</v>
      </c>
      <c r="Y865" s="25" t="s">
        <v>1304</v>
      </c>
      <c r="Z865" s="25" t="s">
        <v>1305</v>
      </c>
      <c r="AB865"/>
      <c r="AC865"/>
      <c r="AD865"/>
      <c r="AE865"/>
      <c r="AF865"/>
      <c r="AG865"/>
      <c r="AH865"/>
      <c r="AI865"/>
      <c r="AJ865"/>
      <c r="AK865"/>
      <c r="AL865"/>
      <c r="AM865"/>
      <c r="AN865" s="9">
        <f t="shared" si="28"/>
        <v>0</v>
      </c>
      <c r="AO865" s="8"/>
      <c r="AP865" s="9">
        <f>I865-W865-X865-AN865</f>
        <v>0.5</v>
      </c>
      <c r="AQ865" t="s">
        <v>1324</v>
      </c>
    </row>
    <row r="866" spans="1:43" x14ac:dyDescent="0.3">
      <c r="A866" s="11">
        <f t="shared" si="29"/>
        <v>864</v>
      </c>
      <c r="B866" s="5" t="s">
        <v>1675</v>
      </c>
      <c r="C866" t="s">
        <v>893</v>
      </c>
      <c r="D866" s="24" t="s">
        <v>828</v>
      </c>
      <c r="E866" s="24" t="str">
        <f>IFERROR(VLOOKUP(D866,Dropdown!A:B,2,0),D866)</f>
        <v>SHUBHAM INTERNATIONAL PRIVATE LIMITED</v>
      </c>
      <c r="F866" s="6">
        <v>45913</v>
      </c>
      <c r="G866" s="6" t="str">
        <f>TEXT(F866, "MMM-YY")</f>
        <v>Sep-25</v>
      </c>
      <c r="H866" t="s">
        <v>815</v>
      </c>
      <c r="I866" s="25">
        <v>95.3</v>
      </c>
      <c r="J866" s="4">
        <v>2500</v>
      </c>
      <c r="K866" t="s">
        <v>912</v>
      </c>
      <c r="L866" s="4" t="str">
        <f>VLOOKUP(K866, 'Items Master'!A:E,5,0)</f>
        <v>RIL</v>
      </c>
      <c r="M866" s="4" t="str">
        <f>VLOOKUP(K866, 'Items Master'!A:D,4,0)</f>
        <v>PP</v>
      </c>
      <c r="N866" s="4" t="s">
        <v>24</v>
      </c>
      <c r="Q866" s="6">
        <v>45913</v>
      </c>
      <c r="R866" s="6" t="str">
        <f>TEXT(Q866, "MMM-YY")</f>
        <v>Sep-25</v>
      </c>
      <c r="W866" s="25">
        <v>95.3</v>
      </c>
      <c r="Y866"/>
      <c r="Z866"/>
      <c r="AB866"/>
      <c r="AC866"/>
      <c r="AD866"/>
      <c r="AE866"/>
      <c r="AF866"/>
      <c r="AG866"/>
      <c r="AH866"/>
      <c r="AI866"/>
      <c r="AJ866"/>
      <c r="AK866"/>
      <c r="AL866"/>
      <c r="AM866"/>
      <c r="AN866" s="9">
        <f t="shared" si="28"/>
        <v>0</v>
      </c>
      <c r="AO866" s="8"/>
      <c r="AP866" s="9">
        <f>I866-W866-X866-AN866</f>
        <v>0</v>
      </c>
      <c r="AQ866" t="s">
        <v>1316</v>
      </c>
    </row>
    <row r="867" spans="1:43" x14ac:dyDescent="0.3">
      <c r="A867" s="11">
        <f t="shared" si="29"/>
        <v>865</v>
      </c>
      <c r="B867" s="5" t="s">
        <v>1675</v>
      </c>
      <c r="C867" t="s">
        <v>893</v>
      </c>
      <c r="D867" s="24" t="s">
        <v>826</v>
      </c>
      <c r="E867" s="24" t="str">
        <f>IFERROR(VLOOKUP(D867,Dropdown!A:B,2,0),D867)</f>
        <v>Kamakya</v>
      </c>
      <c r="F867" s="6">
        <v>45913</v>
      </c>
      <c r="G867" s="6" t="str">
        <f>TEXT(F867, "MMM-YY")</f>
        <v>Sep-25</v>
      </c>
      <c r="H867" t="s">
        <v>816</v>
      </c>
      <c r="I867" s="25">
        <v>94.85</v>
      </c>
      <c r="J867" s="4">
        <v>25000</v>
      </c>
      <c r="K867" t="s">
        <v>901</v>
      </c>
      <c r="L867" s="4" t="str">
        <f>VLOOKUP(K867, 'Items Master'!A:E,5,0)</f>
        <v>MRPL</v>
      </c>
      <c r="M867" s="4" t="str">
        <f>VLOOKUP(K867, 'Items Master'!A:D,4,0)</f>
        <v>PP</v>
      </c>
      <c r="N867" s="4" t="s">
        <v>49</v>
      </c>
      <c r="Q867" s="6">
        <v>45913</v>
      </c>
      <c r="R867" s="6" t="str">
        <f>TEXT(Q867, "MMM-YY")</f>
        <v>Sep-25</v>
      </c>
      <c r="X867" s="25">
        <v>93.15</v>
      </c>
      <c r="Y867" s="25" t="s">
        <v>1304</v>
      </c>
      <c r="Z867" s="25" t="s">
        <v>1305</v>
      </c>
      <c r="AB867"/>
      <c r="AC867"/>
      <c r="AD867"/>
      <c r="AE867"/>
      <c r="AF867"/>
      <c r="AG867"/>
      <c r="AH867"/>
      <c r="AI867" s="8">
        <v>1.7</v>
      </c>
      <c r="AJ867"/>
      <c r="AK867"/>
      <c r="AL867"/>
      <c r="AM867"/>
      <c r="AN867" s="9">
        <f t="shared" si="28"/>
        <v>1.7</v>
      </c>
      <c r="AO867" s="8"/>
      <c r="AP867" s="9">
        <f>I867-W867-X867-AN867</f>
        <v>-1.1324274851176597E-14</v>
      </c>
      <c r="AQ867" t="s">
        <v>1316</v>
      </c>
    </row>
    <row r="868" spans="1:43" x14ac:dyDescent="0.3">
      <c r="A868" s="11">
        <f t="shared" si="29"/>
        <v>866</v>
      </c>
      <c r="B868" s="5" t="s">
        <v>1675</v>
      </c>
      <c r="C868" t="s">
        <v>893</v>
      </c>
      <c r="D868" s="24" t="s">
        <v>844</v>
      </c>
      <c r="E868" s="24" t="str">
        <f>IFERROR(VLOOKUP(D868,Dropdown!A:B,2,0),D868)</f>
        <v>APEX TECHNO POLYMER PRIVATE LIMITED</v>
      </c>
      <c r="F868" s="6">
        <v>45913</v>
      </c>
      <c r="G868" s="6" t="str">
        <f>TEXT(F868, "MMM-YY")</f>
        <v>Sep-25</v>
      </c>
      <c r="H868" t="s">
        <v>817</v>
      </c>
      <c r="I868" s="25">
        <v>114</v>
      </c>
      <c r="J868" s="4">
        <v>900</v>
      </c>
      <c r="K868" t="s">
        <v>963</v>
      </c>
      <c r="L868" s="4" t="str">
        <f>VLOOKUP(K868, 'Items Master'!A:E,5,0)</f>
        <v>RAVAGO</v>
      </c>
      <c r="M868" s="4" t="str">
        <f>VLOOKUP(K868, 'Items Master'!A:D,4,0)</f>
        <v>PBT</v>
      </c>
      <c r="N868" s="4" t="s">
        <v>24</v>
      </c>
      <c r="Q868" s="6">
        <v>45913</v>
      </c>
      <c r="R868" s="6" t="str">
        <f>TEXT(Q868, "MMM-YY")</f>
        <v>Sep-25</v>
      </c>
      <c r="W868" s="25">
        <v>114</v>
      </c>
      <c r="Y868"/>
      <c r="Z868"/>
      <c r="AB868"/>
      <c r="AC868"/>
      <c r="AD868"/>
      <c r="AE868"/>
      <c r="AF868"/>
      <c r="AG868"/>
      <c r="AH868"/>
      <c r="AI868"/>
      <c r="AJ868"/>
      <c r="AK868"/>
      <c r="AL868"/>
      <c r="AM868"/>
      <c r="AN868" s="9">
        <f t="shared" si="28"/>
        <v>0</v>
      </c>
      <c r="AO868" s="8"/>
      <c r="AP868" s="9">
        <f>I868-W868-X868-AN868</f>
        <v>0</v>
      </c>
      <c r="AQ868" t="s">
        <v>1316</v>
      </c>
    </row>
    <row r="869" spans="1:43" x14ac:dyDescent="0.3">
      <c r="A869" s="11">
        <f t="shared" si="29"/>
        <v>867</v>
      </c>
      <c r="B869" s="5" t="s">
        <v>1675</v>
      </c>
      <c r="C869" t="s">
        <v>893</v>
      </c>
      <c r="D869" s="24" t="s">
        <v>844</v>
      </c>
      <c r="E869" s="24" t="str">
        <f>IFERROR(VLOOKUP(D869,Dropdown!A:B,2,0),D869)</f>
        <v>APEX TECHNO POLYMER PRIVATE LIMITED</v>
      </c>
      <c r="F869" s="6">
        <v>45913</v>
      </c>
      <c r="G869" s="6" t="str">
        <f>TEXT(F869, "MMM-YY")</f>
        <v>Sep-25</v>
      </c>
      <c r="H869" t="s">
        <v>817</v>
      </c>
      <c r="I869" s="25">
        <v>168</v>
      </c>
      <c r="J869" s="4">
        <v>1500</v>
      </c>
      <c r="K869" t="s">
        <v>969</v>
      </c>
      <c r="L869" s="4" t="str">
        <f>VLOOKUP(K869, 'Items Master'!A:E,5,0)</f>
        <v>RAVAGO</v>
      </c>
      <c r="M869" s="4" t="str">
        <f>VLOOKUP(K869, 'Items Master'!A:D,4,0)</f>
        <v>PBT</v>
      </c>
      <c r="N869" s="4" t="s">
        <v>24</v>
      </c>
      <c r="Q869" s="6">
        <v>45913</v>
      </c>
      <c r="R869" s="6" t="str">
        <f>TEXT(Q869, "MMM-YY")</f>
        <v>Sep-25</v>
      </c>
      <c r="W869" s="25">
        <v>168</v>
      </c>
      <c r="Y869"/>
      <c r="Z869"/>
      <c r="AB869"/>
      <c r="AC869"/>
      <c r="AD869"/>
      <c r="AE869"/>
      <c r="AF869"/>
      <c r="AG869"/>
      <c r="AH869"/>
      <c r="AI869"/>
      <c r="AJ869"/>
      <c r="AK869"/>
      <c r="AL869"/>
      <c r="AM869"/>
      <c r="AN869" s="9">
        <f t="shared" si="28"/>
        <v>0</v>
      </c>
      <c r="AO869" s="8"/>
      <c r="AP869" s="9">
        <f>I869-W869-X869-AN869</f>
        <v>0</v>
      </c>
      <c r="AQ869" t="s">
        <v>1316</v>
      </c>
    </row>
    <row r="870" spans="1:43" x14ac:dyDescent="0.3">
      <c r="A870" s="11">
        <f t="shared" si="29"/>
        <v>868</v>
      </c>
      <c r="B870" s="5" t="s">
        <v>1675</v>
      </c>
      <c r="C870" t="s">
        <v>894</v>
      </c>
      <c r="D870" s="24" t="s">
        <v>847</v>
      </c>
      <c r="E870" s="24" t="str">
        <f>IFERROR(VLOOKUP(D870,Dropdown!A:B,2,0),D870)</f>
        <v>K V N IMPEX PVT LTD</v>
      </c>
      <c r="F870" s="6">
        <v>45913</v>
      </c>
      <c r="G870" s="6" t="str">
        <f>TEXT(F870, "MMM-YY")</f>
        <v>Sep-25</v>
      </c>
      <c r="H870" t="s">
        <v>818</v>
      </c>
      <c r="I870" s="25">
        <v>92.25</v>
      </c>
      <c r="J870" s="4">
        <v>12000</v>
      </c>
      <c r="K870" t="s">
        <v>933</v>
      </c>
      <c r="L870" s="4" t="str">
        <f>VLOOKUP(K870, 'Items Master'!A:E,5,0)</f>
        <v>BOROUGE</v>
      </c>
      <c r="M870" s="4" t="str">
        <f>VLOOKUP(K870, 'Items Master'!A:D,4,0)</f>
        <v>PP</v>
      </c>
      <c r="N870" s="4" t="s">
        <v>24</v>
      </c>
      <c r="Q870" s="6">
        <v>45913</v>
      </c>
      <c r="R870" s="6" t="str">
        <f>TEXT(Q870, "MMM-YY")</f>
        <v>Sep-25</v>
      </c>
      <c r="W870" s="25">
        <v>92.25</v>
      </c>
      <c r="Y870"/>
      <c r="Z870"/>
      <c r="AB870"/>
      <c r="AC870"/>
      <c r="AD870"/>
      <c r="AE870"/>
      <c r="AF870"/>
      <c r="AG870"/>
      <c r="AH870"/>
      <c r="AI870"/>
      <c r="AJ870"/>
      <c r="AK870"/>
      <c r="AL870"/>
      <c r="AM870"/>
      <c r="AN870" s="9">
        <f t="shared" si="28"/>
        <v>0</v>
      </c>
      <c r="AO870" s="8"/>
      <c r="AP870" s="9">
        <f>I870-W870-X870-AN870</f>
        <v>0</v>
      </c>
      <c r="AQ870" t="s">
        <v>1316</v>
      </c>
    </row>
    <row r="871" spans="1:43" x14ac:dyDescent="0.3">
      <c r="A871" s="11">
        <f t="shared" si="29"/>
        <v>869</v>
      </c>
      <c r="B871" s="5" t="s">
        <v>1675</v>
      </c>
      <c r="C871" t="s">
        <v>893</v>
      </c>
      <c r="D871" s="24" t="s">
        <v>48</v>
      </c>
      <c r="E871" s="24" t="str">
        <f>IFERROR(VLOOKUP(D871,Dropdown!A:B,2,0),D871)</f>
        <v>CVPL</v>
      </c>
      <c r="F871" s="6">
        <v>45915</v>
      </c>
      <c r="G871" s="6" t="str">
        <f>TEXT(F871, "MMM-YY")</f>
        <v>Sep-25</v>
      </c>
      <c r="H871" t="s">
        <v>819</v>
      </c>
      <c r="I871" s="25">
        <v>97.99</v>
      </c>
      <c r="J871" s="4">
        <v>2500</v>
      </c>
      <c r="K871" t="s">
        <v>903</v>
      </c>
      <c r="L871" s="4" t="str">
        <f>VLOOKUP(K871, 'Items Master'!A:E,5,0)</f>
        <v>GAIL</v>
      </c>
      <c r="M871" s="4" t="str">
        <f>VLOOKUP(K871, 'Items Master'!A:D,4,0)</f>
        <v>LLDPE</v>
      </c>
      <c r="N871" s="4" t="s">
        <v>49</v>
      </c>
      <c r="O871" t="s">
        <v>1298</v>
      </c>
      <c r="Q871" s="6">
        <v>45915</v>
      </c>
      <c r="R871" s="6" t="str">
        <f>TEXT(Q871, "MMM-YY")</f>
        <v>Sep-25</v>
      </c>
      <c r="X871" s="25">
        <v>97.486000000000004</v>
      </c>
      <c r="AB871"/>
      <c r="AC871"/>
      <c r="AD871"/>
      <c r="AE871"/>
      <c r="AF871"/>
      <c r="AG871"/>
      <c r="AH871"/>
      <c r="AI871"/>
      <c r="AJ871"/>
      <c r="AK871"/>
      <c r="AL871"/>
      <c r="AM871"/>
      <c r="AN871" s="9">
        <f t="shared" si="28"/>
        <v>0</v>
      </c>
      <c r="AO871" s="8"/>
      <c r="AP871" s="9">
        <f>I871-W871-X871-AN871</f>
        <v>0.50399999999999068</v>
      </c>
      <c r="AQ871" t="s">
        <v>1324</v>
      </c>
    </row>
    <row r="872" spans="1:43" x14ac:dyDescent="0.3">
      <c r="A872" s="11">
        <f t="shared" si="29"/>
        <v>870</v>
      </c>
      <c r="B872" s="5" t="s">
        <v>1675</v>
      </c>
      <c r="C872" t="s">
        <v>893</v>
      </c>
      <c r="D872" s="24" t="s">
        <v>48</v>
      </c>
      <c r="E872" s="24" t="str">
        <f>IFERROR(VLOOKUP(D872,Dropdown!A:B,2,0),D872)</f>
        <v>CVPL</v>
      </c>
      <c r="F872" s="6">
        <v>45915</v>
      </c>
      <c r="G872" s="6" t="str">
        <f>TEXT(F872, "MMM-YY")</f>
        <v>Sep-25</v>
      </c>
      <c r="H872" t="s">
        <v>820</v>
      </c>
      <c r="I872" s="25">
        <v>97.99</v>
      </c>
      <c r="J872" s="4">
        <v>2500</v>
      </c>
      <c r="K872" t="s">
        <v>903</v>
      </c>
      <c r="L872" s="4" t="str">
        <f>VLOOKUP(K872, 'Items Master'!A:E,5,0)</f>
        <v>GAIL</v>
      </c>
      <c r="M872" s="4" t="str">
        <f>VLOOKUP(K872, 'Items Master'!A:D,4,0)</f>
        <v>LLDPE</v>
      </c>
      <c r="N872" s="4" t="s">
        <v>49</v>
      </c>
      <c r="O872" t="s">
        <v>1300</v>
      </c>
      <c r="Q872" s="6">
        <v>45915</v>
      </c>
      <c r="R872" s="6" t="str">
        <f>TEXT(Q872, "MMM-YY")</f>
        <v>Sep-25</v>
      </c>
      <c r="X872" s="25">
        <v>97.486000000000004</v>
      </c>
      <c r="AB872"/>
      <c r="AC872"/>
      <c r="AD872"/>
      <c r="AE872"/>
      <c r="AF872"/>
      <c r="AG872"/>
      <c r="AH872"/>
      <c r="AI872"/>
      <c r="AJ872"/>
      <c r="AK872"/>
      <c r="AL872"/>
      <c r="AM872"/>
      <c r="AN872" s="9">
        <f t="shared" si="28"/>
        <v>0</v>
      </c>
      <c r="AO872" s="8"/>
      <c r="AP872" s="9">
        <f>I872-W872-X872-AN872</f>
        <v>0.50399999999999068</v>
      </c>
      <c r="AQ872" t="s">
        <v>1324</v>
      </c>
    </row>
    <row r="873" spans="1:43" x14ac:dyDescent="0.3">
      <c r="A873" s="11">
        <f t="shared" si="29"/>
        <v>871</v>
      </c>
      <c r="B873" s="5" t="s">
        <v>1675</v>
      </c>
      <c r="C873" t="s">
        <v>893</v>
      </c>
      <c r="D873" s="24" t="s">
        <v>48</v>
      </c>
      <c r="E873" s="24" t="str">
        <f>IFERROR(VLOOKUP(D873,Dropdown!A:B,2,0),D873)</f>
        <v>CVPL</v>
      </c>
      <c r="F873" s="6">
        <v>45916</v>
      </c>
      <c r="G873" s="6" t="str">
        <f>TEXT(F873, "MMM-YY")</f>
        <v>Sep-25</v>
      </c>
      <c r="H873" t="s">
        <v>821</v>
      </c>
      <c r="I873" s="25">
        <v>98.35</v>
      </c>
      <c r="J873" s="4">
        <v>13000</v>
      </c>
      <c r="K873" t="s">
        <v>911</v>
      </c>
      <c r="L873" s="4" t="str">
        <f>VLOOKUP(K873, 'Items Master'!A:E,5,0)</f>
        <v>BCPL</v>
      </c>
      <c r="M873" s="4" t="str">
        <f>VLOOKUP(K873, 'Items Master'!A:D,4,0)</f>
        <v>LLDPE</v>
      </c>
      <c r="N873" s="4" t="s">
        <v>49</v>
      </c>
      <c r="O873" t="s">
        <v>1298</v>
      </c>
      <c r="Q873" s="6">
        <v>45916</v>
      </c>
      <c r="R873" s="6" t="str">
        <f>TEXT(Q873, "MMM-YY")</f>
        <v>Sep-25</v>
      </c>
      <c r="X873" s="25">
        <v>96.617000000000004</v>
      </c>
      <c r="AB873"/>
      <c r="AC873"/>
      <c r="AD873"/>
      <c r="AE873"/>
      <c r="AF873"/>
      <c r="AG873"/>
      <c r="AH873"/>
      <c r="AI873"/>
      <c r="AJ873"/>
      <c r="AK873"/>
      <c r="AL873"/>
      <c r="AM873"/>
      <c r="AN873" s="9">
        <f t="shared" si="28"/>
        <v>0</v>
      </c>
      <c r="AO873" s="8"/>
      <c r="AP873" s="9">
        <f>I873-W873-X873-AN873</f>
        <v>1.7329999999999899</v>
      </c>
      <c r="AQ873" t="s">
        <v>1324</v>
      </c>
    </row>
    <row r="874" spans="1:43" x14ac:dyDescent="0.3">
      <c r="A874" s="11">
        <f t="shared" si="29"/>
        <v>872</v>
      </c>
      <c r="B874" s="5" t="s">
        <v>1675</v>
      </c>
      <c r="C874" t="s">
        <v>893</v>
      </c>
      <c r="D874" s="24" t="s">
        <v>48</v>
      </c>
      <c r="E874" s="24" t="str">
        <f>IFERROR(VLOOKUP(D874,Dropdown!A:B,2,0),D874)</f>
        <v>CVPL</v>
      </c>
      <c r="F874" s="6">
        <v>45916</v>
      </c>
      <c r="G874" s="6" t="str">
        <f>TEXT(F874, "MMM-YY")</f>
        <v>Sep-25</v>
      </c>
      <c r="H874" t="s">
        <v>822</v>
      </c>
      <c r="I874" s="25">
        <v>97.99</v>
      </c>
      <c r="J874" s="4">
        <v>3250</v>
      </c>
      <c r="K874" t="s">
        <v>903</v>
      </c>
      <c r="L874" s="4" t="str">
        <f>VLOOKUP(K874, 'Items Master'!A:E,5,0)</f>
        <v>GAIL</v>
      </c>
      <c r="M874" s="4" t="str">
        <f>VLOOKUP(K874, 'Items Master'!A:D,4,0)</f>
        <v>LLDPE</v>
      </c>
      <c r="N874" s="4" t="s">
        <v>49</v>
      </c>
      <c r="Q874" s="6">
        <v>45916</v>
      </c>
      <c r="R874" s="6" t="str">
        <f>TEXT(Q874, "MMM-YY")</f>
        <v>Sep-25</v>
      </c>
      <c r="X874" s="25">
        <v>97.486000000000004</v>
      </c>
      <c r="AB874"/>
      <c r="AC874"/>
      <c r="AD874"/>
      <c r="AE874"/>
      <c r="AF874"/>
      <c r="AG874"/>
      <c r="AH874"/>
      <c r="AI874"/>
      <c r="AJ874"/>
      <c r="AK874"/>
      <c r="AL874"/>
      <c r="AM874"/>
      <c r="AN874" s="9">
        <f t="shared" si="28"/>
        <v>0</v>
      </c>
      <c r="AO874" s="8"/>
      <c r="AP874" s="9">
        <f>I874-W874-X874-AN874</f>
        <v>0.50399999999999068</v>
      </c>
      <c r="AQ874" t="s">
        <v>1324</v>
      </c>
    </row>
    <row r="875" spans="1:43" x14ac:dyDescent="0.3">
      <c r="A875" s="11">
        <f t="shared" si="29"/>
        <v>873</v>
      </c>
      <c r="B875" s="5" t="s">
        <v>1675</v>
      </c>
      <c r="C875" t="s">
        <v>893</v>
      </c>
      <c r="D875" s="24" t="s">
        <v>48</v>
      </c>
      <c r="E875" s="24" t="str">
        <f>IFERROR(VLOOKUP(D875,Dropdown!A:B,2,0),D875)</f>
        <v>CVPL</v>
      </c>
      <c r="F875" s="6">
        <v>45916</v>
      </c>
      <c r="G875" s="6" t="str">
        <f>TEXT(F875, "MMM-YY")</f>
        <v>Sep-25</v>
      </c>
      <c r="H875" t="s">
        <v>822</v>
      </c>
      <c r="I875" s="25">
        <v>113.25</v>
      </c>
      <c r="J875" s="4">
        <v>250</v>
      </c>
      <c r="K875" t="s">
        <v>953</v>
      </c>
      <c r="L875" s="4" t="str">
        <f>VLOOKUP(K875, 'Items Master'!A:E,5,0)</f>
        <v>LOTRENE</v>
      </c>
      <c r="M875" s="4" t="str">
        <f>VLOOKUP(K875, 'Items Master'!A:D,4,0)</f>
        <v>LDPE</v>
      </c>
      <c r="N875" s="4" t="s">
        <v>24</v>
      </c>
      <c r="Q875" s="6">
        <v>45916</v>
      </c>
      <c r="R875" s="6" t="str">
        <f>TEXT(Q875, "MMM-YY")</f>
        <v>Sep-25</v>
      </c>
      <c r="W875" s="25">
        <v>113.25</v>
      </c>
      <c r="AB875"/>
      <c r="AC875"/>
      <c r="AD875"/>
      <c r="AE875"/>
      <c r="AF875"/>
      <c r="AG875"/>
      <c r="AH875"/>
      <c r="AI875"/>
      <c r="AJ875"/>
      <c r="AK875"/>
      <c r="AL875"/>
      <c r="AM875"/>
      <c r="AN875" s="9">
        <f t="shared" si="28"/>
        <v>0</v>
      </c>
      <c r="AO875" s="8"/>
      <c r="AP875" s="9">
        <f>I875-W875-X875-AN875</f>
        <v>0</v>
      </c>
      <c r="AQ875" t="s">
        <v>1316</v>
      </c>
    </row>
    <row r="876" spans="1:43" x14ac:dyDescent="0.3">
      <c r="A876" s="11">
        <f t="shared" si="29"/>
        <v>874</v>
      </c>
      <c r="B876" s="5" t="s">
        <v>1675</v>
      </c>
      <c r="C876" t="s">
        <v>893</v>
      </c>
      <c r="D876" s="24" t="s">
        <v>48</v>
      </c>
      <c r="E876" s="24" t="str">
        <f>IFERROR(VLOOKUP(D876,Dropdown!A:B,2,0),D876)</f>
        <v>CVPL</v>
      </c>
      <c r="F876" s="6">
        <v>45916</v>
      </c>
      <c r="G876" s="6" t="str">
        <f>TEXT(F876, "MMM-YY")</f>
        <v>Sep-25</v>
      </c>
      <c r="H876" t="s">
        <v>823</v>
      </c>
      <c r="I876" s="25">
        <v>98</v>
      </c>
      <c r="J876" s="4">
        <v>2500</v>
      </c>
      <c r="K876" t="s">
        <v>17</v>
      </c>
      <c r="L876" s="4" t="str">
        <f>VLOOKUP(K876, 'Items Master'!A:E,5,0)</f>
        <v>OPAL</v>
      </c>
      <c r="M876" s="4" t="str">
        <f>VLOOKUP(K876, 'Items Master'!A:D,4,0)</f>
        <v>LLDPE</v>
      </c>
      <c r="N876" s="4" t="s">
        <v>49</v>
      </c>
      <c r="O876" t="s">
        <v>1298</v>
      </c>
      <c r="Q876" s="6">
        <v>45916</v>
      </c>
      <c r="R876" s="6" t="str">
        <f>TEXT(Q876, "MMM-YY")</f>
        <v>Sep-25</v>
      </c>
      <c r="X876" s="25">
        <v>97.79</v>
      </c>
      <c r="AB876"/>
      <c r="AC876"/>
      <c r="AD876"/>
      <c r="AE876"/>
      <c r="AF876"/>
      <c r="AG876"/>
      <c r="AH876"/>
      <c r="AI876"/>
      <c r="AJ876"/>
      <c r="AK876"/>
      <c r="AL876"/>
      <c r="AM876"/>
      <c r="AN876" s="9">
        <f t="shared" si="28"/>
        <v>0</v>
      </c>
      <c r="AO876" s="8"/>
      <c r="AP876" s="9">
        <f>I876-W876-X876-AN876</f>
        <v>0.20999999999999375</v>
      </c>
      <c r="AQ876" t="s">
        <v>1324</v>
      </c>
    </row>
    <row r="877" spans="1:43" x14ac:dyDescent="0.3">
      <c r="A877" s="11">
        <f t="shared" si="29"/>
        <v>875</v>
      </c>
      <c r="B877" s="5" t="s">
        <v>1675</v>
      </c>
      <c r="C877" t="s">
        <v>894</v>
      </c>
      <c r="D877" t="s">
        <v>837</v>
      </c>
      <c r="E877" s="24" t="str">
        <f>IFERROR(VLOOKUP(D877,Dropdown!A:B,2,0),D877)</f>
        <v>SYNTHETIC PACKERS LIMITED</v>
      </c>
      <c r="F877" s="6">
        <v>45917</v>
      </c>
      <c r="G877" s="6" t="str">
        <f>TEXT(F877, "MMM-YY")</f>
        <v>Sep-25</v>
      </c>
      <c r="H877" t="s">
        <v>1360</v>
      </c>
      <c r="I877" s="25">
        <v>90.5</v>
      </c>
      <c r="J877" s="4">
        <v>10000</v>
      </c>
      <c r="K877" t="s">
        <v>982</v>
      </c>
      <c r="L877" s="4" t="str">
        <f>VLOOKUP(K877, 'Items Master'!A:E,5,0)</f>
        <v>SABIC</v>
      </c>
      <c r="M877" s="4" t="str">
        <f>VLOOKUP(K877, 'Items Master'!A:D,4,0)</f>
        <v>HDPE</v>
      </c>
      <c r="N877" t="s">
        <v>24</v>
      </c>
      <c r="Q877" s="6">
        <f>F877</f>
        <v>45917</v>
      </c>
      <c r="R877" s="6" t="str">
        <f t="shared" ref="R877:R940" si="30">TEXT(Q877, "MMM-YY")</f>
        <v>Sep-25</v>
      </c>
      <c r="W877" s="25">
        <f>I877</f>
        <v>90.5</v>
      </c>
      <c r="AN877" s="9">
        <f t="shared" si="28"/>
        <v>0</v>
      </c>
      <c r="AP877" s="9">
        <f>I877-W877-X877-AN877</f>
        <v>0</v>
      </c>
      <c r="AQ877" t="s">
        <v>1316</v>
      </c>
    </row>
    <row r="878" spans="1:43" x14ac:dyDescent="0.3">
      <c r="A878" s="11">
        <f t="shared" si="29"/>
        <v>876</v>
      </c>
      <c r="B878" s="5" t="s">
        <v>1675</v>
      </c>
      <c r="C878" t="s">
        <v>894</v>
      </c>
      <c r="D878" t="s">
        <v>837</v>
      </c>
      <c r="E878" s="24" t="str">
        <f>IFERROR(VLOOKUP(D878,Dropdown!A:B,2,0),D878)</f>
        <v>SYNTHETIC PACKERS LIMITED</v>
      </c>
      <c r="F878" s="6">
        <v>45917</v>
      </c>
      <c r="G878" s="6" t="str">
        <f>TEXT(F878, "MMM-YY")</f>
        <v>Sep-25</v>
      </c>
      <c r="H878" t="s">
        <v>1360</v>
      </c>
      <c r="I878" s="25">
        <v>90.5</v>
      </c>
      <c r="J878" s="4">
        <v>5000</v>
      </c>
      <c r="K878" t="s">
        <v>982</v>
      </c>
      <c r="L878" s="4" t="str">
        <f>VLOOKUP(K878, 'Items Master'!A:E,5,0)</f>
        <v>SABIC</v>
      </c>
      <c r="M878" s="4" t="str">
        <f>VLOOKUP(K878, 'Items Master'!A:D,4,0)</f>
        <v>HDPE</v>
      </c>
      <c r="N878" t="s">
        <v>24</v>
      </c>
      <c r="Q878" s="6">
        <f t="shared" ref="Q878:Q941" si="31">F878</f>
        <v>45917</v>
      </c>
      <c r="R878" s="6" t="str">
        <f t="shared" si="30"/>
        <v>Sep-25</v>
      </c>
      <c r="W878" s="25">
        <f t="shared" ref="W878:W880" si="32">I878</f>
        <v>90.5</v>
      </c>
      <c r="AN878" s="9">
        <f t="shared" si="28"/>
        <v>0</v>
      </c>
      <c r="AP878" s="9">
        <f>I878-W878-X878-AN878</f>
        <v>0</v>
      </c>
      <c r="AQ878" t="s">
        <v>1316</v>
      </c>
    </row>
    <row r="879" spans="1:43" x14ac:dyDescent="0.3">
      <c r="A879" s="11">
        <f t="shared" si="29"/>
        <v>877</v>
      </c>
      <c r="B879" s="5" t="s">
        <v>1675</v>
      </c>
      <c r="C879" t="s">
        <v>894</v>
      </c>
      <c r="D879" t="s">
        <v>837</v>
      </c>
      <c r="E879" s="24" t="str">
        <f>IFERROR(VLOOKUP(D879,Dropdown!A:B,2,0),D879)</f>
        <v>SYNTHETIC PACKERS LIMITED</v>
      </c>
      <c r="F879" s="6">
        <v>45917</v>
      </c>
      <c r="G879" s="6" t="str">
        <f>TEXT(F879, "MMM-YY")</f>
        <v>Sep-25</v>
      </c>
      <c r="H879" t="s">
        <v>1361</v>
      </c>
      <c r="I879" s="25">
        <v>91.5</v>
      </c>
      <c r="J879" s="4">
        <v>10000</v>
      </c>
      <c r="K879" t="s">
        <v>909</v>
      </c>
      <c r="L879" s="4" t="str">
        <f>VLOOKUP(K879, 'Items Master'!A:E,5,0)</f>
        <v>LUBAN</v>
      </c>
      <c r="M879" s="4" t="str">
        <f>VLOOKUP(K879, 'Items Master'!A:D,4,0)</f>
        <v>HDPE</v>
      </c>
      <c r="N879" t="s">
        <v>24</v>
      </c>
      <c r="Q879" s="6">
        <f t="shared" si="31"/>
        <v>45917</v>
      </c>
      <c r="R879" s="6" t="str">
        <f t="shared" si="30"/>
        <v>Sep-25</v>
      </c>
      <c r="W879" s="25">
        <f t="shared" si="32"/>
        <v>91.5</v>
      </c>
      <c r="AN879" s="9">
        <f t="shared" si="28"/>
        <v>0</v>
      </c>
      <c r="AP879" s="9">
        <f>I879-W879-X879-AN879</f>
        <v>0</v>
      </c>
      <c r="AQ879" t="s">
        <v>1316</v>
      </c>
    </row>
    <row r="880" spans="1:43" x14ac:dyDescent="0.3">
      <c r="A880" s="11">
        <f t="shared" si="29"/>
        <v>878</v>
      </c>
      <c r="B880" s="5" t="s">
        <v>1675</v>
      </c>
      <c r="C880" t="s">
        <v>894</v>
      </c>
      <c r="D880" t="s">
        <v>837</v>
      </c>
      <c r="E880" s="24" t="str">
        <f>IFERROR(VLOOKUP(D880,Dropdown!A:B,2,0),D880)</f>
        <v>SYNTHETIC PACKERS LIMITED</v>
      </c>
      <c r="F880" s="6">
        <v>45917</v>
      </c>
      <c r="G880" s="6" t="str">
        <f>TEXT(F880, "MMM-YY")</f>
        <v>Sep-25</v>
      </c>
      <c r="H880" t="s">
        <v>1361</v>
      </c>
      <c r="I880" s="25">
        <v>91.5</v>
      </c>
      <c r="J880" s="4">
        <v>5000</v>
      </c>
      <c r="K880" t="s">
        <v>909</v>
      </c>
      <c r="L880" s="4" t="str">
        <f>VLOOKUP(K880, 'Items Master'!A:E,5,0)</f>
        <v>LUBAN</v>
      </c>
      <c r="M880" s="4" t="str">
        <f>VLOOKUP(K880, 'Items Master'!A:D,4,0)</f>
        <v>HDPE</v>
      </c>
      <c r="N880" t="s">
        <v>24</v>
      </c>
      <c r="Q880" s="6">
        <f t="shared" si="31"/>
        <v>45917</v>
      </c>
      <c r="R880" s="6" t="str">
        <f t="shared" si="30"/>
        <v>Sep-25</v>
      </c>
      <c r="W880" s="25">
        <f t="shared" si="32"/>
        <v>91.5</v>
      </c>
      <c r="AN880" s="9">
        <f t="shared" si="28"/>
        <v>0</v>
      </c>
      <c r="AP880" s="9">
        <f>I880-W880-X880-AN880</f>
        <v>0</v>
      </c>
      <c r="AQ880" t="s">
        <v>1316</v>
      </c>
    </row>
    <row r="881" spans="1:43" x14ac:dyDescent="0.3">
      <c r="A881" s="11">
        <f t="shared" si="29"/>
        <v>879</v>
      </c>
      <c r="B881" s="5" t="s">
        <v>1675</v>
      </c>
      <c r="C881" t="s">
        <v>893</v>
      </c>
      <c r="D881" t="s">
        <v>48</v>
      </c>
      <c r="E881" s="24" t="str">
        <f>IFERROR(VLOOKUP(D881,Dropdown!A:B,2,0),D881)</f>
        <v>CVPL</v>
      </c>
      <c r="F881" s="6">
        <v>45917</v>
      </c>
      <c r="G881" s="6" t="str">
        <f>TEXT(F881, "MMM-YY")</f>
        <v>Sep-25</v>
      </c>
      <c r="H881" t="s">
        <v>1362</v>
      </c>
      <c r="I881" s="25">
        <v>98.35</v>
      </c>
      <c r="J881" s="4">
        <v>12000</v>
      </c>
      <c r="K881" t="s">
        <v>911</v>
      </c>
      <c r="L881" s="4" t="str">
        <f>VLOOKUP(K881, 'Items Master'!A:E,5,0)</f>
        <v>BCPL</v>
      </c>
      <c r="M881" s="4" t="str">
        <f>VLOOKUP(K881, 'Items Master'!A:D,4,0)</f>
        <v>LLDPE</v>
      </c>
      <c r="N881" s="4" t="s">
        <v>49</v>
      </c>
      <c r="Q881" s="6">
        <f t="shared" si="31"/>
        <v>45917</v>
      </c>
      <c r="R881" s="6" t="str">
        <f t="shared" si="30"/>
        <v>Sep-25</v>
      </c>
      <c r="AN881" s="9">
        <f t="shared" si="28"/>
        <v>0</v>
      </c>
      <c r="AP881" s="9">
        <f>I881-W881-X881-AN881</f>
        <v>98.35</v>
      </c>
    </row>
    <row r="882" spans="1:43" x14ac:dyDescent="0.3">
      <c r="A882" s="11">
        <f t="shared" si="29"/>
        <v>880</v>
      </c>
      <c r="B882" s="5" t="s">
        <v>1675</v>
      </c>
      <c r="C882" t="s">
        <v>893</v>
      </c>
      <c r="D882" t="s">
        <v>864</v>
      </c>
      <c r="E882" s="24" t="str">
        <f>IFERROR(VLOOKUP(D882,Dropdown!A:B,2,0),D882)</f>
        <v>SVP</v>
      </c>
      <c r="F882" s="6">
        <v>45917</v>
      </c>
      <c r="G882" s="6" t="str">
        <f>TEXT(F882, "MMM-YY")</f>
        <v>Sep-25</v>
      </c>
      <c r="H882" t="s">
        <v>1363</v>
      </c>
      <c r="I882" s="25">
        <v>94.3</v>
      </c>
      <c r="J882" s="4">
        <v>2500</v>
      </c>
      <c r="K882" t="s">
        <v>1012</v>
      </c>
      <c r="L882" s="4" t="str">
        <f>VLOOKUP(K882, 'Items Master'!A:E,5,0)</f>
        <v>HMEL</v>
      </c>
      <c r="M882" s="4" t="str">
        <f>VLOOKUP(K882, 'Items Master'!A:D,4,0)</f>
        <v>LLDPE</v>
      </c>
      <c r="N882" s="4" t="s">
        <v>49</v>
      </c>
      <c r="Q882" s="6">
        <f t="shared" si="31"/>
        <v>45917</v>
      </c>
      <c r="R882" s="6" t="str">
        <f t="shared" si="30"/>
        <v>Sep-25</v>
      </c>
      <c r="X882" s="25">
        <v>97.4</v>
      </c>
      <c r="Y882" s="25" t="s">
        <v>1303</v>
      </c>
      <c r="Z882" s="25" t="s">
        <v>1305</v>
      </c>
      <c r="AB882" s="8">
        <v>-1.1000000000000001</v>
      </c>
      <c r="AC882" s="8">
        <v>-1</v>
      </c>
      <c r="AE882" s="8">
        <v>-1</v>
      </c>
      <c r="AN882" s="9">
        <f t="shared" si="28"/>
        <v>-3.1</v>
      </c>
      <c r="AP882" s="9">
        <f>I882-W882-X882-AN882</f>
        <v>-8.4376949871511897E-15</v>
      </c>
      <c r="AQ882" t="s">
        <v>1316</v>
      </c>
    </row>
    <row r="883" spans="1:43" x14ac:dyDescent="0.3">
      <c r="A883" s="11">
        <f t="shared" si="29"/>
        <v>881</v>
      </c>
      <c r="B883" s="5" t="s">
        <v>1675</v>
      </c>
      <c r="C883" t="s">
        <v>893</v>
      </c>
      <c r="D883" t="s">
        <v>864</v>
      </c>
      <c r="E883" s="24" t="str">
        <f>IFERROR(VLOOKUP(D883,Dropdown!A:B,2,0),D883)</f>
        <v>SVP</v>
      </c>
      <c r="F883" s="6">
        <v>45917</v>
      </c>
      <c r="G883" s="6" t="str">
        <f>TEXT(F883, "MMM-YY")</f>
        <v>Sep-25</v>
      </c>
      <c r="H883" t="s">
        <v>1364</v>
      </c>
      <c r="I883" s="25">
        <v>94.3</v>
      </c>
      <c r="J883" s="4">
        <v>2500</v>
      </c>
      <c r="K883" t="s">
        <v>1012</v>
      </c>
      <c r="L883" s="4" t="str">
        <f>VLOOKUP(K883, 'Items Master'!A:E,5,0)</f>
        <v>HMEL</v>
      </c>
      <c r="M883" s="4" t="str">
        <f>VLOOKUP(K883, 'Items Master'!A:D,4,0)</f>
        <v>LLDPE</v>
      </c>
      <c r="N883" s="4" t="s">
        <v>49</v>
      </c>
      <c r="Q883" s="6">
        <f t="shared" si="31"/>
        <v>45917</v>
      </c>
      <c r="R883" s="6" t="str">
        <f t="shared" si="30"/>
        <v>Sep-25</v>
      </c>
      <c r="X883" s="25">
        <v>97.4</v>
      </c>
      <c r="Y883" s="25" t="s">
        <v>1303</v>
      </c>
      <c r="Z883" s="25" t="s">
        <v>1305</v>
      </c>
      <c r="AB883" s="8">
        <v>-1.1000000000000001</v>
      </c>
      <c r="AC883" s="8">
        <v>-1</v>
      </c>
      <c r="AE883" s="8">
        <v>-1</v>
      </c>
      <c r="AN883" s="9">
        <f t="shared" si="28"/>
        <v>-3.1</v>
      </c>
      <c r="AP883" s="9">
        <f>I883-W883-X883-AN883</f>
        <v>-8.4376949871511897E-15</v>
      </c>
      <c r="AQ883" t="s">
        <v>1316</v>
      </c>
    </row>
    <row r="884" spans="1:43" x14ac:dyDescent="0.3">
      <c r="A884" s="11">
        <f t="shared" si="29"/>
        <v>882</v>
      </c>
      <c r="B884" s="5" t="s">
        <v>1675</v>
      </c>
      <c r="C884" t="s">
        <v>893</v>
      </c>
      <c r="D884" t="s">
        <v>857</v>
      </c>
      <c r="E884" s="24" t="str">
        <f>IFERROR(VLOOKUP(D884,Dropdown!A:B,2,0),D884)</f>
        <v>Purav</v>
      </c>
      <c r="F884" s="6">
        <v>45917</v>
      </c>
      <c r="G884" s="6" t="str">
        <f>TEXT(F884, "MMM-YY")</f>
        <v>Sep-25</v>
      </c>
      <c r="H884" t="s">
        <v>1365</v>
      </c>
      <c r="I884" s="25">
        <v>96</v>
      </c>
      <c r="J884" s="4">
        <v>8000</v>
      </c>
      <c r="K884" t="s">
        <v>17</v>
      </c>
      <c r="L884" s="4" t="str">
        <f>VLOOKUP(K884, 'Items Master'!A:E,5,0)</f>
        <v>OPAL</v>
      </c>
      <c r="M884" s="4" t="str">
        <f>VLOOKUP(K884, 'Items Master'!A:D,4,0)</f>
        <v>LLDPE</v>
      </c>
      <c r="N884" t="s">
        <v>49</v>
      </c>
      <c r="Q884" s="6">
        <f t="shared" si="31"/>
        <v>45917</v>
      </c>
      <c r="R884" s="6" t="str">
        <f t="shared" si="30"/>
        <v>Sep-25</v>
      </c>
      <c r="T884" t="s">
        <v>21</v>
      </c>
      <c r="U884" t="s">
        <v>1605</v>
      </c>
      <c r="X884" s="25">
        <v>96.8</v>
      </c>
      <c r="Y884" s="25" t="s">
        <v>1303</v>
      </c>
      <c r="Z884" s="25" t="s">
        <v>1306</v>
      </c>
      <c r="AB884" s="8">
        <v>-0.9</v>
      </c>
      <c r="AH884" s="8">
        <v>0.1</v>
      </c>
      <c r="AN884" s="9">
        <f t="shared" si="28"/>
        <v>-0.8</v>
      </c>
      <c r="AP884" s="9">
        <f>I884-W884-X884-AN884</f>
        <v>2.886579864025407E-15</v>
      </c>
      <c r="AQ884" t="s">
        <v>1316</v>
      </c>
    </row>
    <row r="885" spans="1:43" x14ac:dyDescent="0.3">
      <c r="A885" s="11">
        <f t="shared" si="29"/>
        <v>883</v>
      </c>
      <c r="B885" s="5" t="s">
        <v>1675</v>
      </c>
      <c r="C885" t="s">
        <v>893</v>
      </c>
      <c r="D885" t="s">
        <v>857</v>
      </c>
      <c r="E885" s="24" t="str">
        <f>IFERROR(VLOOKUP(D885,Dropdown!A:B,2,0),D885)</f>
        <v>Purav</v>
      </c>
      <c r="F885" s="6">
        <v>45917</v>
      </c>
      <c r="G885" s="6" t="str">
        <f>TEXT(F885, "MMM-YY")</f>
        <v>Sep-25</v>
      </c>
      <c r="H885" t="s">
        <v>1365</v>
      </c>
      <c r="I885" s="25">
        <v>96</v>
      </c>
      <c r="J885" s="4">
        <v>5000</v>
      </c>
      <c r="K885" t="s">
        <v>17</v>
      </c>
      <c r="L885" s="4" t="str">
        <f>VLOOKUP(K885, 'Items Master'!A:E,5,0)</f>
        <v>OPAL</v>
      </c>
      <c r="M885" s="4" t="str">
        <f>VLOOKUP(K885, 'Items Master'!A:D,4,0)</f>
        <v>LLDPE</v>
      </c>
      <c r="N885" t="s">
        <v>49</v>
      </c>
      <c r="Q885" s="6">
        <f t="shared" si="31"/>
        <v>45917</v>
      </c>
      <c r="R885" s="6" t="str">
        <f t="shared" si="30"/>
        <v>Sep-25</v>
      </c>
      <c r="T885" t="s">
        <v>21</v>
      </c>
      <c r="U885" t="s">
        <v>1605</v>
      </c>
      <c r="X885" s="25">
        <v>96.8</v>
      </c>
      <c r="Y885" s="25" t="s">
        <v>1303</v>
      </c>
      <c r="Z885" s="25" t="s">
        <v>1306</v>
      </c>
      <c r="AB885" s="8">
        <v>-0.9</v>
      </c>
      <c r="AH885" s="8">
        <v>0.1</v>
      </c>
      <c r="AN885" s="9">
        <f t="shared" si="28"/>
        <v>-0.8</v>
      </c>
      <c r="AP885" s="9">
        <f>I885-W885-X885-AN885</f>
        <v>2.886579864025407E-15</v>
      </c>
      <c r="AQ885" t="s">
        <v>1316</v>
      </c>
    </row>
    <row r="886" spans="1:43" x14ac:dyDescent="0.3">
      <c r="A886" s="11">
        <f t="shared" si="29"/>
        <v>884</v>
      </c>
      <c r="B886" s="5" t="s">
        <v>1675</v>
      </c>
      <c r="C886" t="s">
        <v>893</v>
      </c>
      <c r="D886" t="s">
        <v>864</v>
      </c>
      <c r="E886" s="24" t="str">
        <f>IFERROR(VLOOKUP(D886,Dropdown!A:B,2,0),D886)</f>
        <v>SVP</v>
      </c>
      <c r="F886" s="6">
        <v>45918</v>
      </c>
      <c r="G886" s="6" t="str">
        <f>TEXT(F886, "MMM-YY")</f>
        <v>Sep-25</v>
      </c>
      <c r="H886" t="s">
        <v>1366</v>
      </c>
      <c r="I886" s="25">
        <v>94.3</v>
      </c>
      <c r="J886" s="4">
        <v>2500</v>
      </c>
      <c r="K886" t="s">
        <v>1012</v>
      </c>
      <c r="L886" s="4" t="str">
        <f>VLOOKUP(K886, 'Items Master'!A:E,5,0)</f>
        <v>HMEL</v>
      </c>
      <c r="M886" s="4" t="str">
        <f>VLOOKUP(K886, 'Items Master'!A:D,4,0)</f>
        <v>LLDPE</v>
      </c>
      <c r="N886" s="4" t="s">
        <v>49</v>
      </c>
      <c r="Q886" s="6">
        <f t="shared" si="31"/>
        <v>45918</v>
      </c>
      <c r="R886" s="6" t="str">
        <f t="shared" si="30"/>
        <v>Sep-25</v>
      </c>
      <c r="X886" s="25">
        <v>97.4</v>
      </c>
      <c r="Y886" s="25" t="s">
        <v>1303</v>
      </c>
      <c r="Z886" s="25" t="s">
        <v>1305</v>
      </c>
      <c r="AB886" s="8">
        <v>-1.1000000000000001</v>
      </c>
      <c r="AC886" s="8">
        <v>-1</v>
      </c>
      <c r="AE886" s="8">
        <v>-1</v>
      </c>
      <c r="AN886" s="9">
        <f t="shared" si="28"/>
        <v>-3.1</v>
      </c>
      <c r="AP886" s="9">
        <f>I886-W886-X886-AN886</f>
        <v>-8.4376949871511897E-15</v>
      </c>
      <c r="AQ886" t="s">
        <v>1316</v>
      </c>
    </row>
    <row r="887" spans="1:43" x14ac:dyDescent="0.3">
      <c r="A887" s="11">
        <f t="shared" si="29"/>
        <v>885</v>
      </c>
      <c r="B887" s="5" t="s">
        <v>1675</v>
      </c>
      <c r="C887" t="s">
        <v>893</v>
      </c>
      <c r="D887" t="s">
        <v>48</v>
      </c>
      <c r="E887" s="24" t="str">
        <f>IFERROR(VLOOKUP(D887,Dropdown!A:B,2,0),D887)</f>
        <v>CVPL</v>
      </c>
      <c r="F887" s="6">
        <v>45918</v>
      </c>
      <c r="G887" s="6" t="str">
        <f>TEXT(F887, "MMM-YY")</f>
        <v>Sep-25</v>
      </c>
      <c r="H887" t="s">
        <v>1367</v>
      </c>
      <c r="I887" s="25">
        <v>93.3</v>
      </c>
      <c r="J887" s="4">
        <v>2500</v>
      </c>
      <c r="K887" t="s">
        <v>899</v>
      </c>
      <c r="L887" s="4" t="str">
        <f>VLOOKUP(K887, 'Items Master'!A:E,5,0)</f>
        <v>MRPL</v>
      </c>
      <c r="M887" s="4" t="str">
        <f>VLOOKUP(K887, 'Items Master'!A:D,4,0)</f>
        <v>PP</v>
      </c>
      <c r="N887" s="4" t="s">
        <v>49</v>
      </c>
      <c r="Q887" s="6">
        <f t="shared" si="31"/>
        <v>45918</v>
      </c>
      <c r="R887" s="6" t="str">
        <f t="shared" si="30"/>
        <v>Sep-25</v>
      </c>
      <c r="AN887" s="9">
        <f t="shared" si="28"/>
        <v>0</v>
      </c>
      <c r="AP887" s="9">
        <f>I887-W887-X887-AN887</f>
        <v>93.3</v>
      </c>
    </row>
    <row r="888" spans="1:43" x14ac:dyDescent="0.3">
      <c r="A888" s="11">
        <f t="shared" si="29"/>
        <v>886</v>
      </c>
      <c r="B888" s="5" t="s">
        <v>1675</v>
      </c>
      <c r="C888" t="s">
        <v>893</v>
      </c>
      <c r="D888" t="s">
        <v>824</v>
      </c>
      <c r="E888" s="24" t="str">
        <f>IFERROR(VLOOKUP(D888,Dropdown!A:B,2,0),D888)</f>
        <v>Paragon</v>
      </c>
      <c r="F888" s="6">
        <v>45918</v>
      </c>
      <c r="G888" s="6" t="str">
        <f>TEXT(F888, "MMM-YY")</f>
        <v>Sep-25</v>
      </c>
      <c r="H888" t="s">
        <v>1368</v>
      </c>
      <c r="I888" s="25">
        <v>98.39</v>
      </c>
      <c r="J888" s="4">
        <v>2750</v>
      </c>
      <c r="K888" t="s">
        <v>925</v>
      </c>
      <c r="L888" s="4" t="str">
        <f>VLOOKUP(K888, 'Items Master'!A:E,5,0)</f>
        <v>RIL</v>
      </c>
      <c r="M888" s="4" t="str">
        <f>VLOOKUP(K888, 'Items Master'!A:D,4,0)</f>
        <v>PP ICP</v>
      </c>
      <c r="N888" s="4" t="s">
        <v>49</v>
      </c>
      <c r="Q888" s="6">
        <f t="shared" si="31"/>
        <v>45918</v>
      </c>
      <c r="R888" s="6" t="str">
        <f t="shared" si="30"/>
        <v>Sep-25</v>
      </c>
      <c r="AN888" s="9">
        <f t="shared" si="28"/>
        <v>0</v>
      </c>
      <c r="AP888" s="9">
        <f>I888-W888-X888-AN888</f>
        <v>98.39</v>
      </c>
    </row>
    <row r="889" spans="1:43" x14ac:dyDescent="0.3">
      <c r="A889" s="11">
        <f t="shared" si="29"/>
        <v>887</v>
      </c>
      <c r="B889" s="5" t="s">
        <v>1675</v>
      </c>
      <c r="C889" t="s">
        <v>893</v>
      </c>
      <c r="D889" t="s">
        <v>857</v>
      </c>
      <c r="E889" s="24" t="str">
        <f>IFERROR(VLOOKUP(D889,Dropdown!A:B,2,0),D889)</f>
        <v>Purav</v>
      </c>
      <c r="F889" s="6">
        <v>45918</v>
      </c>
      <c r="G889" s="6" t="str">
        <f>TEXT(F889, "MMM-YY")</f>
        <v>Sep-25</v>
      </c>
      <c r="H889" t="s">
        <v>1370</v>
      </c>
      <c r="I889" s="25">
        <v>96.95</v>
      </c>
      <c r="J889" s="4">
        <v>8000</v>
      </c>
      <c r="K889" t="s">
        <v>896</v>
      </c>
      <c r="L889" s="4" t="str">
        <f>VLOOKUP(K889, 'Items Master'!A:E,5,0)</f>
        <v>OPAL</v>
      </c>
      <c r="M889" s="4" t="str">
        <f>VLOOKUP(K889, 'Items Master'!A:D,4,0)</f>
        <v>HDPE</v>
      </c>
      <c r="N889" t="s">
        <v>49</v>
      </c>
      <c r="Q889" s="6">
        <f t="shared" si="31"/>
        <v>45918</v>
      </c>
      <c r="R889" s="6" t="str">
        <f t="shared" si="30"/>
        <v>Sep-25</v>
      </c>
      <c r="T889" t="s">
        <v>21</v>
      </c>
      <c r="U889" t="s">
        <v>1605</v>
      </c>
      <c r="X889" s="25">
        <v>97.75</v>
      </c>
      <c r="Y889" s="25" t="s">
        <v>1303</v>
      </c>
      <c r="Z889" s="25" t="s">
        <v>1306</v>
      </c>
      <c r="AB889" s="8">
        <v>-0.9</v>
      </c>
      <c r="AH889" s="8">
        <v>0.1</v>
      </c>
      <c r="AN889" s="9">
        <f t="shared" si="28"/>
        <v>-0.8</v>
      </c>
      <c r="AP889" s="9">
        <f>I889-W889-X889-AN889</f>
        <v>2.886579864025407E-15</v>
      </c>
      <c r="AQ889" t="s">
        <v>1316</v>
      </c>
    </row>
    <row r="890" spans="1:43" x14ac:dyDescent="0.3">
      <c r="A890" s="11">
        <f t="shared" si="29"/>
        <v>888</v>
      </c>
      <c r="B890" s="5" t="s">
        <v>1675</v>
      </c>
      <c r="C890" t="s">
        <v>893</v>
      </c>
      <c r="D890" t="s">
        <v>857</v>
      </c>
      <c r="E890" s="24" t="str">
        <f>IFERROR(VLOOKUP(D890,Dropdown!A:B,2,0),D890)</f>
        <v>Purav</v>
      </c>
      <c r="F890" s="6">
        <v>45918</v>
      </c>
      <c r="G890" s="6" t="str">
        <f>TEXT(F890, "MMM-YY")</f>
        <v>Sep-25</v>
      </c>
      <c r="H890" t="s">
        <v>1370</v>
      </c>
      <c r="I890" s="25">
        <v>96.95</v>
      </c>
      <c r="J890" s="4">
        <v>5000</v>
      </c>
      <c r="K890" t="s">
        <v>896</v>
      </c>
      <c r="L890" s="4" t="str">
        <f>VLOOKUP(K890, 'Items Master'!A:E,5,0)</f>
        <v>OPAL</v>
      </c>
      <c r="M890" s="4" t="str">
        <f>VLOOKUP(K890, 'Items Master'!A:D,4,0)</f>
        <v>HDPE</v>
      </c>
      <c r="N890" t="s">
        <v>49</v>
      </c>
      <c r="Q890" s="6">
        <f t="shared" si="31"/>
        <v>45918</v>
      </c>
      <c r="R890" s="6" t="str">
        <f t="shared" si="30"/>
        <v>Sep-25</v>
      </c>
      <c r="T890" t="s">
        <v>21</v>
      </c>
      <c r="U890" t="s">
        <v>1605</v>
      </c>
      <c r="X890" s="25">
        <v>97.75</v>
      </c>
      <c r="Y890" s="25" t="s">
        <v>1303</v>
      </c>
      <c r="Z890" s="25" t="s">
        <v>1306</v>
      </c>
      <c r="AB890" s="8">
        <v>-0.9</v>
      </c>
      <c r="AH890" s="8">
        <v>0.1</v>
      </c>
      <c r="AN890" s="9">
        <f t="shared" si="28"/>
        <v>-0.8</v>
      </c>
      <c r="AP890" s="9">
        <f>I890-W890-X890-AN890</f>
        <v>2.886579864025407E-15</v>
      </c>
      <c r="AQ890" t="s">
        <v>1316</v>
      </c>
    </row>
    <row r="891" spans="1:43" x14ac:dyDescent="0.3">
      <c r="A891" s="11">
        <f t="shared" si="29"/>
        <v>889</v>
      </c>
      <c r="B891" s="5" t="s">
        <v>1675</v>
      </c>
      <c r="C891" t="s">
        <v>893</v>
      </c>
      <c r="D891" t="s">
        <v>864</v>
      </c>
      <c r="E891" s="24" t="str">
        <f>IFERROR(VLOOKUP(D891,Dropdown!A:B,2,0),D891)</f>
        <v>SVP</v>
      </c>
      <c r="F891" s="6">
        <v>45918</v>
      </c>
      <c r="G891" s="6" t="str">
        <f>TEXT(F891, "MMM-YY")</f>
        <v>Sep-25</v>
      </c>
      <c r="H891" t="s">
        <v>1548</v>
      </c>
      <c r="I891" s="25">
        <v>94.25</v>
      </c>
      <c r="J891" s="4">
        <v>5000</v>
      </c>
      <c r="K891" t="s">
        <v>975</v>
      </c>
      <c r="L891" s="4" t="str">
        <f>VLOOKUP(K891, 'Items Master'!A:E,5,0)</f>
        <v>HMEL</v>
      </c>
      <c r="M891" s="4" t="str">
        <f>VLOOKUP(K891, 'Items Master'!A:D,4,0)</f>
        <v>LLDPE</v>
      </c>
      <c r="N891" s="4" t="s">
        <v>49</v>
      </c>
      <c r="Q891" s="6">
        <f t="shared" si="31"/>
        <v>45918</v>
      </c>
      <c r="R891" s="6" t="str">
        <f t="shared" si="30"/>
        <v>Sep-25</v>
      </c>
      <c r="X891" s="25">
        <v>96.35</v>
      </c>
      <c r="Y891" s="25" t="s">
        <v>1303</v>
      </c>
      <c r="Z891" s="25" t="s">
        <v>1307</v>
      </c>
      <c r="AB891" s="8">
        <v>-1.1000000000000001</v>
      </c>
      <c r="AC891" s="8">
        <v>-1</v>
      </c>
      <c r="AN891" s="9">
        <f t="shared" si="28"/>
        <v>-2.1</v>
      </c>
      <c r="AP891" s="9">
        <f>I891-W891-X891-AN891</f>
        <v>5.773159728050814E-15</v>
      </c>
      <c r="AQ891" t="s">
        <v>1316</v>
      </c>
    </row>
    <row r="892" spans="1:43" x14ac:dyDescent="0.3">
      <c r="A892" s="11">
        <f t="shared" si="29"/>
        <v>890</v>
      </c>
      <c r="B892" s="5" t="s">
        <v>1675</v>
      </c>
      <c r="C892" t="s">
        <v>893</v>
      </c>
      <c r="D892" t="s">
        <v>864</v>
      </c>
      <c r="E892" s="24" t="str">
        <f>IFERROR(VLOOKUP(D892,Dropdown!A:B,2,0),D892)</f>
        <v>SVP</v>
      </c>
      <c r="F892" s="6">
        <v>45918</v>
      </c>
      <c r="G892" s="6" t="str">
        <f>TEXT(F892, "MMM-YY")</f>
        <v>Sep-25</v>
      </c>
      <c r="H892" t="s">
        <v>1548</v>
      </c>
      <c r="I892" s="25">
        <v>93.25</v>
      </c>
      <c r="J892" s="4">
        <v>5000</v>
      </c>
      <c r="K892" t="s">
        <v>1012</v>
      </c>
      <c r="L892" s="4" t="str">
        <f>VLOOKUP(K892, 'Items Master'!A:E,5,0)</f>
        <v>HMEL</v>
      </c>
      <c r="M892" s="4" t="str">
        <f>VLOOKUP(K892, 'Items Master'!A:D,4,0)</f>
        <v>LLDPE</v>
      </c>
      <c r="N892" s="4" t="s">
        <v>49</v>
      </c>
      <c r="Q892" s="6">
        <f t="shared" si="31"/>
        <v>45918</v>
      </c>
      <c r="R892" s="6" t="str">
        <f t="shared" si="30"/>
        <v>Sep-25</v>
      </c>
      <c r="X892" s="25">
        <v>96.35</v>
      </c>
      <c r="Y892" s="25" t="s">
        <v>1303</v>
      </c>
      <c r="Z892" s="25" t="s">
        <v>1307</v>
      </c>
      <c r="AB892" s="8">
        <v>-1.1000000000000001</v>
      </c>
      <c r="AC892" s="8">
        <v>-1</v>
      </c>
      <c r="AE892" s="8">
        <v>-1</v>
      </c>
      <c r="AN892" s="9">
        <f t="shared" si="28"/>
        <v>-3.1</v>
      </c>
      <c r="AP892" s="9">
        <f>I892-W892-X892-AN892</f>
        <v>5.773159728050814E-15</v>
      </c>
      <c r="AQ892" t="s">
        <v>1316</v>
      </c>
    </row>
    <row r="893" spans="1:43" x14ac:dyDescent="0.3">
      <c r="A893" s="11">
        <f t="shared" si="29"/>
        <v>891</v>
      </c>
      <c r="B893" s="5" t="s">
        <v>1675</v>
      </c>
      <c r="C893" t="s">
        <v>893</v>
      </c>
      <c r="D893" t="s">
        <v>48</v>
      </c>
      <c r="E893" s="24" t="str">
        <f>IFERROR(VLOOKUP(D893,Dropdown!A:B,2,0),D893)</f>
        <v>CVPL</v>
      </c>
      <c r="F893" s="6">
        <v>45918</v>
      </c>
      <c r="G893" s="6" t="str">
        <f>TEXT(F893, "MMM-YY")</f>
        <v>Sep-25</v>
      </c>
      <c r="H893" t="s">
        <v>1549</v>
      </c>
      <c r="I893" s="25">
        <v>94.95</v>
      </c>
      <c r="J893" s="4">
        <v>10000</v>
      </c>
      <c r="K893" t="s">
        <v>901</v>
      </c>
      <c r="L893" s="4" t="str">
        <f>VLOOKUP(K893, 'Items Master'!A:E,5,0)</f>
        <v>MRPL</v>
      </c>
      <c r="M893" s="4" t="str">
        <f>VLOOKUP(K893, 'Items Master'!A:D,4,0)</f>
        <v>PP</v>
      </c>
      <c r="N893" s="4" t="s">
        <v>49</v>
      </c>
      <c r="Q893" s="6">
        <f t="shared" si="31"/>
        <v>45918</v>
      </c>
      <c r="R893" s="6" t="str">
        <f t="shared" si="30"/>
        <v>Sep-25</v>
      </c>
      <c r="AN893" s="9">
        <f t="shared" si="28"/>
        <v>0</v>
      </c>
      <c r="AP893" s="9">
        <f>I893-W893-X893-AN893</f>
        <v>94.95</v>
      </c>
    </row>
    <row r="894" spans="1:43" x14ac:dyDescent="0.3">
      <c r="A894" s="11">
        <f t="shared" si="29"/>
        <v>892</v>
      </c>
      <c r="B894" s="5" t="s">
        <v>1675</v>
      </c>
      <c r="C894" t="s">
        <v>894</v>
      </c>
      <c r="D894" t="s">
        <v>837</v>
      </c>
      <c r="E894" s="24" t="str">
        <f>IFERROR(VLOOKUP(D894,Dropdown!A:B,2,0),D894)</f>
        <v>SYNTHETIC PACKERS LIMITED</v>
      </c>
      <c r="F894" s="6">
        <v>45919</v>
      </c>
      <c r="G894" s="6" t="str">
        <f>TEXT(F894, "MMM-YY")</f>
        <v>Sep-25</v>
      </c>
      <c r="H894" t="s">
        <v>1369</v>
      </c>
      <c r="I894" s="25">
        <v>90.5</v>
      </c>
      <c r="J894" s="4">
        <v>6000</v>
      </c>
      <c r="K894" t="s">
        <v>982</v>
      </c>
      <c r="L894" s="4" t="str">
        <f>VLOOKUP(K894, 'Items Master'!A:E,5,0)</f>
        <v>SABIC</v>
      </c>
      <c r="M894" s="4" t="str">
        <f>VLOOKUP(K894, 'Items Master'!A:D,4,0)</f>
        <v>HDPE</v>
      </c>
      <c r="N894" t="s">
        <v>24</v>
      </c>
      <c r="Q894" s="6">
        <f t="shared" si="31"/>
        <v>45919</v>
      </c>
      <c r="R894" s="6" t="str">
        <f t="shared" si="30"/>
        <v>Sep-25</v>
      </c>
      <c r="W894" s="25">
        <f t="shared" ref="W894:W895" si="33">I894</f>
        <v>90.5</v>
      </c>
      <c r="AN894" s="9">
        <f t="shared" si="28"/>
        <v>0</v>
      </c>
      <c r="AP894" s="9">
        <f>I894-W894-X894-AN894</f>
        <v>0</v>
      </c>
      <c r="AQ894" t="s">
        <v>1316</v>
      </c>
    </row>
    <row r="895" spans="1:43" x14ac:dyDescent="0.3">
      <c r="A895" s="11">
        <f t="shared" si="29"/>
        <v>893</v>
      </c>
      <c r="B895" s="5" t="s">
        <v>1675</v>
      </c>
      <c r="C895" t="s">
        <v>894</v>
      </c>
      <c r="D895" t="s">
        <v>837</v>
      </c>
      <c r="E895" s="24" t="str">
        <f>IFERROR(VLOOKUP(D895,Dropdown!A:B,2,0),D895)</f>
        <v>SYNTHETIC PACKERS LIMITED</v>
      </c>
      <c r="F895" s="6">
        <v>45919</v>
      </c>
      <c r="G895" s="6" t="str">
        <f>TEXT(F895, "MMM-YY")</f>
        <v>Sep-25</v>
      </c>
      <c r="H895" t="s">
        <v>1369</v>
      </c>
      <c r="I895" s="25">
        <v>90.5</v>
      </c>
      <c r="J895" s="4">
        <v>6000</v>
      </c>
      <c r="K895" t="s">
        <v>982</v>
      </c>
      <c r="L895" s="4" t="str">
        <f>VLOOKUP(K895, 'Items Master'!A:E,5,0)</f>
        <v>SABIC</v>
      </c>
      <c r="M895" s="4" t="str">
        <f>VLOOKUP(K895, 'Items Master'!A:D,4,0)</f>
        <v>HDPE</v>
      </c>
      <c r="N895" t="s">
        <v>24</v>
      </c>
      <c r="Q895" s="6">
        <f t="shared" si="31"/>
        <v>45919</v>
      </c>
      <c r="R895" s="6" t="str">
        <f t="shared" si="30"/>
        <v>Sep-25</v>
      </c>
      <c r="W895" s="25">
        <f t="shared" si="33"/>
        <v>90.5</v>
      </c>
      <c r="AN895" s="9">
        <f t="shared" si="28"/>
        <v>0</v>
      </c>
      <c r="AP895" s="9">
        <f>I895-W895-X895-AN895</f>
        <v>0</v>
      </c>
      <c r="AQ895" t="s">
        <v>1316</v>
      </c>
    </row>
    <row r="896" spans="1:43" x14ac:dyDescent="0.3">
      <c r="A896" s="11">
        <f t="shared" si="29"/>
        <v>894</v>
      </c>
      <c r="B896" s="5" t="s">
        <v>1675</v>
      </c>
      <c r="C896" t="s">
        <v>893</v>
      </c>
      <c r="D896" t="s">
        <v>824</v>
      </c>
      <c r="E896" s="24" t="str">
        <f>IFERROR(VLOOKUP(D896,Dropdown!A:B,2,0),D896)</f>
        <v>Paragon</v>
      </c>
      <c r="F896" s="6">
        <v>45919</v>
      </c>
      <c r="G896" s="6" t="str">
        <f>TEXT(F896, "MMM-YY")</f>
        <v>Sep-25</v>
      </c>
      <c r="H896" t="s">
        <v>1371</v>
      </c>
      <c r="I896" s="25">
        <v>98</v>
      </c>
      <c r="J896" s="4">
        <v>1000</v>
      </c>
      <c r="K896" t="s">
        <v>974</v>
      </c>
      <c r="L896" s="4" t="str">
        <f>VLOOKUP(K896, 'Items Master'!A:E,5,0)</f>
        <v>GAIL</v>
      </c>
      <c r="M896" s="4" t="str">
        <f>VLOOKUP(K896, 'Items Master'!A:D,4,0)</f>
        <v>LLDPE</v>
      </c>
      <c r="N896" t="s">
        <v>49</v>
      </c>
      <c r="Q896" s="6">
        <f t="shared" si="31"/>
        <v>45919</v>
      </c>
      <c r="R896" s="6" t="str">
        <f t="shared" si="30"/>
        <v>Sep-25</v>
      </c>
      <c r="AN896" s="9">
        <f t="shared" si="28"/>
        <v>0</v>
      </c>
      <c r="AP896" s="9">
        <f>I896-W896-X896-AN896</f>
        <v>98</v>
      </c>
    </row>
    <row r="897" spans="1:43" x14ac:dyDescent="0.3">
      <c r="A897" s="11">
        <f t="shared" si="29"/>
        <v>895</v>
      </c>
      <c r="B897" s="5" t="s">
        <v>1675</v>
      </c>
      <c r="C897" t="s">
        <v>893</v>
      </c>
      <c r="D897" t="s">
        <v>864</v>
      </c>
      <c r="E897" s="24" t="str">
        <f>IFERROR(VLOOKUP(D897,Dropdown!A:B,2,0),D897)</f>
        <v>SVP</v>
      </c>
      <c r="F897" s="6">
        <v>45919</v>
      </c>
      <c r="G897" s="6" t="str">
        <f>TEXT(F897, "MMM-YY")</f>
        <v>Sep-25</v>
      </c>
      <c r="H897" t="s">
        <v>1372</v>
      </c>
      <c r="I897" s="25">
        <v>95.31</v>
      </c>
      <c r="J897" s="4">
        <v>2750</v>
      </c>
      <c r="K897" t="s">
        <v>975</v>
      </c>
      <c r="L897" s="4" t="str">
        <f>VLOOKUP(K897, 'Items Master'!A:E,5,0)</f>
        <v>HMEL</v>
      </c>
      <c r="M897" s="4" t="str">
        <f>VLOOKUP(K897, 'Items Master'!A:D,4,0)</f>
        <v>LLDPE</v>
      </c>
      <c r="N897" t="s">
        <v>49</v>
      </c>
      <c r="Q897" s="6">
        <f t="shared" si="31"/>
        <v>45919</v>
      </c>
      <c r="R897" s="6" t="str">
        <f t="shared" si="30"/>
        <v>Sep-25</v>
      </c>
      <c r="X897" s="25">
        <v>97.41</v>
      </c>
      <c r="Y897" s="25" t="s">
        <v>1303</v>
      </c>
      <c r="Z897" s="25" t="s">
        <v>1305</v>
      </c>
      <c r="AB897" s="8">
        <v>-1.1000000000000001</v>
      </c>
      <c r="AC897" s="8">
        <v>-1</v>
      </c>
      <c r="AN897" s="9">
        <f t="shared" si="28"/>
        <v>-2.1</v>
      </c>
      <c r="AP897" s="9">
        <f>I897-W897-X897-AN897</f>
        <v>5.773159728050814E-15</v>
      </c>
      <c r="AQ897" t="s">
        <v>1316</v>
      </c>
    </row>
    <row r="898" spans="1:43" x14ac:dyDescent="0.3">
      <c r="A898" s="11">
        <f t="shared" si="29"/>
        <v>896</v>
      </c>
      <c r="B898" s="5" t="s">
        <v>1675</v>
      </c>
      <c r="C898" t="s">
        <v>893</v>
      </c>
      <c r="D898" t="s">
        <v>864</v>
      </c>
      <c r="E898" s="24" t="str">
        <f>IFERROR(VLOOKUP(D898,Dropdown!A:B,2,0),D898)</f>
        <v>SVP</v>
      </c>
      <c r="F898" s="6">
        <v>45919</v>
      </c>
      <c r="G898" s="6" t="str">
        <f>TEXT(F898, "MMM-YY")</f>
        <v>Sep-25</v>
      </c>
      <c r="H898" t="s">
        <v>1373</v>
      </c>
      <c r="I898" s="25">
        <v>94.3</v>
      </c>
      <c r="J898" s="4">
        <v>8000</v>
      </c>
      <c r="K898" t="s">
        <v>1012</v>
      </c>
      <c r="L898" s="4" t="str">
        <f>VLOOKUP(K898, 'Items Master'!A:E,5,0)</f>
        <v>HMEL</v>
      </c>
      <c r="M898" s="4" t="str">
        <f>VLOOKUP(K898, 'Items Master'!A:D,4,0)</f>
        <v>LLDPE</v>
      </c>
      <c r="N898" t="s">
        <v>49</v>
      </c>
      <c r="Q898" s="6">
        <f t="shared" si="31"/>
        <v>45919</v>
      </c>
      <c r="R898" s="6" t="str">
        <f t="shared" si="30"/>
        <v>Sep-25</v>
      </c>
      <c r="X898" s="25">
        <v>97.4</v>
      </c>
      <c r="Y898" s="25" t="s">
        <v>1303</v>
      </c>
      <c r="Z898" s="25" t="s">
        <v>1305</v>
      </c>
      <c r="AB898" s="8">
        <v>-1.1000000000000001</v>
      </c>
      <c r="AC898" s="8">
        <v>-1</v>
      </c>
      <c r="AE898" s="8">
        <v>-1</v>
      </c>
      <c r="AN898" s="9">
        <f t="shared" si="28"/>
        <v>-3.1</v>
      </c>
      <c r="AP898" s="9">
        <f>I898-W898-X898-AN898</f>
        <v>-8.4376949871511897E-15</v>
      </c>
      <c r="AQ898" t="s">
        <v>1316</v>
      </c>
    </row>
    <row r="899" spans="1:43" x14ac:dyDescent="0.3">
      <c r="A899" s="11">
        <f t="shared" si="29"/>
        <v>897</v>
      </c>
      <c r="B899" s="5" t="s">
        <v>1675</v>
      </c>
      <c r="C899" t="s">
        <v>893</v>
      </c>
      <c r="D899" t="s">
        <v>864</v>
      </c>
      <c r="E899" s="24" t="str">
        <f>IFERROR(VLOOKUP(D899,Dropdown!A:B,2,0),D899)</f>
        <v>SVP</v>
      </c>
      <c r="F899" s="6">
        <v>45919</v>
      </c>
      <c r="G899" s="6" t="str">
        <f>TEXT(F899, "MMM-YY")</f>
        <v>Sep-25</v>
      </c>
      <c r="H899" t="s">
        <v>1373</v>
      </c>
      <c r="I899" s="25">
        <v>94.3</v>
      </c>
      <c r="J899" s="4">
        <v>2000</v>
      </c>
      <c r="K899" t="s">
        <v>1012</v>
      </c>
      <c r="L899" s="4" t="str">
        <f>VLOOKUP(K899, 'Items Master'!A:E,5,0)</f>
        <v>HMEL</v>
      </c>
      <c r="M899" s="4" t="str">
        <f>VLOOKUP(K899, 'Items Master'!A:D,4,0)</f>
        <v>LLDPE</v>
      </c>
      <c r="N899" t="s">
        <v>49</v>
      </c>
      <c r="Q899" s="6">
        <f t="shared" si="31"/>
        <v>45919</v>
      </c>
      <c r="R899" s="6" t="str">
        <f t="shared" si="30"/>
        <v>Sep-25</v>
      </c>
      <c r="X899" s="25">
        <v>97.4</v>
      </c>
      <c r="Y899" s="25" t="s">
        <v>1303</v>
      </c>
      <c r="Z899" s="25" t="s">
        <v>1305</v>
      </c>
      <c r="AB899" s="8">
        <v>-1.1000000000000001</v>
      </c>
      <c r="AC899" s="8">
        <v>-1</v>
      </c>
      <c r="AE899" s="8">
        <v>-1</v>
      </c>
      <c r="AN899" s="9">
        <f t="shared" si="28"/>
        <v>-3.1</v>
      </c>
      <c r="AP899" s="9">
        <f>I899-W899-X899-AN899</f>
        <v>-8.4376949871511897E-15</v>
      </c>
      <c r="AQ899" t="s">
        <v>1316</v>
      </c>
    </row>
    <row r="900" spans="1:43" x14ac:dyDescent="0.3">
      <c r="A900" s="11">
        <f t="shared" si="29"/>
        <v>898</v>
      </c>
      <c r="B900" s="5" t="s">
        <v>1675</v>
      </c>
      <c r="C900" t="s">
        <v>893</v>
      </c>
      <c r="D900" t="s">
        <v>48</v>
      </c>
      <c r="E900" s="24" t="str">
        <f>IFERROR(VLOOKUP(D900,Dropdown!A:B,2,0),D900)</f>
        <v>CVPL</v>
      </c>
      <c r="F900" s="6">
        <v>45919</v>
      </c>
      <c r="G900" s="6" t="str">
        <f>TEXT(F900, "MMM-YY")</f>
        <v>Sep-25</v>
      </c>
      <c r="H900" t="s">
        <v>1374</v>
      </c>
      <c r="I900" s="25">
        <v>97.57</v>
      </c>
      <c r="J900" s="4">
        <v>2500</v>
      </c>
      <c r="K900" t="s">
        <v>903</v>
      </c>
      <c r="L900" s="4" t="str">
        <f>VLOOKUP(K900, 'Items Master'!A:E,5,0)</f>
        <v>GAIL</v>
      </c>
      <c r="M900" s="4" t="str">
        <f>VLOOKUP(K900, 'Items Master'!A:D,4,0)</f>
        <v>LLDPE</v>
      </c>
      <c r="N900" t="s">
        <v>49</v>
      </c>
      <c r="Q900" s="6">
        <f t="shared" si="31"/>
        <v>45919</v>
      </c>
      <c r="R900" s="6" t="str">
        <f t="shared" si="30"/>
        <v>Sep-25</v>
      </c>
      <c r="AN900" s="9">
        <f t="shared" si="28"/>
        <v>0</v>
      </c>
      <c r="AP900" s="9">
        <f>I900-W900-X900-AN900</f>
        <v>97.57</v>
      </c>
    </row>
    <row r="901" spans="1:43" x14ac:dyDescent="0.3">
      <c r="A901" s="11">
        <f t="shared" si="29"/>
        <v>899</v>
      </c>
      <c r="B901" s="5" t="s">
        <v>1675</v>
      </c>
      <c r="C901" t="s">
        <v>893</v>
      </c>
      <c r="D901" t="s">
        <v>48</v>
      </c>
      <c r="E901" s="24" t="str">
        <f>IFERROR(VLOOKUP(D901,Dropdown!A:B,2,0),D901)</f>
        <v>CVPL</v>
      </c>
      <c r="F901" s="6">
        <v>45919</v>
      </c>
      <c r="G901" s="6" t="str">
        <f>TEXT(F901, "MMM-YY")</f>
        <v>Sep-25</v>
      </c>
      <c r="H901" t="s">
        <v>1374</v>
      </c>
      <c r="I901" s="25">
        <v>97.57</v>
      </c>
      <c r="J901" s="4">
        <v>7500</v>
      </c>
      <c r="K901" t="s">
        <v>903</v>
      </c>
      <c r="L901" s="4" t="str">
        <f>VLOOKUP(K901, 'Items Master'!A:E,5,0)</f>
        <v>GAIL</v>
      </c>
      <c r="M901" s="4" t="str">
        <f>VLOOKUP(K901, 'Items Master'!A:D,4,0)</f>
        <v>LLDPE</v>
      </c>
      <c r="N901" t="s">
        <v>49</v>
      </c>
      <c r="Q901" s="6">
        <f t="shared" si="31"/>
        <v>45919</v>
      </c>
      <c r="R901" s="6" t="str">
        <f t="shared" si="30"/>
        <v>Sep-25</v>
      </c>
      <c r="AN901" s="9">
        <f t="shared" ref="AN901:AN964" si="34">SUM(AB901:AM901)</f>
        <v>0</v>
      </c>
      <c r="AP901" s="9">
        <f>I901-W901-X901-AN901</f>
        <v>97.57</v>
      </c>
    </row>
    <row r="902" spans="1:43" x14ac:dyDescent="0.3">
      <c r="A902" s="11">
        <f t="shared" si="29"/>
        <v>900</v>
      </c>
      <c r="B902" s="5" t="s">
        <v>1675</v>
      </c>
      <c r="C902" t="s">
        <v>894</v>
      </c>
      <c r="D902" t="s">
        <v>857</v>
      </c>
      <c r="E902" s="24" t="str">
        <f>IFERROR(VLOOKUP(D902,Dropdown!A:B,2,0),D902)</f>
        <v>Purav</v>
      </c>
      <c r="F902" s="6">
        <v>45920</v>
      </c>
      <c r="G902" s="6" t="str">
        <f>TEXT(F902, "MMM-YY")</f>
        <v>Sep-25</v>
      </c>
      <c r="H902" t="s">
        <v>1375</v>
      </c>
      <c r="I902" s="25">
        <v>96.95</v>
      </c>
      <c r="J902" s="4">
        <v>3000</v>
      </c>
      <c r="K902" t="s">
        <v>896</v>
      </c>
      <c r="L902" s="4" t="str">
        <f>VLOOKUP(K902, 'Items Master'!A:E,5,0)</f>
        <v>OPAL</v>
      </c>
      <c r="M902" s="4" t="str">
        <f>VLOOKUP(K902, 'Items Master'!A:D,4,0)</f>
        <v>HDPE</v>
      </c>
      <c r="N902" t="s">
        <v>49</v>
      </c>
      <c r="Q902" s="6">
        <f t="shared" si="31"/>
        <v>45920</v>
      </c>
      <c r="R902" s="6" t="str">
        <f t="shared" si="30"/>
        <v>Sep-25</v>
      </c>
      <c r="T902" t="s">
        <v>21</v>
      </c>
      <c r="U902" t="s">
        <v>1605</v>
      </c>
      <c r="X902" s="25">
        <v>97.75</v>
      </c>
      <c r="Y902" s="25" t="s">
        <v>1303</v>
      </c>
      <c r="Z902" s="25" t="s">
        <v>1306</v>
      </c>
      <c r="AB902" s="8">
        <v>-0.9</v>
      </c>
      <c r="AH902" s="8">
        <v>0.1</v>
      </c>
      <c r="AN902" s="9">
        <f t="shared" si="34"/>
        <v>-0.8</v>
      </c>
      <c r="AP902" s="9">
        <f>I902-W902-X902-AN902</f>
        <v>2.886579864025407E-15</v>
      </c>
      <c r="AQ902" t="s">
        <v>1316</v>
      </c>
    </row>
    <row r="903" spans="1:43" x14ac:dyDescent="0.3">
      <c r="A903" s="11">
        <f t="shared" si="29"/>
        <v>901</v>
      </c>
      <c r="B903" s="5" t="s">
        <v>1675</v>
      </c>
      <c r="C903" t="s">
        <v>893</v>
      </c>
      <c r="D903" t="s">
        <v>890</v>
      </c>
      <c r="E903" s="24" t="str">
        <f>IFERROR(VLOOKUP(D903,Dropdown!A:B,2,0),D903)</f>
        <v>MADHU PLASTICS (P)LTD</v>
      </c>
      <c r="F903" s="6">
        <v>45920</v>
      </c>
      <c r="G903" s="6" t="str">
        <f>TEXT(F903, "MMM-YY")</f>
        <v>Sep-25</v>
      </c>
      <c r="H903" t="s">
        <v>1376</v>
      </c>
      <c r="I903" s="25">
        <v>88.5</v>
      </c>
      <c r="J903" s="4">
        <v>2200</v>
      </c>
      <c r="K903" t="s">
        <v>1016</v>
      </c>
      <c r="L903" s="4" t="str">
        <f>VLOOKUP(K903, 'Items Master'!A:E,5,0)</f>
        <v>WANKAI</v>
      </c>
      <c r="M903" s="4" t="str">
        <f>VLOOKUP(K903, 'Items Master'!A:D,4,0)</f>
        <v>PET</v>
      </c>
      <c r="N903" t="s">
        <v>24</v>
      </c>
      <c r="Q903" s="6">
        <f t="shared" si="31"/>
        <v>45920</v>
      </c>
      <c r="R903" s="6" t="str">
        <f t="shared" si="30"/>
        <v>Sep-25</v>
      </c>
      <c r="W903" s="25">
        <f>I903</f>
        <v>88.5</v>
      </c>
      <c r="AN903" s="9">
        <f t="shared" si="34"/>
        <v>0</v>
      </c>
      <c r="AP903" s="9">
        <f>I903-W903-X903-AN903</f>
        <v>0</v>
      </c>
      <c r="AQ903" t="s">
        <v>1316</v>
      </c>
    </row>
    <row r="904" spans="1:43" x14ac:dyDescent="0.3">
      <c r="A904" s="11">
        <f t="shared" ref="A904:A967" si="35">A903+1</f>
        <v>902</v>
      </c>
      <c r="B904" s="5" t="s">
        <v>1675</v>
      </c>
      <c r="C904" t="s">
        <v>893</v>
      </c>
      <c r="D904" t="s">
        <v>864</v>
      </c>
      <c r="E904" s="24" t="str">
        <f>IFERROR(VLOOKUP(D904,Dropdown!A:B,2,0),D904)</f>
        <v>SVP</v>
      </c>
      <c r="F904" s="6">
        <v>45920</v>
      </c>
      <c r="G904" s="6" t="str">
        <f>TEXT(F904, "MMM-YY")</f>
        <v>Sep-25</v>
      </c>
      <c r="H904" t="s">
        <v>1377</v>
      </c>
      <c r="I904" s="25">
        <v>95.31</v>
      </c>
      <c r="J904" s="4">
        <v>2000</v>
      </c>
      <c r="K904" t="s">
        <v>975</v>
      </c>
      <c r="L904" s="4" t="str">
        <f>VLOOKUP(K904, 'Items Master'!A:E,5,0)</f>
        <v>HMEL</v>
      </c>
      <c r="M904" s="4" t="str">
        <f>VLOOKUP(K904, 'Items Master'!A:D,4,0)</f>
        <v>LLDPE</v>
      </c>
      <c r="N904" t="s">
        <v>49</v>
      </c>
      <c r="Q904" s="6">
        <f t="shared" si="31"/>
        <v>45920</v>
      </c>
      <c r="R904" s="6" t="str">
        <f t="shared" si="30"/>
        <v>Sep-25</v>
      </c>
      <c r="X904" s="25">
        <v>97.41</v>
      </c>
      <c r="Y904" s="25" t="s">
        <v>1303</v>
      </c>
      <c r="Z904" s="25" t="s">
        <v>1305</v>
      </c>
      <c r="AB904" s="8">
        <v>-1.1000000000000001</v>
      </c>
      <c r="AC904" s="8">
        <v>-1</v>
      </c>
      <c r="AN904" s="9">
        <f t="shared" si="34"/>
        <v>-2.1</v>
      </c>
      <c r="AP904" s="9">
        <f>I904-W904-X904-AN904</f>
        <v>5.773159728050814E-15</v>
      </c>
      <c r="AQ904" t="s">
        <v>1316</v>
      </c>
    </row>
    <row r="905" spans="1:43" x14ac:dyDescent="0.3">
      <c r="A905" s="11">
        <f t="shared" si="35"/>
        <v>903</v>
      </c>
      <c r="B905" s="5" t="s">
        <v>1675</v>
      </c>
      <c r="C905" t="s">
        <v>893</v>
      </c>
      <c r="D905" t="s">
        <v>864</v>
      </c>
      <c r="E905" s="24" t="str">
        <f>IFERROR(VLOOKUP(D905,Dropdown!A:B,2,0),D905)</f>
        <v>SVP</v>
      </c>
      <c r="F905" s="6">
        <v>45920</v>
      </c>
      <c r="G905" s="6" t="str">
        <f>TEXT(F905, "MMM-YY")</f>
        <v>Sep-25</v>
      </c>
      <c r="H905" t="s">
        <v>1377</v>
      </c>
      <c r="I905" s="25">
        <v>95.31</v>
      </c>
      <c r="J905" s="4">
        <v>7000</v>
      </c>
      <c r="K905" t="s">
        <v>914</v>
      </c>
      <c r="L905" s="4" t="str">
        <f>VLOOKUP(K905, 'Items Master'!A:E,5,0)</f>
        <v>HMEL</v>
      </c>
      <c r="M905" s="4" t="str">
        <f>VLOOKUP(K905, 'Items Master'!A:D,4,0)</f>
        <v>LLDPE</v>
      </c>
      <c r="N905" t="s">
        <v>49</v>
      </c>
      <c r="Q905" s="6">
        <f t="shared" si="31"/>
        <v>45920</v>
      </c>
      <c r="R905" s="6" t="str">
        <f t="shared" si="30"/>
        <v>Sep-25</v>
      </c>
      <c r="X905" s="25">
        <v>97.41</v>
      </c>
      <c r="Y905" s="25" t="s">
        <v>1303</v>
      </c>
      <c r="Z905" s="25" t="s">
        <v>1305</v>
      </c>
      <c r="AB905" s="8">
        <v>-1.1000000000000001</v>
      </c>
      <c r="AC905" s="8">
        <v>-1</v>
      </c>
      <c r="AN905" s="9">
        <f t="shared" si="34"/>
        <v>-2.1</v>
      </c>
      <c r="AP905" s="9">
        <f>I905-W905-X905-AN905</f>
        <v>5.773159728050814E-15</v>
      </c>
      <c r="AQ905" t="s">
        <v>1316</v>
      </c>
    </row>
    <row r="906" spans="1:43" x14ac:dyDescent="0.3">
      <c r="A906" s="11">
        <f t="shared" si="35"/>
        <v>904</v>
      </c>
      <c r="B906" s="5" t="s">
        <v>1675</v>
      </c>
      <c r="C906" t="s">
        <v>893</v>
      </c>
      <c r="D906" t="s">
        <v>824</v>
      </c>
      <c r="E906" s="24" t="str">
        <f>IFERROR(VLOOKUP(D906,Dropdown!A:B,2,0),D906)</f>
        <v>Paragon</v>
      </c>
      <c r="F906" s="6">
        <v>45920</v>
      </c>
      <c r="G906" s="6" t="str">
        <f>TEXT(F906, "MMM-YY")</f>
        <v>Sep-25</v>
      </c>
      <c r="H906" t="s">
        <v>1378</v>
      </c>
      <c r="I906" s="25">
        <v>98.39</v>
      </c>
      <c r="J906" s="4">
        <v>1500</v>
      </c>
      <c r="K906" t="s">
        <v>925</v>
      </c>
      <c r="L906" s="4" t="str">
        <f>VLOOKUP(K906, 'Items Master'!A:E,5,0)</f>
        <v>RIL</v>
      </c>
      <c r="M906" s="4" t="str">
        <f>VLOOKUP(K906, 'Items Master'!A:D,4,0)</f>
        <v>PP ICP</v>
      </c>
      <c r="N906" t="s">
        <v>49</v>
      </c>
      <c r="Q906" s="6">
        <f t="shared" si="31"/>
        <v>45920</v>
      </c>
      <c r="R906" s="6" t="str">
        <f t="shared" si="30"/>
        <v>Sep-25</v>
      </c>
      <c r="AN906" s="9">
        <f t="shared" si="34"/>
        <v>0</v>
      </c>
      <c r="AP906" s="9">
        <f>I906-W906-X906-AN906</f>
        <v>98.39</v>
      </c>
    </row>
    <row r="907" spans="1:43" x14ac:dyDescent="0.3">
      <c r="A907" s="11">
        <f t="shared" si="35"/>
        <v>905</v>
      </c>
      <c r="B907" s="5" t="s">
        <v>1675</v>
      </c>
      <c r="C907" t="s">
        <v>893</v>
      </c>
      <c r="D907" t="s">
        <v>824</v>
      </c>
      <c r="E907" s="24" t="str">
        <f>IFERROR(VLOOKUP(D907,Dropdown!A:B,2,0),D907)</f>
        <v>Paragon</v>
      </c>
      <c r="F907" s="6">
        <v>45920</v>
      </c>
      <c r="G907" s="6" t="str">
        <f>TEXT(F907, "MMM-YY")</f>
        <v>Sep-25</v>
      </c>
      <c r="H907" t="s">
        <v>1379</v>
      </c>
      <c r="I907" s="25">
        <v>94.1</v>
      </c>
      <c r="J907" s="4">
        <v>1000</v>
      </c>
      <c r="K907" t="s">
        <v>910</v>
      </c>
      <c r="L907" s="4" t="str">
        <f>VLOOKUP(K907, 'Items Master'!A:E,5,0)</f>
        <v>RIL</v>
      </c>
      <c r="M907" s="4" t="str">
        <f>VLOOKUP(K907, 'Items Master'!A:D,4,0)</f>
        <v>PP</v>
      </c>
      <c r="N907" t="s">
        <v>49</v>
      </c>
      <c r="Q907" s="6">
        <f t="shared" si="31"/>
        <v>45920</v>
      </c>
      <c r="R907" s="6" t="str">
        <f t="shared" si="30"/>
        <v>Sep-25</v>
      </c>
      <c r="AN907" s="9">
        <f t="shared" si="34"/>
        <v>0</v>
      </c>
      <c r="AP907" s="9">
        <f>I907-W907-X907-AN907</f>
        <v>94.1</v>
      </c>
    </row>
    <row r="908" spans="1:43" x14ac:dyDescent="0.3">
      <c r="A908" s="11">
        <f t="shared" si="35"/>
        <v>906</v>
      </c>
      <c r="B908" s="5" t="s">
        <v>1675</v>
      </c>
      <c r="C908" t="s">
        <v>893</v>
      </c>
      <c r="D908" t="s">
        <v>866</v>
      </c>
      <c r="E908" s="24" t="str">
        <f>IFERROR(VLOOKUP(D908,Dropdown!A:B,2,0),D908)</f>
        <v>KLENE PAKS LIMITED</v>
      </c>
      <c r="F908" s="6">
        <v>45920</v>
      </c>
      <c r="G908" s="6" t="str">
        <f>TEXT(F908, "MMM-YY")</f>
        <v>Sep-25</v>
      </c>
      <c r="H908" t="s">
        <v>1380</v>
      </c>
      <c r="I908" s="25">
        <v>89.5</v>
      </c>
      <c r="J908" s="4">
        <v>5000</v>
      </c>
      <c r="K908" t="s">
        <v>899</v>
      </c>
      <c r="L908" s="4" t="str">
        <f>VLOOKUP(K908, 'Items Master'!A:E,5,0)</f>
        <v>MRPL</v>
      </c>
      <c r="M908" s="4" t="str">
        <f>VLOOKUP(K908, 'Items Master'!A:D,4,0)</f>
        <v>PP</v>
      </c>
      <c r="N908" t="s">
        <v>1325</v>
      </c>
      <c r="O908" t="s">
        <v>1546</v>
      </c>
      <c r="Q908" s="6">
        <f t="shared" si="31"/>
        <v>45920</v>
      </c>
      <c r="R908" s="6" t="str">
        <f t="shared" si="30"/>
        <v>Sep-25</v>
      </c>
      <c r="T908" t="s">
        <v>21</v>
      </c>
      <c r="W908" s="25">
        <v>89.5</v>
      </c>
      <c r="AN908" s="9">
        <f t="shared" si="34"/>
        <v>0</v>
      </c>
      <c r="AP908" s="9">
        <f>I908-W908-X908-AN908</f>
        <v>0</v>
      </c>
      <c r="AQ908" t="s">
        <v>1316</v>
      </c>
    </row>
    <row r="909" spans="1:43" x14ac:dyDescent="0.3">
      <c r="A909" s="11">
        <f t="shared" si="35"/>
        <v>907</v>
      </c>
      <c r="B909" s="5" t="s">
        <v>1675</v>
      </c>
      <c r="C909" t="s">
        <v>893</v>
      </c>
      <c r="D909" t="s">
        <v>866</v>
      </c>
      <c r="E909" s="24" t="str">
        <f>IFERROR(VLOOKUP(D909,Dropdown!A:B,2,0),D909)</f>
        <v>KLENE PAKS LIMITED</v>
      </c>
      <c r="F909" s="6">
        <v>45920</v>
      </c>
      <c r="G909" s="6" t="str">
        <f>TEXT(F909, "MMM-YY")</f>
        <v>Sep-25</v>
      </c>
      <c r="H909" t="s">
        <v>1380</v>
      </c>
      <c r="I909" s="25">
        <v>89.5</v>
      </c>
      <c r="J909" s="4">
        <v>5000</v>
      </c>
      <c r="K909" t="s">
        <v>899</v>
      </c>
      <c r="L909" s="4" t="str">
        <f>VLOOKUP(K909, 'Items Master'!A:E,5,0)</f>
        <v>MRPL</v>
      </c>
      <c r="M909" s="4" t="str">
        <f>VLOOKUP(K909, 'Items Master'!A:D,4,0)</f>
        <v>PP</v>
      </c>
      <c r="N909" t="s">
        <v>1325</v>
      </c>
      <c r="O909" t="s">
        <v>1546</v>
      </c>
      <c r="Q909" s="6">
        <f t="shared" si="31"/>
        <v>45920</v>
      </c>
      <c r="R909" s="6" t="str">
        <f t="shared" si="30"/>
        <v>Sep-25</v>
      </c>
      <c r="T909" t="s">
        <v>21</v>
      </c>
      <c r="W909" s="25">
        <v>89.5</v>
      </c>
      <c r="AN909" s="9">
        <f t="shared" si="34"/>
        <v>0</v>
      </c>
      <c r="AP909" s="9">
        <f>I909-W909-X909-AN909</f>
        <v>0</v>
      </c>
      <c r="AQ909" t="s">
        <v>1316</v>
      </c>
    </row>
    <row r="910" spans="1:43" x14ac:dyDescent="0.3">
      <c r="A910" s="11">
        <f t="shared" si="35"/>
        <v>908</v>
      </c>
      <c r="B910" s="5" t="s">
        <v>1675</v>
      </c>
      <c r="C910" t="s">
        <v>893</v>
      </c>
      <c r="D910" t="s">
        <v>48</v>
      </c>
      <c r="E910" s="24" t="str">
        <f>IFERROR(VLOOKUP(D910,Dropdown!A:B,2,0),D910)</f>
        <v>CVPL</v>
      </c>
      <c r="F910" s="6">
        <v>45920</v>
      </c>
      <c r="G910" s="6" t="str">
        <f>TEXT(F910, "MMM-YY")</f>
        <v>Sep-25</v>
      </c>
      <c r="H910" t="s">
        <v>1381</v>
      </c>
      <c r="I910" s="25">
        <v>93.3</v>
      </c>
      <c r="J910" s="4">
        <v>2500</v>
      </c>
      <c r="K910" t="s">
        <v>899</v>
      </c>
      <c r="L910" s="4" t="str">
        <f>VLOOKUP(K910, 'Items Master'!A:E,5,0)</f>
        <v>MRPL</v>
      </c>
      <c r="M910" s="4" t="str">
        <f>VLOOKUP(K910, 'Items Master'!A:D,4,0)</f>
        <v>PP</v>
      </c>
      <c r="N910" t="s">
        <v>49</v>
      </c>
      <c r="Q910" s="6">
        <f t="shared" si="31"/>
        <v>45920</v>
      </c>
      <c r="R910" s="6" t="str">
        <f t="shared" si="30"/>
        <v>Sep-25</v>
      </c>
      <c r="AN910" s="9">
        <f t="shared" si="34"/>
        <v>0</v>
      </c>
      <c r="AP910" s="9">
        <f>I910-W910-X910-AN910</f>
        <v>93.3</v>
      </c>
    </row>
    <row r="911" spans="1:43" x14ac:dyDescent="0.3">
      <c r="A911" s="11">
        <f t="shared" si="35"/>
        <v>909</v>
      </c>
      <c r="B911" s="5" t="s">
        <v>1675</v>
      </c>
      <c r="C911" t="s">
        <v>893</v>
      </c>
      <c r="D911" t="s">
        <v>1353</v>
      </c>
      <c r="E911" s="24" t="str">
        <f>IFERROR(VLOOKUP(D911,Dropdown!A:B,2,0),D911)</f>
        <v>RUKMA PLASTICS</v>
      </c>
      <c r="F911" s="6">
        <v>45920</v>
      </c>
      <c r="G911" s="6" t="str">
        <f>TEXT(F911, "MMM-YY")</f>
        <v>Sep-25</v>
      </c>
      <c r="H911" t="s">
        <v>1550</v>
      </c>
      <c r="I911" s="25">
        <v>112</v>
      </c>
      <c r="J911" s="4">
        <v>1000</v>
      </c>
      <c r="K911" t="s">
        <v>1597</v>
      </c>
      <c r="L911" s="4" t="str">
        <f>VLOOKUP(K911, 'Items Master'!A:E,5,0)</f>
        <v>STYRENIX</v>
      </c>
      <c r="M911" s="4" t="str">
        <f>VLOOKUP(K911, 'Items Master'!A:D,4,0)</f>
        <v>GPPS</v>
      </c>
      <c r="N911" t="s">
        <v>24</v>
      </c>
      <c r="Q911" s="6">
        <f t="shared" si="31"/>
        <v>45920</v>
      </c>
      <c r="R911" s="6" t="str">
        <f t="shared" si="30"/>
        <v>Sep-25</v>
      </c>
      <c r="W911" s="25">
        <f t="shared" ref="W911:W913" si="36">I911</f>
        <v>112</v>
      </c>
      <c r="AN911" s="9">
        <f t="shared" si="34"/>
        <v>0</v>
      </c>
      <c r="AP911" s="9">
        <f>I911-W911-X911-AN911</f>
        <v>0</v>
      </c>
      <c r="AQ911" t="s">
        <v>1316</v>
      </c>
    </row>
    <row r="912" spans="1:43" x14ac:dyDescent="0.3">
      <c r="A912" s="11">
        <f t="shared" si="35"/>
        <v>910</v>
      </c>
      <c r="B912" s="5" t="s">
        <v>1675</v>
      </c>
      <c r="C912" t="s">
        <v>894</v>
      </c>
      <c r="D912" t="s">
        <v>869</v>
      </c>
      <c r="E912" s="24" t="str">
        <f>IFERROR(VLOOKUP(D912,Dropdown!A:B,2,0),D912)</f>
        <v>MARVEL POLYEXIM LLP</v>
      </c>
      <c r="F912" s="6">
        <v>45922</v>
      </c>
      <c r="G912" s="6" t="str">
        <f>TEXT(F912, "MMM-YY")</f>
        <v>Sep-25</v>
      </c>
      <c r="H912" t="s">
        <v>1382</v>
      </c>
      <c r="I912" s="25">
        <v>67</v>
      </c>
      <c r="J912" s="4">
        <v>10000</v>
      </c>
      <c r="K912" t="s">
        <v>1183</v>
      </c>
      <c r="L912" s="4" t="str">
        <f>VLOOKUP(K912, 'Items Master'!A:E,5,0)</f>
        <v>TAIYO</v>
      </c>
      <c r="M912" s="4" t="str">
        <f>VLOOKUP(K912, 'Items Master'!A:D,4,0)</f>
        <v>PVC</v>
      </c>
      <c r="N912" t="s">
        <v>24</v>
      </c>
      <c r="Q912" s="6">
        <f t="shared" si="31"/>
        <v>45922</v>
      </c>
      <c r="R912" s="6" t="str">
        <f t="shared" si="30"/>
        <v>Sep-25</v>
      </c>
      <c r="W912" s="25">
        <f t="shared" si="36"/>
        <v>67</v>
      </c>
      <c r="AN912" s="9">
        <f t="shared" si="34"/>
        <v>0</v>
      </c>
      <c r="AP912" s="9">
        <f>I912-W912-X912-AN912</f>
        <v>0</v>
      </c>
      <c r="AQ912" t="s">
        <v>1316</v>
      </c>
    </row>
    <row r="913" spans="1:43" x14ac:dyDescent="0.3">
      <c r="A913" s="11">
        <f t="shared" si="35"/>
        <v>911</v>
      </c>
      <c r="B913" s="5" t="s">
        <v>1675</v>
      </c>
      <c r="C913" t="s">
        <v>894</v>
      </c>
      <c r="D913" t="s">
        <v>869</v>
      </c>
      <c r="E913" s="24" t="str">
        <f>IFERROR(VLOOKUP(D913,Dropdown!A:B,2,0),D913)</f>
        <v>MARVEL POLYEXIM LLP</v>
      </c>
      <c r="F913" s="6">
        <v>45922</v>
      </c>
      <c r="G913" s="6" t="str">
        <f>TEXT(F913, "MMM-YY")</f>
        <v>Sep-25</v>
      </c>
      <c r="H913" t="s">
        <v>1382</v>
      </c>
      <c r="I913" s="25">
        <v>67</v>
      </c>
      <c r="J913" s="4">
        <v>7000</v>
      </c>
      <c r="K913" t="s">
        <v>1183</v>
      </c>
      <c r="L913" s="4" t="str">
        <f>VLOOKUP(K913, 'Items Master'!A:E,5,0)</f>
        <v>TAIYO</v>
      </c>
      <c r="M913" s="4" t="str">
        <f>VLOOKUP(K913, 'Items Master'!A:D,4,0)</f>
        <v>PVC</v>
      </c>
      <c r="N913" t="s">
        <v>24</v>
      </c>
      <c r="Q913" s="6">
        <f t="shared" si="31"/>
        <v>45922</v>
      </c>
      <c r="R913" s="6" t="str">
        <f t="shared" si="30"/>
        <v>Sep-25</v>
      </c>
      <c r="W913" s="25">
        <f t="shared" si="36"/>
        <v>67</v>
      </c>
      <c r="AN913" s="9">
        <f t="shared" si="34"/>
        <v>0</v>
      </c>
      <c r="AP913" s="9">
        <f>I913-W913-X913-AN913</f>
        <v>0</v>
      </c>
      <c r="AQ913" t="s">
        <v>1316</v>
      </c>
    </row>
    <row r="914" spans="1:43" x14ac:dyDescent="0.3">
      <c r="A914" s="11">
        <f t="shared" si="35"/>
        <v>912</v>
      </c>
      <c r="B914" s="5" t="s">
        <v>1675</v>
      </c>
      <c r="C914" t="s">
        <v>894</v>
      </c>
      <c r="D914" t="s">
        <v>857</v>
      </c>
      <c r="E914" s="24" t="str">
        <f>IFERROR(VLOOKUP(D914,Dropdown!A:B,2,0),D914)</f>
        <v>Purav</v>
      </c>
      <c r="F914" s="6">
        <v>45922</v>
      </c>
      <c r="G914" s="6" t="str">
        <f>TEXT(F914, "MMM-YY")</f>
        <v>Sep-25</v>
      </c>
      <c r="H914" t="s">
        <v>1383</v>
      </c>
      <c r="I914" s="25">
        <v>96.95</v>
      </c>
      <c r="J914" s="4">
        <v>6000</v>
      </c>
      <c r="K914" t="s">
        <v>896</v>
      </c>
      <c r="L914" s="4" t="str">
        <f>VLOOKUP(K914, 'Items Master'!A:E,5,0)</f>
        <v>OPAL</v>
      </c>
      <c r="M914" s="4" t="str">
        <f>VLOOKUP(K914, 'Items Master'!A:D,4,0)</f>
        <v>HDPE</v>
      </c>
      <c r="N914" t="s">
        <v>49</v>
      </c>
      <c r="Q914" s="6">
        <f t="shared" si="31"/>
        <v>45922</v>
      </c>
      <c r="R914" s="6" t="str">
        <f t="shared" si="30"/>
        <v>Sep-25</v>
      </c>
      <c r="T914" t="s">
        <v>21</v>
      </c>
      <c r="U914" t="s">
        <v>1605</v>
      </c>
      <c r="X914" s="25">
        <v>97.75</v>
      </c>
      <c r="Y914" s="25" t="s">
        <v>1303</v>
      </c>
      <c r="Z914" s="25" t="s">
        <v>1306</v>
      </c>
      <c r="AB914" s="8">
        <v>-0.9</v>
      </c>
      <c r="AH914" s="8">
        <v>0.1</v>
      </c>
      <c r="AN914" s="9">
        <f t="shared" si="34"/>
        <v>-0.8</v>
      </c>
      <c r="AP914" s="9">
        <f>I914-W914-X914-AN914</f>
        <v>2.886579864025407E-15</v>
      </c>
      <c r="AQ914" t="s">
        <v>1316</v>
      </c>
    </row>
    <row r="915" spans="1:43" x14ac:dyDescent="0.3">
      <c r="A915" s="11">
        <f t="shared" si="35"/>
        <v>913</v>
      </c>
      <c r="B915" s="5" t="s">
        <v>1675</v>
      </c>
      <c r="C915" t="s">
        <v>893</v>
      </c>
      <c r="D915" t="s">
        <v>890</v>
      </c>
      <c r="E915" s="24" t="str">
        <f>IFERROR(VLOOKUP(D915,Dropdown!A:B,2,0),D915)</f>
        <v>MADHU PLASTICS (P)LTD</v>
      </c>
      <c r="F915" s="6">
        <v>45922</v>
      </c>
      <c r="G915" s="6" t="str">
        <f>TEXT(F915, "MMM-YY")</f>
        <v>Sep-25</v>
      </c>
      <c r="H915" t="s">
        <v>1384</v>
      </c>
      <c r="I915" s="25">
        <v>88.5</v>
      </c>
      <c r="J915" s="4">
        <v>1100</v>
      </c>
      <c r="K915" t="s">
        <v>1016</v>
      </c>
      <c r="L915" s="4" t="str">
        <f>VLOOKUP(K915, 'Items Master'!A:E,5,0)</f>
        <v>WANKAI</v>
      </c>
      <c r="M915" s="4" t="str">
        <f>VLOOKUP(K915, 'Items Master'!A:D,4,0)</f>
        <v>PET</v>
      </c>
      <c r="N915" t="s">
        <v>24</v>
      </c>
      <c r="Q915" s="6">
        <f t="shared" si="31"/>
        <v>45922</v>
      </c>
      <c r="R915" s="6" t="str">
        <f t="shared" si="30"/>
        <v>Sep-25</v>
      </c>
      <c r="W915" s="25">
        <f t="shared" ref="W915:W916" si="37">I915</f>
        <v>88.5</v>
      </c>
      <c r="AN915" s="9">
        <f t="shared" si="34"/>
        <v>0</v>
      </c>
      <c r="AP915" s="9">
        <f>I915-W915-X915-AN915</f>
        <v>0</v>
      </c>
      <c r="AQ915" t="s">
        <v>1316</v>
      </c>
    </row>
    <row r="916" spans="1:43" x14ac:dyDescent="0.3">
      <c r="A916" s="11">
        <f t="shared" si="35"/>
        <v>914</v>
      </c>
      <c r="B916" s="5" t="s">
        <v>1675</v>
      </c>
      <c r="C916" t="s">
        <v>893</v>
      </c>
      <c r="D916" t="s">
        <v>886</v>
      </c>
      <c r="E916" s="24" t="str">
        <f>IFERROR(VLOOKUP(D916,Dropdown!A:B,2,0),D916)</f>
        <v>PARASHAVANATH FILAMENTS</v>
      </c>
      <c r="F916" s="6">
        <v>45922</v>
      </c>
      <c r="G916" s="6" t="str">
        <f>TEXT(F916, "MMM-YY")</f>
        <v>Sep-25</v>
      </c>
      <c r="H916" t="s">
        <v>1385</v>
      </c>
      <c r="I916" s="25">
        <v>85</v>
      </c>
      <c r="J916" s="4">
        <v>50</v>
      </c>
      <c r="K916" t="s">
        <v>1538</v>
      </c>
      <c r="L916" s="4" t="str">
        <f>VLOOKUP(K916, 'Items Master'!A:E,5,0)</f>
        <v>OPAL</v>
      </c>
      <c r="M916" s="4" t="str">
        <f>VLOOKUP(K916, 'Items Master'!A:D,4,0)</f>
        <v>PPHP</v>
      </c>
      <c r="N916" t="s">
        <v>24</v>
      </c>
      <c r="Q916" s="6">
        <f t="shared" si="31"/>
        <v>45922</v>
      </c>
      <c r="R916" s="6" t="str">
        <f t="shared" si="30"/>
        <v>Sep-25</v>
      </c>
      <c r="W916" s="25">
        <f t="shared" si="37"/>
        <v>85</v>
      </c>
      <c r="AN916" s="9">
        <f t="shared" si="34"/>
        <v>0</v>
      </c>
      <c r="AP916" s="9">
        <f>I916-W916-X916-AN916</f>
        <v>0</v>
      </c>
      <c r="AQ916" t="s">
        <v>1316</v>
      </c>
    </row>
    <row r="917" spans="1:43" x14ac:dyDescent="0.3">
      <c r="A917" s="11">
        <f t="shared" si="35"/>
        <v>915</v>
      </c>
      <c r="B917" s="5" t="s">
        <v>1675</v>
      </c>
      <c r="C917" t="s">
        <v>893</v>
      </c>
      <c r="D917" t="s">
        <v>872</v>
      </c>
      <c r="E917" s="24" t="str">
        <f>IFERROR(VLOOKUP(D917,Dropdown!A:B,2,0),D917)</f>
        <v>Value</v>
      </c>
      <c r="F917" s="6">
        <v>45922</v>
      </c>
      <c r="G917" s="6" t="str">
        <f>TEXT(F917, "MMM-YY")</f>
        <v>Sep-25</v>
      </c>
      <c r="H917" t="s">
        <v>1386</v>
      </c>
      <c r="I917" s="25">
        <v>97.32</v>
      </c>
      <c r="J917" s="4">
        <v>2500</v>
      </c>
      <c r="K917" t="s">
        <v>17</v>
      </c>
      <c r="L917" s="4" t="str">
        <f>VLOOKUP(K917, 'Items Master'!A:E,5,0)</f>
        <v>OPAL</v>
      </c>
      <c r="M917" s="4" t="str">
        <f>VLOOKUP(K917, 'Items Master'!A:D,4,0)</f>
        <v>LLDPE</v>
      </c>
      <c r="N917" t="s">
        <v>24</v>
      </c>
      <c r="Q917" s="6">
        <f t="shared" si="31"/>
        <v>45922</v>
      </c>
      <c r="R917" s="6" t="str">
        <f t="shared" si="30"/>
        <v>Sep-25</v>
      </c>
      <c r="U917" t="s">
        <v>1606</v>
      </c>
      <c r="W917" s="25">
        <v>97.32</v>
      </c>
      <c r="AN917" s="9">
        <f t="shared" si="34"/>
        <v>0</v>
      </c>
      <c r="AP917" s="9">
        <f>I917-W917-X917-AN917</f>
        <v>0</v>
      </c>
      <c r="AQ917" t="s">
        <v>1316</v>
      </c>
    </row>
    <row r="918" spans="1:43" x14ac:dyDescent="0.3">
      <c r="A918" s="11">
        <f t="shared" si="35"/>
        <v>916</v>
      </c>
      <c r="B918" s="5" t="s">
        <v>1675</v>
      </c>
      <c r="C918" t="s">
        <v>893</v>
      </c>
      <c r="D918" t="s">
        <v>48</v>
      </c>
      <c r="E918" s="24" t="str">
        <f>IFERROR(VLOOKUP(D918,Dropdown!A:B,2,0),D918)</f>
        <v>CVPL</v>
      </c>
      <c r="F918" s="6">
        <v>45922</v>
      </c>
      <c r="G918" s="6" t="str">
        <f>TEXT(F918, "MMM-YY")</f>
        <v>Sep-25</v>
      </c>
      <c r="H918" t="s">
        <v>1387</v>
      </c>
      <c r="I918" s="25">
        <v>140.5</v>
      </c>
      <c r="J918" s="4">
        <v>150</v>
      </c>
      <c r="K918" t="s">
        <v>1108</v>
      </c>
      <c r="L918" s="4" t="str">
        <f>VLOOKUP(K918, 'Items Master'!A:E,5,0)</f>
        <v>SIPCHEM</v>
      </c>
      <c r="M918" s="4" t="str">
        <f>VLOOKUP(K918, 'Items Master'!A:D,4,0)</f>
        <v>PP ICP</v>
      </c>
      <c r="N918" t="s">
        <v>24</v>
      </c>
      <c r="Q918" s="6">
        <f t="shared" si="31"/>
        <v>45922</v>
      </c>
      <c r="R918" s="6" t="str">
        <f t="shared" si="30"/>
        <v>Sep-25</v>
      </c>
      <c r="W918" s="25">
        <f t="shared" ref="W918:W919" si="38">I918</f>
        <v>140.5</v>
      </c>
      <c r="AN918" s="9">
        <f t="shared" si="34"/>
        <v>0</v>
      </c>
      <c r="AP918" s="9">
        <f>I918-W918-X918-AN918</f>
        <v>0</v>
      </c>
      <c r="AQ918" t="s">
        <v>1316</v>
      </c>
    </row>
    <row r="919" spans="1:43" x14ac:dyDescent="0.3">
      <c r="A919" s="11">
        <f t="shared" si="35"/>
        <v>917</v>
      </c>
      <c r="B919" s="5" t="s">
        <v>1675</v>
      </c>
      <c r="C919" t="s">
        <v>893</v>
      </c>
      <c r="D919" t="s">
        <v>48</v>
      </c>
      <c r="E919" s="24" t="str">
        <f>IFERROR(VLOOKUP(D919,Dropdown!A:B,2,0),D919)</f>
        <v>CVPL</v>
      </c>
      <c r="F919" s="6">
        <v>45922</v>
      </c>
      <c r="G919" s="6" t="str">
        <f>TEXT(F919, "MMM-YY")</f>
        <v>Sep-25</v>
      </c>
      <c r="H919" t="s">
        <v>1388</v>
      </c>
      <c r="I919" s="25">
        <v>98.25</v>
      </c>
      <c r="J919" s="4">
        <v>1500</v>
      </c>
      <c r="K919" t="s">
        <v>904</v>
      </c>
      <c r="L919" s="4" t="str">
        <f>VLOOKUP(K919, 'Items Master'!A:E,5,0)</f>
        <v>BOROUGE</v>
      </c>
      <c r="M919" s="4" t="str">
        <f>VLOOKUP(K919, 'Items Master'!A:D,4,0)</f>
        <v>PP RCP</v>
      </c>
      <c r="N919" t="s">
        <v>24</v>
      </c>
      <c r="Q919" s="6">
        <f t="shared" si="31"/>
        <v>45922</v>
      </c>
      <c r="R919" s="6" t="str">
        <f t="shared" si="30"/>
        <v>Sep-25</v>
      </c>
      <c r="W919" s="25">
        <f t="shared" si="38"/>
        <v>98.25</v>
      </c>
      <c r="AN919" s="9">
        <f t="shared" si="34"/>
        <v>0</v>
      </c>
      <c r="AP919" s="9">
        <f>I919-W919-X919-AN919</f>
        <v>0</v>
      </c>
      <c r="AQ919" t="s">
        <v>1316</v>
      </c>
    </row>
    <row r="920" spans="1:43" x14ac:dyDescent="0.3">
      <c r="A920" s="11">
        <f t="shared" si="35"/>
        <v>918</v>
      </c>
      <c r="B920" s="5" t="s">
        <v>1675</v>
      </c>
      <c r="C920" t="s">
        <v>893</v>
      </c>
      <c r="D920" t="s">
        <v>48</v>
      </c>
      <c r="E920" s="24" t="str">
        <f>IFERROR(VLOOKUP(D920,Dropdown!A:B,2,0),D920)</f>
        <v>CVPL</v>
      </c>
      <c r="F920" s="6">
        <v>45922</v>
      </c>
      <c r="G920" s="6" t="str">
        <f>TEXT(F920, "MMM-YY")</f>
        <v>Sep-25</v>
      </c>
      <c r="H920" t="s">
        <v>1389</v>
      </c>
      <c r="I920" s="25">
        <v>98.35</v>
      </c>
      <c r="J920" s="4">
        <v>750</v>
      </c>
      <c r="K920" t="s">
        <v>911</v>
      </c>
      <c r="L920" s="4" t="str">
        <f>VLOOKUP(K920, 'Items Master'!A:E,5,0)</f>
        <v>BCPL</v>
      </c>
      <c r="M920" s="4" t="str">
        <f>VLOOKUP(K920, 'Items Master'!A:D,4,0)</f>
        <v>LLDPE</v>
      </c>
      <c r="N920" t="s">
        <v>49</v>
      </c>
      <c r="Q920" s="6">
        <f t="shared" si="31"/>
        <v>45922</v>
      </c>
      <c r="R920" s="6" t="str">
        <f t="shared" si="30"/>
        <v>Sep-25</v>
      </c>
      <c r="AN920" s="9">
        <f t="shared" si="34"/>
        <v>0</v>
      </c>
      <c r="AP920" s="9">
        <f>I920-W920-X920-AN920</f>
        <v>98.35</v>
      </c>
    </row>
    <row r="921" spans="1:43" x14ac:dyDescent="0.3">
      <c r="A921" s="11">
        <f t="shared" si="35"/>
        <v>919</v>
      </c>
      <c r="B921" s="5" t="s">
        <v>1675</v>
      </c>
      <c r="C921" t="s">
        <v>893</v>
      </c>
      <c r="D921" t="s">
        <v>872</v>
      </c>
      <c r="E921" s="24" t="str">
        <f>IFERROR(VLOOKUP(D921,Dropdown!A:B,2,0),D921)</f>
        <v>Value</v>
      </c>
      <c r="F921" s="6">
        <v>45922</v>
      </c>
      <c r="G921" s="6" t="str">
        <f>TEXT(F921, "MMM-YY")</f>
        <v>Sep-25</v>
      </c>
      <c r="H921" t="s">
        <v>1607</v>
      </c>
      <c r="I921" s="25">
        <v>97.32</v>
      </c>
      <c r="J921" s="4">
        <v>2500</v>
      </c>
      <c r="K921" t="s">
        <v>17</v>
      </c>
      <c r="L921" s="4" t="str">
        <f>VLOOKUP(K921, 'Items Master'!A:E,5,0)</f>
        <v>OPAL</v>
      </c>
      <c r="M921" s="4" t="str">
        <f>VLOOKUP(K921, 'Items Master'!A:D,4,0)</f>
        <v>LLDPE</v>
      </c>
      <c r="N921" t="s">
        <v>24</v>
      </c>
      <c r="Q921" s="6">
        <f t="shared" si="31"/>
        <v>45922</v>
      </c>
      <c r="R921" s="6" t="str">
        <f t="shared" si="30"/>
        <v>Sep-25</v>
      </c>
      <c r="U921" t="s">
        <v>1606</v>
      </c>
      <c r="W921" s="25">
        <v>97.32</v>
      </c>
      <c r="AN921" s="9">
        <f t="shared" si="34"/>
        <v>0</v>
      </c>
      <c r="AP921" s="9">
        <f>I921-W921-X921-AN921</f>
        <v>0</v>
      </c>
      <c r="AQ921" t="s">
        <v>1316</v>
      </c>
    </row>
    <row r="922" spans="1:43" x14ac:dyDescent="0.3">
      <c r="A922" s="11">
        <f t="shared" si="35"/>
        <v>920</v>
      </c>
      <c r="B922" s="5" t="s">
        <v>1675</v>
      </c>
      <c r="C922" t="s">
        <v>893</v>
      </c>
      <c r="D922" t="s">
        <v>864</v>
      </c>
      <c r="E922" s="24" t="str">
        <f>IFERROR(VLOOKUP(D922,Dropdown!A:B,2,0),D922)</f>
        <v>SVP</v>
      </c>
      <c r="F922" s="6">
        <v>45922</v>
      </c>
      <c r="G922" s="6" t="str">
        <f>TEXT(F922, "MMM-YY")</f>
        <v>Sep-25</v>
      </c>
      <c r="H922" t="s">
        <v>1551</v>
      </c>
      <c r="I922" s="25">
        <v>98.08</v>
      </c>
      <c r="J922" s="4">
        <v>1500</v>
      </c>
      <c r="K922" t="s">
        <v>1000</v>
      </c>
      <c r="L922" s="4" t="str">
        <f>VLOOKUP(K922, 'Items Master'!A:E,5,0)</f>
        <v>HMEL</v>
      </c>
      <c r="M922" s="4" t="str">
        <f>VLOOKUP(K922, 'Items Master'!A:D,4,0)</f>
        <v>PP RCP</v>
      </c>
      <c r="N922" t="s">
        <v>49</v>
      </c>
      <c r="Q922" s="6">
        <f t="shared" si="31"/>
        <v>45922</v>
      </c>
      <c r="R922" s="6" t="str">
        <f t="shared" si="30"/>
        <v>Sep-25</v>
      </c>
      <c r="X922" s="25">
        <v>102.18</v>
      </c>
      <c r="Y922" s="25" t="s">
        <v>1303</v>
      </c>
      <c r="Z922" s="25" t="s">
        <v>1305</v>
      </c>
      <c r="AB922" s="8">
        <v>-1.1000000000000001</v>
      </c>
      <c r="AC922" s="8">
        <v>-0.5</v>
      </c>
      <c r="AE922" s="8">
        <v>-1</v>
      </c>
      <c r="AF922" s="8">
        <v>-1.5</v>
      </c>
      <c r="AN922" s="9">
        <f t="shared" si="34"/>
        <v>-4.0999999999999996</v>
      </c>
      <c r="AP922" s="9">
        <f>I922-W922-X922-AN922</f>
        <v>-8.8817841970012523E-15</v>
      </c>
      <c r="AQ922" t="s">
        <v>1316</v>
      </c>
    </row>
    <row r="923" spans="1:43" x14ac:dyDescent="0.3">
      <c r="A923" s="11">
        <f t="shared" si="35"/>
        <v>921</v>
      </c>
      <c r="B923" s="5" t="s">
        <v>1675</v>
      </c>
      <c r="C923" t="s">
        <v>893</v>
      </c>
      <c r="D923" t="s">
        <v>1354</v>
      </c>
      <c r="E923" s="24" t="str">
        <f>IFERROR(VLOOKUP(D923,Dropdown!A:B,2,0),D923)</f>
        <v>JOTHI POLYMERS PRIVATE LIMITED</v>
      </c>
      <c r="F923" s="6">
        <v>45922</v>
      </c>
      <c r="G923" s="6" t="str">
        <f>TEXT(F923, "MMM-YY")</f>
        <v>Sep-25</v>
      </c>
      <c r="H923" t="s">
        <v>1552</v>
      </c>
      <c r="I923" s="25">
        <v>172</v>
      </c>
      <c r="J923" s="4">
        <v>50</v>
      </c>
      <c r="K923" t="s">
        <v>1227</v>
      </c>
      <c r="L923" s="4" t="str">
        <f>VLOOKUP(K923, 'Items Master'!A:E,5,0)</f>
        <v>COVESTRO</v>
      </c>
      <c r="M923" s="4" t="str">
        <f>VLOOKUP(K923, 'Items Master'!A:D,4,0)</f>
        <v>PC</v>
      </c>
      <c r="N923" t="s">
        <v>24</v>
      </c>
      <c r="Q923" s="6">
        <f t="shared" si="31"/>
        <v>45922</v>
      </c>
      <c r="R923" s="6" t="str">
        <f t="shared" si="30"/>
        <v>Sep-25</v>
      </c>
      <c r="W923" s="25">
        <f>I923</f>
        <v>172</v>
      </c>
      <c r="AN923" s="9">
        <f t="shared" si="34"/>
        <v>0</v>
      </c>
      <c r="AP923" s="9">
        <f>I923-W923-X923-AN923</f>
        <v>0</v>
      </c>
      <c r="AQ923" t="s">
        <v>1316</v>
      </c>
    </row>
    <row r="924" spans="1:43" x14ac:dyDescent="0.3">
      <c r="A924" s="11">
        <f t="shared" si="35"/>
        <v>922</v>
      </c>
      <c r="B924" s="5" t="s">
        <v>1675</v>
      </c>
      <c r="C924" t="s">
        <v>894</v>
      </c>
      <c r="D924" t="s">
        <v>857</v>
      </c>
      <c r="E924" s="24" t="str">
        <f>IFERROR(VLOOKUP(D924,Dropdown!A:B,2,0),D924)</f>
        <v>Purav</v>
      </c>
      <c r="F924" s="6">
        <v>45923</v>
      </c>
      <c r="G924" s="6" t="str">
        <f>TEXT(F924, "MMM-YY")</f>
        <v>Sep-25</v>
      </c>
      <c r="H924" t="s">
        <v>1390</v>
      </c>
      <c r="I924" s="25">
        <v>102.85</v>
      </c>
      <c r="J924" s="4">
        <v>25000</v>
      </c>
      <c r="K924" t="s">
        <v>1128</v>
      </c>
      <c r="L924" s="4" t="str">
        <f>VLOOKUP(K924, 'Items Master'!A:E,5,0)</f>
        <v>EXXON</v>
      </c>
      <c r="M924" s="4" t="str">
        <f>VLOOKUP(K924, 'Items Master'!A:D,4,0)</f>
        <v>Metallocene</v>
      </c>
      <c r="N924" t="s">
        <v>24</v>
      </c>
      <c r="Q924" s="6">
        <f t="shared" si="31"/>
        <v>45923</v>
      </c>
      <c r="R924" s="6" t="str">
        <f t="shared" si="30"/>
        <v>Sep-25</v>
      </c>
      <c r="U924" t="s">
        <v>1606</v>
      </c>
      <c r="W924" s="25">
        <v>102.75</v>
      </c>
      <c r="AH924" s="8">
        <v>0.1</v>
      </c>
      <c r="AN924" s="9">
        <f t="shared" si="34"/>
        <v>0.1</v>
      </c>
      <c r="AP924" s="9">
        <f>I924-W924-X924-AN924</f>
        <v>-5.6898930012039273E-15</v>
      </c>
      <c r="AQ924" t="s">
        <v>1316</v>
      </c>
    </row>
    <row r="925" spans="1:43" x14ac:dyDescent="0.3">
      <c r="A925" s="11">
        <f t="shared" si="35"/>
        <v>923</v>
      </c>
      <c r="B925" s="5" t="s">
        <v>1675</v>
      </c>
      <c r="C925" t="s">
        <v>893</v>
      </c>
      <c r="D925" t="s">
        <v>824</v>
      </c>
      <c r="E925" s="24" t="str">
        <f>IFERROR(VLOOKUP(D925,Dropdown!A:B,2,0),D925)</f>
        <v>Paragon</v>
      </c>
      <c r="F925" s="6">
        <v>45923</v>
      </c>
      <c r="G925" s="6" t="str">
        <f>TEXT(F925, "MMM-YY")</f>
        <v>Sep-25</v>
      </c>
      <c r="H925" t="s">
        <v>1391</v>
      </c>
      <c r="I925" s="25">
        <v>98.39</v>
      </c>
      <c r="J925" s="4">
        <v>2500</v>
      </c>
      <c r="K925" t="s">
        <v>925</v>
      </c>
      <c r="L925" s="4" t="str">
        <f>VLOOKUP(K925, 'Items Master'!A:E,5,0)</f>
        <v>RIL</v>
      </c>
      <c r="M925" s="4" t="str">
        <f>VLOOKUP(K925, 'Items Master'!A:D,4,0)</f>
        <v>PP ICP</v>
      </c>
      <c r="N925" t="s">
        <v>49</v>
      </c>
      <c r="Q925" s="6">
        <f t="shared" si="31"/>
        <v>45923</v>
      </c>
      <c r="R925" s="6" t="str">
        <f t="shared" si="30"/>
        <v>Sep-25</v>
      </c>
      <c r="AN925" s="9">
        <f t="shared" si="34"/>
        <v>0</v>
      </c>
      <c r="AP925" s="9">
        <f>I925-W925-X925-AN925</f>
        <v>98.39</v>
      </c>
    </row>
    <row r="926" spans="1:43" x14ac:dyDescent="0.3">
      <c r="A926" s="11">
        <f t="shared" si="35"/>
        <v>924</v>
      </c>
      <c r="B926" s="5" t="s">
        <v>1675</v>
      </c>
      <c r="C926" t="s">
        <v>893</v>
      </c>
      <c r="D926" t="s">
        <v>48</v>
      </c>
      <c r="E926" s="24" t="str">
        <f>IFERROR(VLOOKUP(D926,Dropdown!A:B,2,0),D926)</f>
        <v>CVPL</v>
      </c>
      <c r="F926" s="6">
        <v>45923</v>
      </c>
      <c r="G926" s="6" t="str">
        <f>TEXT(F926, "MMM-YY")</f>
        <v>Sep-25</v>
      </c>
      <c r="H926" t="s">
        <v>1392</v>
      </c>
      <c r="I926" s="25">
        <v>97.99</v>
      </c>
      <c r="J926" s="4">
        <v>3000</v>
      </c>
      <c r="K926" t="s">
        <v>903</v>
      </c>
      <c r="L926" s="4" t="str">
        <f>VLOOKUP(K926, 'Items Master'!A:E,5,0)</f>
        <v>GAIL</v>
      </c>
      <c r="M926" s="4" t="str">
        <f>VLOOKUP(K926, 'Items Master'!A:D,4,0)</f>
        <v>LLDPE</v>
      </c>
      <c r="N926" t="s">
        <v>49</v>
      </c>
      <c r="Q926" s="6">
        <f t="shared" si="31"/>
        <v>45923</v>
      </c>
      <c r="R926" s="6" t="str">
        <f t="shared" si="30"/>
        <v>Sep-25</v>
      </c>
      <c r="AN926" s="9">
        <f t="shared" si="34"/>
        <v>0</v>
      </c>
      <c r="AP926" s="9">
        <f>I926-W926-X926-AN926</f>
        <v>97.99</v>
      </c>
    </row>
    <row r="927" spans="1:43" x14ac:dyDescent="0.3">
      <c r="A927" s="11">
        <f t="shared" si="35"/>
        <v>925</v>
      </c>
      <c r="B927" s="5" t="s">
        <v>1675</v>
      </c>
      <c r="C927" t="s">
        <v>893</v>
      </c>
      <c r="D927" t="s">
        <v>48</v>
      </c>
      <c r="E927" s="24" t="str">
        <f>IFERROR(VLOOKUP(D927,Dropdown!A:B,2,0),D927)</f>
        <v>CVPL</v>
      </c>
      <c r="F927" s="6">
        <v>45923</v>
      </c>
      <c r="G927" s="6" t="str">
        <f>TEXT(F927, "MMM-YY")</f>
        <v>Sep-25</v>
      </c>
      <c r="H927" t="s">
        <v>1392</v>
      </c>
      <c r="I927" s="25">
        <v>97.99</v>
      </c>
      <c r="J927" s="4">
        <v>3000</v>
      </c>
      <c r="K927" t="s">
        <v>903</v>
      </c>
      <c r="L927" s="4" t="str">
        <f>VLOOKUP(K927, 'Items Master'!A:E,5,0)</f>
        <v>GAIL</v>
      </c>
      <c r="M927" s="4" t="str">
        <f>VLOOKUP(K927, 'Items Master'!A:D,4,0)</f>
        <v>LLDPE</v>
      </c>
      <c r="N927" t="s">
        <v>49</v>
      </c>
      <c r="Q927" s="6">
        <f t="shared" si="31"/>
        <v>45923</v>
      </c>
      <c r="R927" s="6" t="str">
        <f t="shared" si="30"/>
        <v>Sep-25</v>
      </c>
      <c r="AN927" s="9">
        <f t="shared" si="34"/>
        <v>0</v>
      </c>
      <c r="AP927" s="9">
        <f>I927-W927-X927-AN927</f>
        <v>97.99</v>
      </c>
    </row>
    <row r="928" spans="1:43" x14ac:dyDescent="0.3">
      <c r="A928" s="11">
        <f t="shared" si="35"/>
        <v>926</v>
      </c>
      <c r="B928" s="5" t="s">
        <v>1675</v>
      </c>
      <c r="C928" t="s">
        <v>893</v>
      </c>
      <c r="D928" t="s">
        <v>864</v>
      </c>
      <c r="E928" s="24" t="str">
        <f>IFERROR(VLOOKUP(D928,Dropdown!A:B,2,0),D928)</f>
        <v>SVP</v>
      </c>
      <c r="F928" s="6">
        <v>45923</v>
      </c>
      <c r="G928" s="6" t="str">
        <f>TEXT(F928, "MMM-YY")</f>
        <v>Sep-25</v>
      </c>
      <c r="H928" t="s">
        <v>1393</v>
      </c>
      <c r="I928" s="25">
        <v>95.31</v>
      </c>
      <c r="J928" s="4">
        <v>2500</v>
      </c>
      <c r="K928" t="s">
        <v>975</v>
      </c>
      <c r="L928" s="4" t="str">
        <f>VLOOKUP(K928, 'Items Master'!A:E,5,0)</f>
        <v>HMEL</v>
      </c>
      <c r="M928" s="4" t="str">
        <f>VLOOKUP(K928, 'Items Master'!A:D,4,0)</f>
        <v>LLDPE</v>
      </c>
      <c r="N928" t="s">
        <v>49</v>
      </c>
      <c r="Q928" s="6">
        <f t="shared" si="31"/>
        <v>45923</v>
      </c>
      <c r="R928" s="6" t="str">
        <f t="shared" si="30"/>
        <v>Sep-25</v>
      </c>
      <c r="X928" s="25">
        <v>97.41</v>
      </c>
      <c r="Y928" s="25" t="s">
        <v>1303</v>
      </c>
      <c r="Z928" s="25" t="s">
        <v>1305</v>
      </c>
      <c r="AB928" s="8">
        <v>-1.1000000000000001</v>
      </c>
      <c r="AC928" s="8">
        <v>-1</v>
      </c>
      <c r="AN928" s="9">
        <f t="shared" si="34"/>
        <v>-2.1</v>
      </c>
      <c r="AP928" s="9">
        <f>I928-W928-X928-AN928</f>
        <v>5.773159728050814E-15</v>
      </c>
      <c r="AQ928" t="s">
        <v>1316</v>
      </c>
    </row>
    <row r="929" spans="1:44" x14ac:dyDescent="0.3">
      <c r="A929" s="11">
        <f t="shared" si="35"/>
        <v>927</v>
      </c>
      <c r="B929" s="5" t="s">
        <v>1675</v>
      </c>
      <c r="C929" t="s">
        <v>893</v>
      </c>
      <c r="D929" t="s">
        <v>824</v>
      </c>
      <c r="E929" s="24" t="str">
        <f>IFERROR(VLOOKUP(D929,Dropdown!A:B,2,0),D929)</f>
        <v>Paragon</v>
      </c>
      <c r="F929" s="6">
        <v>45923</v>
      </c>
      <c r="G929" s="6" t="str">
        <f>TEXT(F929, "MMM-YY")</f>
        <v>Sep-25</v>
      </c>
      <c r="H929" t="s">
        <v>1394</v>
      </c>
      <c r="I929" s="25">
        <v>97.5</v>
      </c>
      <c r="J929" s="4">
        <v>11000</v>
      </c>
      <c r="K929" t="s">
        <v>915</v>
      </c>
      <c r="L929" s="4" t="str">
        <f>VLOOKUP(K929, 'Items Master'!A:E,5,0)</f>
        <v>RIL</v>
      </c>
      <c r="M929" s="4" t="str">
        <f>VLOOKUP(K929, 'Items Master'!A:D,4,0)</f>
        <v>LLDPE</v>
      </c>
      <c r="N929" t="s">
        <v>49</v>
      </c>
      <c r="Q929" s="6">
        <f t="shared" si="31"/>
        <v>45923</v>
      </c>
      <c r="R929" s="6" t="str">
        <f t="shared" si="30"/>
        <v>Sep-25</v>
      </c>
      <c r="AN929" s="9">
        <f t="shared" si="34"/>
        <v>0</v>
      </c>
      <c r="AP929" s="9">
        <f>I929-W929-X929-AN929</f>
        <v>97.5</v>
      </c>
    </row>
    <row r="930" spans="1:44" x14ac:dyDescent="0.3">
      <c r="A930" s="11">
        <f t="shared" si="35"/>
        <v>928</v>
      </c>
      <c r="B930" s="5" t="s">
        <v>1675</v>
      </c>
      <c r="C930" t="s">
        <v>893</v>
      </c>
      <c r="D930" t="s">
        <v>824</v>
      </c>
      <c r="E930" s="24" t="str">
        <f>IFERROR(VLOOKUP(D930,Dropdown!A:B,2,0),D930)</f>
        <v>Paragon</v>
      </c>
      <c r="F930" s="6">
        <v>45923</v>
      </c>
      <c r="G930" s="6" t="str">
        <f>TEXT(F930, "MMM-YY")</f>
        <v>Sep-25</v>
      </c>
      <c r="H930" t="s">
        <v>1394</v>
      </c>
      <c r="I930" s="25">
        <v>98</v>
      </c>
      <c r="J930" s="4">
        <v>1000</v>
      </c>
      <c r="K930" t="s">
        <v>941</v>
      </c>
      <c r="L930" s="4" t="str">
        <f>VLOOKUP(K930, 'Items Master'!A:E,5,0)</f>
        <v>RIL</v>
      </c>
      <c r="M930" s="4" t="str">
        <f>VLOOKUP(K930, 'Items Master'!A:D,4,0)</f>
        <v>LLDPE</v>
      </c>
      <c r="N930" t="s">
        <v>49</v>
      </c>
      <c r="Q930" s="6">
        <f t="shared" si="31"/>
        <v>45923</v>
      </c>
      <c r="R930" s="6" t="str">
        <f t="shared" si="30"/>
        <v>Sep-25</v>
      </c>
      <c r="AN930" s="9">
        <f t="shared" si="34"/>
        <v>0</v>
      </c>
      <c r="AP930" s="9">
        <f>I930-W930-X930-AN930</f>
        <v>98</v>
      </c>
    </row>
    <row r="931" spans="1:44" x14ac:dyDescent="0.3">
      <c r="A931" s="11">
        <f t="shared" si="35"/>
        <v>929</v>
      </c>
      <c r="B931" s="5" t="s">
        <v>1675</v>
      </c>
      <c r="C931" t="s">
        <v>893</v>
      </c>
      <c r="D931" t="s">
        <v>838</v>
      </c>
      <c r="E931" s="24" t="str">
        <f>IFERROR(VLOOKUP(D931,Dropdown!A:B,2,0),D931)</f>
        <v>Treenity</v>
      </c>
      <c r="F931" s="6">
        <v>45923</v>
      </c>
      <c r="G931" s="6" t="str">
        <f>TEXT(F931, "MMM-YY")</f>
        <v>Sep-25</v>
      </c>
      <c r="H931" t="s">
        <v>1397</v>
      </c>
      <c r="I931" s="25">
        <v>93.3</v>
      </c>
      <c r="J931" s="4">
        <v>10000</v>
      </c>
      <c r="K931" t="s">
        <v>899</v>
      </c>
      <c r="L931" s="4" t="str">
        <f>VLOOKUP(K931, 'Items Master'!A:E,5,0)</f>
        <v>MRPL</v>
      </c>
      <c r="M931" s="4" t="str">
        <f>VLOOKUP(K931, 'Items Master'!A:D,4,0)</f>
        <v>PP</v>
      </c>
      <c r="N931" t="s">
        <v>49</v>
      </c>
      <c r="Q931" s="6">
        <f t="shared" si="31"/>
        <v>45923</v>
      </c>
      <c r="R931" s="6" t="str">
        <f t="shared" si="30"/>
        <v>Sep-25</v>
      </c>
      <c r="U931" t="s">
        <v>1320</v>
      </c>
      <c r="X931" s="25">
        <v>91.5</v>
      </c>
      <c r="Y931" s="25" t="s">
        <v>1304</v>
      </c>
      <c r="Z931" s="25" t="s">
        <v>1305</v>
      </c>
      <c r="AI931" s="8">
        <v>1.8</v>
      </c>
      <c r="AN931" s="9">
        <f t="shared" si="34"/>
        <v>1.8</v>
      </c>
      <c r="AP931" s="9">
        <f>I931-W931-X931-AN931</f>
        <v>-2.886579864025407E-15</v>
      </c>
      <c r="AQ931" t="s">
        <v>1316</v>
      </c>
    </row>
    <row r="932" spans="1:44" x14ac:dyDescent="0.3">
      <c r="A932" s="11">
        <f t="shared" si="35"/>
        <v>930</v>
      </c>
      <c r="B932" s="5" t="s">
        <v>1675</v>
      </c>
      <c r="C932" t="s">
        <v>893</v>
      </c>
      <c r="D932" t="s">
        <v>838</v>
      </c>
      <c r="E932" s="24" t="str">
        <f>IFERROR(VLOOKUP(D932,Dropdown!A:B,2,0),D932)</f>
        <v>Treenity</v>
      </c>
      <c r="F932" s="6">
        <v>45923</v>
      </c>
      <c r="G932" s="6" t="str">
        <f>TEXT(F932, "MMM-YY")</f>
        <v>Sep-25</v>
      </c>
      <c r="H932" t="s">
        <v>1397</v>
      </c>
      <c r="I932" s="25">
        <v>93.3</v>
      </c>
      <c r="J932" s="4">
        <v>5000</v>
      </c>
      <c r="K932" t="s">
        <v>899</v>
      </c>
      <c r="L932" s="4" t="str">
        <f>VLOOKUP(K932, 'Items Master'!A:E,5,0)</f>
        <v>MRPL</v>
      </c>
      <c r="M932" s="4" t="str">
        <f>VLOOKUP(K932, 'Items Master'!A:D,4,0)</f>
        <v>PP</v>
      </c>
      <c r="N932" t="s">
        <v>49</v>
      </c>
      <c r="Q932" s="6">
        <f t="shared" si="31"/>
        <v>45923</v>
      </c>
      <c r="R932" s="6" t="str">
        <f t="shared" si="30"/>
        <v>Sep-25</v>
      </c>
      <c r="U932" t="s">
        <v>1320</v>
      </c>
      <c r="X932" s="25">
        <v>91.5</v>
      </c>
      <c r="Y932" s="25" t="s">
        <v>1304</v>
      </c>
      <c r="Z932" s="25" t="s">
        <v>1305</v>
      </c>
      <c r="AI932" s="8">
        <v>1.8</v>
      </c>
      <c r="AN932" s="9">
        <f t="shared" si="34"/>
        <v>1.8</v>
      </c>
      <c r="AP932" s="9">
        <f>I932-W932-X932-AN932</f>
        <v>-2.886579864025407E-15</v>
      </c>
      <c r="AQ932" t="s">
        <v>1316</v>
      </c>
    </row>
    <row r="933" spans="1:44" x14ac:dyDescent="0.3">
      <c r="A933" s="11">
        <f t="shared" si="35"/>
        <v>931</v>
      </c>
      <c r="B933" s="5" t="s">
        <v>1675</v>
      </c>
      <c r="C933" t="s">
        <v>893</v>
      </c>
      <c r="D933" t="s">
        <v>836</v>
      </c>
      <c r="E933" s="24" t="str">
        <f>IFERROR(VLOOKUP(D933,Dropdown!A:B,2,0),D933)</f>
        <v>Intime</v>
      </c>
      <c r="F933" s="6">
        <v>45923</v>
      </c>
      <c r="G933" s="6" t="str">
        <f>TEXT(F933, "MMM-YY")</f>
        <v>Sep-25</v>
      </c>
      <c r="H933" t="s">
        <v>1553</v>
      </c>
      <c r="I933" s="25">
        <v>96.433000000000007</v>
      </c>
      <c r="J933" s="4">
        <v>12000</v>
      </c>
      <c r="K933" t="s">
        <v>911</v>
      </c>
      <c r="L933" s="4" t="str">
        <f>VLOOKUP(K933, 'Items Master'!A:E,5,0)</f>
        <v>BCPL</v>
      </c>
      <c r="M933" s="4" t="str">
        <f>VLOOKUP(K933, 'Items Master'!A:D,4,0)</f>
        <v>LLDPE</v>
      </c>
      <c r="N933" t="s">
        <v>49</v>
      </c>
      <c r="Q933" s="6">
        <f t="shared" si="31"/>
        <v>45923</v>
      </c>
      <c r="R933" s="6" t="str">
        <f t="shared" si="30"/>
        <v>Sep-25</v>
      </c>
      <c r="AN933" s="9">
        <f t="shared" si="34"/>
        <v>0</v>
      </c>
      <c r="AP933" s="9">
        <f>I933-W933-X933-AN933</f>
        <v>96.433000000000007</v>
      </c>
    </row>
    <row r="934" spans="1:44" x14ac:dyDescent="0.3">
      <c r="A934" s="11">
        <f t="shared" si="35"/>
        <v>932</v>
      </c>
      <c r="B934" s="5" t="s">
        <v>1675</v>
      </c>
      <c r="C934" t="s">
        <v>893</v>
      </c>
      <c r="D934" t="s">
        <v>872</v>
      </c>
      <c r="E934" s="24" t="str">
        <f>IFERROR(VLOOKUP(D934,Dropdown!A:B,2,0),D934)</f>
        <v>Value</v>
      </c>
      <c r="F934" s="6">
        <v>45923</v>
      </c>
      <c r="G934" s="6" t="str">
        <f>TEXT(F934, "MMM-YY")</f>
        <v>Sep-25</v>
      </c>
      <c r="H934" t="s">
        <v>1554</v>
      </c>
      <c r="I934" s="25">
        <v>116.7</v>
      </c>
      <c r="J934" s="4">
        <v>8000</v>
      </c>
      <c r="K934" t="s">
        <v>895</v>
      </c>
      <c r="L934" s="4" t="str">
        <f>VLOOKUP(K934, 'Items Master'!A:E,5,0)</f>
        <v>RIL</v>
      </c>
      <c r="M934" s="4" t="str">
        <f>VLOOKUP(K934, 'Items Master'!A:D,4,0)</f>
        <v>LDPE</v>
      </c>
      <c r="N934" t="s">
        <v>49</v>
      </c>
      <c r="Q934" s="6">
        <f t="shared" si="31"/>
        <v>45923</v>
      </c>
      <c r="R934" s="6" t="str">
        <f t="shared" si="30"/>
        <v>Sep-25</v>
      </c>
      <c r="T934" t="s">
        <v>21</v>
      </c>
      <c r="U934" t="s">
        <v>1605</v>
      </c>
      <c r="X934" s="25">
        <v>116.69</v>
      </c>
      <c r="Y934" s="25" t="s">
        <v>1310</v>
      </c>
      <c r="Z934" s="25" t="s">
        <v>1307</v>
      </c>
      <c r="AN934" s="9">
        <f t="shared" si="34"/>
        <v>0</v>
      </c>
      <c r="AP934" s="9">
        <f>I934-W934-X934-AN934</f>
        <v>1.0000000000005116E-2</v>
      </c>
      <c r="AQ934" t="s">
        <v>1316</v>
      </c>
      <c r="AR934" t="s">
        <v>1608</v>
      </c>
    </row>
    <row r="935" spans="1:44" x14ac:dyDescent="0.3">
      <c r="A935" s="11">
        <f t="shared" si="35"/>
        <v>933</v>
      </c>
      <c r="B935" s="5" t="s">
        <v>1675</v>
      </c>
      <c r="C935" t="s">
        <v>893</v>
      </c>
      <c r="D935" t="s">
        <v>872</v>
      </c>
      <c r="E935" s="24" t="str">
        <f>IFERROR(VLOOKUP(D935,Dropdown!A:B,2,0),D935)</f>
        <v>Value</v>
      </c>
      <c r="F935" s="6">
        <v>45923</v>
      </c>
      <c r="G935" s="6" t="str">
        <f>TEXT(F935, "MMM-YY")</f>
        <v>Sep-25</v>
      </c>
      <c r="H935" t="s">
        <v>1554</v>
      </c>
      <c r="I935" s="25">
        <v>115.57</v>
      </c>
      <c r="J935" s="4">
        <v>2000</v>
      </c>
      <c r="K935" t="s">
        <v>954</v>
      </c>
      <c r="L935" s="4" t="str">
        <f>VLOOKUP(K935, 'Items Master'!A:E,5,0)</f>
        <v>RIL</v>
      </c>
      <c r="M935" s="4" t="str">
        <f>VLOOKUP(K935, 'Items Master'!A:D,4,0)</f>
        <v>LDPE</v>
      </c>
      <c r="N935" t="s">
        <v>49</v>
      </c>
      <c r="Q935" s="6">
        <f t="shared" si="31"/>
        <v>45923</v>
      </c>
      <c r="R935" s="6" t="str">
        <f t="shared" si="30"/>
        <v>Sep-25</v>
      </c>
      <c r="T935" t="s">
        <v>21</v>
      </c>
      <c r="U935" t="s">
        <v>1605</v>
      </c>
      <c r="X935" s="25">
        <v>115.57</v>
      </c>
      <c r="Y935" s="25" t="s">
        <v>1310</v>
      </c>
      <c r="Z935" s="25" t="s">
        <v>1307</v>
      </c>
      <c r="AN935" s="9">
        <f t="shared" si="34"/>
        <v>0</v>
      </c>
      <c r="AP935" s="9">
        <f>I935-W935-X935-AN935</f>
        <v>0</v>
      </c>
      <c r="AQ935" t="s">
        <v>1316</v>
      </c>
    </row>
    <row r="936" spans="1:44" x14ac:dyDescent="0.3">
      <c r="A936" s="11">
        <f t="shared" si="35"/>
        <v>934</v>
      </c>
      <c r="B936" s="5" t="s">
        <v>1675</v>
      </c>
      <c r="C936" t="s">
        <v>893</v>
      </c>
      <c r="D936" t="s">
        <v>838</v>
      </c>
      <c r="E936" s="24" t="str">
        <f>IFERROR(VLOOKUP(D936,Dropdown!A:B,2,0),D936)</f>
        <v>Treenity</v>
      </c>
      <c r="F936" s="6">
        <v>45923</v>
      </c>
      <c r="G936" s="6" t="str">
        <f>TEXT(F936, "MMM-YY")</f>
        <v>Sep-25</v>
      </c>
      <c r="H936" t="s">
        <v>1397</v>
      </c>
      <c r="I936" s="25">
        <v>93.3</v>
      </c>
      <c r="J936" s="4">
        <v>10000</v>
      </c>
      <c r="K936" t="s">
        <v>899</v>
      </c>
      <c r="L936" s="4" t="str">
        <f>VLOOKUP(K936, 'Items Master'!A:E,5,0)</f>
        <v>MRPL</v>
      </c>
      <c r="M936" s="4" t="str">
        <f>VLOOKUP(K936, 'Items Master'!A:D,4,0)</f>
        <v>PP</v>
      </c>
      <c r="N936" t="s">
        <v>49</v>
      </c>
      <c r="Q936" s="6">
        <f t="shared" si="31"/>
        <v>45923</v>
      </c>
      <c r="R936" s="6" t="str">
        <f t="shared" si="30"/>
        <v>Sep-25</v>
      </c>
      <c r="U936" t="s">
        <v>1320</v>
      </c>
      <c r="X936" s="25">
        <v>91.5</v>
      </c>
      <c r="Y936" s="25" t="s">
        <v>1304</v>
      </c>
      <c r="Z936" s="25" t="s">
        <v>1305</v>
      </c>
      <c r="AI936" s="8">
        <v>1.8</v>
      </c>
      <c r="AN936" s="9">
        <f t="shared" si="34"/>
        <v>1.8</v>
      </c>
      <c r="AP936" s="9">
        <f>I936-W936-X936-AN936</f>
        <v>-2.886579864025407E-15</v>
      </c>
      <c r="AQ936" t="s">
        <v>1316</v>
      </c>
    </row>
    <row r="937" spans="1:44" x14ac:dyDescent="0.3">
      <c r="A937" s="11">
        <f t="shared" si="35"/>
        <v>935</v>
      </c>
      <c r="B937" s="5" t="s">
        <v>1675</v>
      </c>
      <c r="C937" t="s">
        <v>894</v>
      </c>
      <c r="D937" t="s">
        <v>857</v>
      </c>
      <c r="E937" s="24" t="str">
        <f>IFERROR(VLOOKUP(D937,Dropdown!A:B,2,0),D937)</f>
        <v>Purav</v>
      </c>
      <c r="F937" s="6">
        <v>45924</v>
      </c>
      <c r="G937" s="6" t="str">
        <f>TEXT(F937, "MMM-YY")</f>
        <v>Sep-25</v>
      </c>
      <c r="H937" t="s">
        <v>1395</v>
      </c>
      <c r="I937" s="25">
        <v>96</v>
      </c>
      <c r="J937" s="4">
        <v>12000</v>
      </c>
      <c r="K937" t="s">
        <v>17</v>
      </c>
      <c r="L937" s="4" t="str">
        <f>VLOOKUP(K937, 'Items Master'!A:E,5,0)</f>
        <v>OPAL</v>
      </c>
      <c r="M937" s="4" t="str">
        <f>VLOOKUP(K937, 'Items Master'!A:D,4,0)</f>
        <v>LLDPE</v>
      </c>
      <c r="N937" t="s">
        <v>49</v>
      </c>
      <c r="Q937" s="6">
        <f t="shared" si="31"/>
        <v>45924</v>
      </c>
      <c r="R937" s="6" t="str">
        <f t="shared" si="30"/>
        <v>Sep-25</v>
      </c>
      <c r="T937" t="s">
        <v>21</v>
      </c>
      <c r="U937" t="s">
        <v>1605</v>
      </c>
      <c r="X937" s="25">
        <v>96.8</v>
      </c>
      <c r="Y937" s="25" t="s">
        <v>1303</v>
      </c>
      <c r="Z937" s="25" t="s">
        <v>1306</v>
      </c>
      <c r="AB937" s="8">
        <v>-0.9</v>
      </c>
      <c r="AH937" s="8">
        <v>0.1</v>
      </c>
      <c r="AN937" s="9">
        <f t="shared" si="34"/>
        <v>-0.8</v>
      </c>
      <c r="AP937" s="9">
        <f>I937-W937-X937-AN937</f>
        <v>2.886579864025407E-15</v>
      </c>
      <c r="AQ937" t="s">
        <v>1316</v>
      </c>
    </row>
    <row r="938" spans="1:44" x14ac:dyDescent="0.3">
      <c r="A938" s="11">
        <f t="shared" si="35"/>
        <v>936</v>
      </c>
      <c r="B938" s="5" t="s">
        <v>1675</v>
      </c>
      <c r="C938" t="s">
        <v>893</v>
      </c>
      <c r="D938" t="s">
        <v>864</v>
      </c>
      <c r="E938" s="24" t="str">
        <f>IFERROR(VLOOKUP(D938,Dropdown!A:B,2,0),D938)</f>
        <v>SVP</v>
      </c>
      <c r="F938" s="6">
        <v>45924</v>
      </c>
      <c r="G938" s="6" t="str">
        <f>TEXT(F938, "MMM-YY")</f>
        <v>Sep-25</v>
      </c>
      <c r="H938" t="s">
        <v>1396</v>
      </c>
      <c r="I938" s="25">
        <v>94.3</v>
      </c>
      <c r="J938" s="4">
        <v>8000</v>
      </c>
      <c r="K938" t="s">
        <v>1012</v>
      </c>
      <c r="L938" s="4" t="str">
        <f>VLOOKUP(K938, 'Items Master'!A:E,5,0)</f>
        <v>HMEL</v>
      </c>
      <c r="M938" s="4" t="str">
        <f>VLOOKUP(K938, 'Items Master'!A:D,4,0)</f>
        <v>LLDPE</v>
      </c>
      <c r="N938" t="s">
        <v>49</v>
      </c>
      <c r="Q938" s="6">
        <f t="shared" si="31"/>
        <v>45924</v>
      </c>
      <c r="R938" s="6" t="str">
        <f t="shared" si="30"/>
        <v>Sep-25</v>
      </c>
      <c r="X938" s="25">
        <v>97.4</v>
      </c>
      <c r="Y938" s="25" t="s">
        <v>1303</v>
      </c>
      <c r="Z938" s="25" t="s">
        <v>1305</v>
      </c>
      <c r="AB938" s="8">
        <v>-1.1000000000000001</v>
      </c>
      <c r="AC938" s="8">
        <v>-1</v>
      </c>
      <c r="AE938" s="8">
        <v>-1</v>
      </c>
      <c r="AN938" s="9">
        <f t="shared" si="34"/>
        <v>-3.1</v>
      </c>
      <c r="AP938" s="9">
        <f>I938-W938-X938-AN938</f>
        <v>-8.4376949871511897E-15</v>
      </c>
      <c r="AQ938" t="s">
        <v>1316</v>
      </c>
    </row>
    <row r="939" spans="1:44" x14ac:dyDescent="0.3">
      <c r="A939" s="11">
        <f t="shared" si="35"/>
        <v>937</v>
      </c>
      <c r="B939" s="5" t="s">
        <v>1675</v>
      </c>
      <c r="C939" t="s">
        <v>893</v>
      </c>
      <c r="D939" t="s">
        <v>864</v>
      </c>
      <c r="E939" s="24" t="str">
        <f>IFERROR(VLOOKUP(D939,Dropdown!A:B,2,0),D939)</f>
        <v>SVP</v>
      </c>
      <c r="F939" s="6">
        <v>45924</v>
      </c>
      <c r="G939" s="6" t="str">
        <f>TEXT(F939, "MMM-YY")</f>
        <v>Sep-25</v>
      </c>
      <c r="H939" t="s">
        <v>1398</v>
      </c>
      <c r="I939" s="25">
        <v>109.71</v>
      </c>
      <c r="J939" s="4">
        <v>5525</v>
      </c>
      <c r="K939" t="s">
        <v>1539</v>
      </c>
      <c r="L939" s="4" t="str">
        <f>VLOOKUP(K939, 'Items Master'!A:E,5,0)</f>
        <v>HMEL</v>
      </c>
      <c r="M939" s="4" t="str">
        <f>VLOOKUP(K939, 'Items Master'!A:D,4,0)</f>
        <v>LLDPE</v>
      </c>
      <c r="N939" t="s">
        <v>49</v>
      </c>
      <c r="Q939" s="6">
        <f t="shared" si="31"/>
        <v>45924</v>
      </c>
      <c r="R939" s="6" t="str">
        <f t="shared" si="30"/>
        <v>Sep-25</v>
      </c>
      <c r="X939" s="25">
        <v>109.71</v>
      </c>
      <c r="Y939" s="25" t="s">
        <v>1303</v>
      </c>
      <c r="Z939" s="25" t="s">
        <v>1305</v>
      </c>
      <c r="AB939" s="8">
        <v>-1.1000000000000001</v>
      </c>
      <c r="AC939" s="8">
        <v>-1</v>
      </c>
      <c r="AE939" s="8">
        <v>-4</v>
      </c>
      <c r="AF939" s="8">
        <f>-3-0.75</f>
        <v>-3.75</v>
      </c>
      <c r="AN939" s="9">
        <f t="shared" si="34"/>
        <v>-9.85</v>
      </c>
      <c r="AP939" s="9">
        <f>I939-W939-X939-AN939</f>
        <v>9.85</v>
      </c>
      <c r="AQ939" t="s">
        <v>1316</v>
      </c>
      <c r="AR939" t="s">
        <v>1603</v>
      </c>
    </row>
    <row r="940" spans="1:44" x14ac:dyDescent="0.3">
      <c r="A940" s="11">
        <f t="shared" si="35"/>
        <v>938</v>
      </c>
      <c r="B940" s="5" t="s">
        <v>1675</v>
      </c>
      <c r="C940" t="s">
        <v>893</v>
      </c>
      <c r="D940" t="s">
        <v>864</v>
      </c>
      <c r="E940" s="24" t="str">
        <f>IFERROR(VLOOKUP(D940,Dropdown!A:B,2,0),D940)</f>
        <v>SVP</v>
      </c>
      <c r="F940" s="6">
        <v>45924</v>
      </c>
      <c r="G940" s="6" t="str">
        <f>TEXT(F940, "MMM-YY")</f>
        <v>Sep-25</v>
      </c>
      <c r="H940" t="s">
        <v>1398</v>
      </c>
      <c r="I940" s="25">
        <v>109.71</v>
      </c>
      <c r="J940" s="4">
        <v>250</v>
      </c>
      <c r="K940" t="s">
        <v>1540</v>
      </c>
      <c r="L940" s="4" t="str">
        <f>VLOOKUP(K940, 'Items Master'!A:E,5,0)</f>
        <v>HMEL</v>
      </c>
      <c r="M940" s="4" t="str">
        <f>VLOOKUP(K940, 'Items Master'!A:D,4,0)</f>
        <v>LLDPE</v>
      </c>
      <c r="N940" t="s">
        <v>49</v>
      </c>
      <c r="Q940" s="6">
        <f t="shared" si="31"/>
        <v>45924</v>
      </c>
      <c r="R940" s="6" t="str">
        <f t="shared" si="30"/>
        <v>Sep-25</v>
      </c>
      <c r="X940" s="25">
        <v>109.71</v>
      </c>
      <c r="Y940" s="25" t="s">
        <v>1303</v>
      </c>
      <c r="Z940" s="25" t="s">
        <v>1305</v>
      </c>
      <c r="AB940" s="8">
        <v>-1.1000000000000001</v>
      </c>
      <c r="AC940" s="8">
        <v>-1</v>
      </c>
      <c r="AE940" s="8">
        <v>-4</v>
      </c>
      <c r="AF940" s="8">
        <f>-3-0.75</f>
        <v>-3.75</v>
      </c>
      <c r="AN940" s="9">
        <f t="shared" si="34"/>
        <v>-9.85</v>
      </c>
      <c r="AP940" s="9">
        <f>I940-W940-X940-AN940</f>
        <v>9.85</v>
      </c>
      <c r="AQ940" t="s">
        <v>1316</v>
      </c>
      <c r="AR940" t="s">
        <v>1603</v>
      </c>
    </row>
    <row r="941" spans="1:44" x14ac:dyDescent="0.3">
      <c r="A941" s="11">
        <f t="shared" si="35"/>
        <v>939</v>
      </c>
      <c r="B941" s="5" t="s">
        <v>1675</v>
      </c>
      <c r="C941" t="s">
        <v>893</v>
      </c>
      <c r="D941" t="s">
        <v>824</v>
      </c>
      <c r="E941" s="24" t="str">
        <f>IFERROR(VLOOKUP(D941,Dropdown!A:B,2,0),D941)</f>
        <v>Paragon</v>
      </c>
      <c r="F941" s="6">
        <v>45924</v>
      </c>
      <c r="G941" s="6" t="str">
        <f>TEXT(F941, "MMM-YY")</f>
        <v>Sep-25</v>
      </c>
      <c r="H941" t="s">
        <v>1399</v>
      </c>
      <c r="I941" s="25">
        <v>93.17</v>
      </c>
      <c r="J941" s="4">
        <v>500</v>
      </c>
      <c r="K941" t="s">
        <v>899</v>
      </c>
      <c r="L941" s="4" t="str">
        <f>VLOOKUP(K941, 'Items Master'!A:E,5,0)</f>
        <v>MRPL</v>
      </c>
      <c r="M941" s="4" t="str">
        <f>VLOOKUP(K941, 'Items Master'!A:D,4,0)</f>
        <v>PP</v>
      </c>
      <c r="N941" t="s">
        <v>49</v>
      </c>
      <c r="Q941" s="6">
        <f t="shared" si="31"/>
        <v>45924</v>
      </c>
      <c r="R941" s="6" t="str">
        <f t="shared" ref="R941:R1004" si="39">TEXT(Q941, "MMM-YY")</f>
        <v>Sep-25</v>
      </c>
      <c r="AN941" s="9">
        <f t="shared" si="34"/>
        <v>0</v>
      </c>
      <c r="AP941" s="9">
        <f>I941-W941-X941-AN941</f>
        <v>93.17</v>
      </c>
    </row>
    <row r="942" spans="1:44" x14ac:dyDescent="0.3">
      <c r="A942" s="11">
        <f t="shared" si="35"/>
        <v>940</v>
      </c>
      <c r="B942" s="5" t="s">
        <v>1675</v>
      </c>
      <c r="C942" t="s">
        <v>893</v>
      </c>
      <c r="D942" t="s">
        <v>854</v>
      </c>
      <c r="E942" s="24" t="str">
        <f>IFERROR(VLOOKUP(D942,Dropdown!A:B,2,0),D942)</f>
        <v>GOTAWAT INDUSTRIES</v>
      </c>
      <c r="F942" s="6">
        <v>45924</v>
      </c>
      <c r="G942" s="6" t="str">
        <f>TEXT(F942, "MMM-YY")</f>
        <v>Sep-25</v>
      </c>
      <c r="H942" t="s">
        <v>1400</v>
      </c>
      <c r="I942" s="25">
        <v>89.75</v>
      </c>
      <c r="J942" s="4">
        <v>2000</v>
      </c>
      <c r="K942" t="s">
        <v>910</v>
      </c>
      <c r="L942" s="4" t="str">
        <f>VLOOKUP(K942, 'Items Master'!A:E,5,0)</f>
        <v>RIL</v>
      </c>
      <c r="M942" s="4" t="str">
        <f>VLOOKUP(K942, 'Items Master'!A:D,4,0)</f>
        <v>PP</v>
      </c>
      <c r="N942" t="s">
        <v>24</v>
      </c>
      <c r="Q942" s="6">
        <f t="shared" ref="Q942:Q1005" si="40">F942</f>
        <v>45924</v>
      </c>
      <c r="R942" s="6" t="str">
        <f t="shared" si="39"/>
        <v>Sep-25</v>
      </c>
      <c r="W942" s="25">
        <f>I942</f>
        <v>89.75</v>
      </c>
      <c r="AN942" s="9">
        <f t="shared" si="34"/>
        <v>0</v>
      </c>
      <c r="AP942" s="9">
        <f>I942-W942-X942-AN942</f>
        <v>0</v>
      </c>
      <c r="AQ942" t="s">
        <v>1316</v>
      </c>
    </row>
    <row r="943" spans="1:44" x14ac:dyDescent="0.3">
      <c r="A943" s="11">
        <f t="shared" si="35"/>
        <v>941</v>
      </c>
      <c r="B943" s="5" t="s">
        <v>1675</v>
      </c>
      <c r="C943" t="s">
        <v>893</v>
      </c>
      <c r="D943" t="s">
        <v>836</v>
      </c>
      <c r="E943" s="24" t="str">
        <f>IFERROR(VLOOKUP(D943,Dropdown!A:B,2,0),D943)</f>
        <v>Intime</v>
      </c>
      <c r="F943" s="6">
        <v>45924</v>
      </c>
      <c r="G943" s="6" t="str">
        <f>TEXT(F943, "MMM-YY")</f>
        <v>Sep-25</v>
      </c>
      <c r="H943" t="s">
        <v>1403</v>
      </c>
      <c r="I943" s="25">
        <v>96.433000000000007</v>
      </c>
      <c r="J943" s="4">
        <v>5000</v>
      </c>
      <c r="K943" t="s">
        <v>911</v>
      </c>
      <c r="L943" s="4" t="str">
        <f>VLOOKUP(K943, 'Items Master'!A:E,5,0)</f>
        <v>BCPL</v>
      </c>
      <c r="M943" s="4" t="str">
        <f>VLOOKUP(K943, 'Items Master'!A:D,4,0)</f>
        <v>LLDPE</v>
      </c>
      <c r="N943" t="s">
        <v>49</v>
      </c>
      <c r="Q943" s="6">
        <f t="shared" si="40"/>
        <v>45924</v>
      </c>
      <c r="R943" s="6" t="str">
        <f t="shared" si="39"/>
        <v>Sep-25</v>
      </c>
      <c r="AN943" s="9">
        <f t="shared" si="34"/>
        <v>0</v>
      </c>
      <c r="AP943" s="9">
        <f>I943-W943-X943-AN943</f>
        <v>96.433000000000007</v>
      </c>
    </row>
    <row r="944" spans="1:44" x14ac:dyDescent="0.3">
      <c r="A944" s="11">
        <f t="shared" si="35"/>
        <v>942</v>
      </c>
      <c r="B944" s="5" t="s">
        <v>1675</v>
      </c>
      <c r="C944" t="s">
        <v>893</v>
      </c>
      <c r="D944" t="s">
        <v>836</v>
      </c>
      <c r="E944" s="24" t="str">
        <f>IFERROR(VLOOKUP(D944,Dropdown!A:B,2,0),D944)</f>
        <v>Intime</v>
      </c>
      <c r="F944" s="6">
        <v>45924</v>
      </c>
      <c r="G944" s="6" t="str">
        <f>TEXT(F944, "MMM-YY")</f>
        <v>Sep-25</v>
      </c>
      <c r="H944" t="s">
        <v>1403</v>
      </c>
      <c r="I944" s="25">
        <v>96.433000000000007</v>
      </c>
      <c r="J944" s="4">
        <v>4000</v>
      </c>
      <c r="K944" t="s">
        <v>911</v>
      </c>
      <c r="L944" s="4" t="str">
        <f>VLOOKUP(K944, 'Items Master'!A:E,5,0)</f>
        <v>BCPL</v>
      </c>
      <c r="M944" s="4" t="str">
        <f>VLOOKUP(K944, 'Items Master'!A:D,4,0)</f>
        <v>LLDPE</v>
      </c>
      <c r="N944" t="s">
        <v>49</v>
      </c>
      <c r="Q944" s="6">
        <f t="shared" si="40"/>
        <v>45924</v>
      </c>
      <c r="R944" s="6" t="str">
        <f t="shared" si="39"/>
        <v>Sep-25</v>
      </c>
      <c r="AN944" s="9">
        <f t="shared" si="34"/>
        <v>0</v>
      </c>
      <c r="AP944" s="9">
        <f>I944-W944-X944-AN944</f>
        <v>96.433000000000007</v>
      </c>
    </row>
    <row r="945" spans="1:43" x14ac:dyDescent="0.3">
      <c r="A945" s="11">
        <f t="shared" si="35"/>
        <v>943</v>
      </c>
      <c r="B945" s="5" t="s">
        <v>1675</v>
      </c>
      <c r="C945" t="s">
        <v>893</v>
      </c>
      <c r="D945" t="s">
        <v>836</v>
      </c>
      <c r="E945" s="24" t="str">
        <f>IFERROR(VLOOKUP(D945,Dropdown!A:B,2,0),D945)</f>
        <v>Intime</v>
      </c>
      <c r="F945" s="6">
        <v>45924</v>
      </c>
      <c r="G945" s="6" t="str">
        <f>TEXT(F945, "MMM-YY")</f>
        <v>Sep-25</v>
      </c>
      <c r="H945" t="s">
        <v>1403</v>
      </c>
      <c r="I945" s="25">
        <v>96.433000000000007</v>
      </c>
      <c r="J945" s="4">
        <v>3500</v>
      </c>
      <c r="K945" t="s">
        <v>911</v>
      </c>
      <c r="L945" s="4" t="str">
        <f>VLOOKUP(K945, 'Items Master'!A:E,5,0)</f>
        <v>BCPL</v>
      </c>
      <c r="M945" s="4" t="str">
        <f>VLOOKUP(K945, 'Items Master'!A:D,4,0)</f>
        <v>LLDPE</v>
      </c>
      <c r="N945" t="s">
        <v>49</v>
      </c>
      <c r="Q945" s="6">
        <f t="shared" si="40"/>
        <v>45924</v>
      </c>
      <c r="R945" s="6" t="str">
        <f t="shared" si="39"/>
        <v>Sep-25</v>
      </c>
      <c r="AN945" s="9">
        <f t="shared" si="34"/>
        <v>0</v>
      </c>
      <c r="AP945" s="9">
        <f>I945-W945-X945-AN945</f>
        <v>96.433000000000007</v>
      </c>
    </row>
    <row r="946" spans="1:43" x14ac:dyDescent="0.3">
      <c r="A946" s="11">
        <f t="shared" si="35"/>
        <v>944</v>
      </c>
      <c r="B946" s="5" t="s">
        <v>1675</v>
      </c>
      <c r="C946" t="s">
        <v>893</v>
      </c>
      <c r="D946" t="s">
        <v>854</v>
      </c>
      <c r="E946" s="24" t="str">
        <f>IFERROR(VLOOKUP(D946,Dropdown!A:B,2,0),D946)</f>
        <v>GOTAWAT INDUSTRIES</v>
      </c>
      <c r="F946" s="6">
        <v>45924</v>
      </c>
      <c r="G946" s="6" t="str">
        <f>TEXT(F946, "MMM-YY")</f>
        <v>Sep-25</v>
      </c>
      <c r="H946" t="s">
        <v>1400</v>
      </c>
      <c r="I946" s="25">
        <v>89.75</v>
      </c>
      <c r="J946" s="4">
        <v>8000</v>
      </c>
      <c r="K946" t="s">
        <v>910</v>
      </c>
      <c r="L946" s="4" t="str">
        <f>VLOOKUP(K946, 'Items Master'!A:E,5,0)</f>
        <v>RIL</v>
      </c>
      <c r="M946" s="4" t="str">
        <f>VLOOKUP(K946, 'Items Master'!A:D,4,0)</f>
        <v>PP</v>
      </c>
      <c r="N946" t="s">
        <v>24</v>
      </c>
      <c r="Q946" s="6">
        <f t="shared" si="40"/>
        <v>45924</v>
      </c>
      <c r="R946" s="6" t="str">
        <f t="shared" si="39"/>
        <v>Sep-25</v>
      </c>
      <c r="W946" s="25">
        <f>I946</f>
        <v>89.75</v>
      </c>
      <c r="AN946" s="9">
        <f t="shared" si="34"/>
        <v>0</v>
      </c>
      <c r="AP946" s="9">
        <f>I946-W946-X946-AN946</f>
        <v>0</v>
      </c>
      <c r="AQ946" t="s">
        <v>1316</v>
      </c>
    </row>
    <row r="947" spans="1:43" x14ac:dyDescent="0.3">
      <c r="A947" s="11">
        <f t="shared" si="35"/>
        <v>945</v>
      </c>
      <c r="B947" s="5" t="s">
        <v>1675</v>
      </c>
      <c r="C947" t="s">
        <v>893</v>
      </c>
      <c r="D947" t="s">
        <v>857</v>
      </c>
      <c r="E947" s="24" t="str">
        <f>IFERROR(VLOOKUP(D947,Dropdown!A:B,2,0),D947)</f>
        <v>Purav</v>
      </c>
      <c r="F947" s="6">
        <v>45924</v>
      </c>
      <c r="G947" s="6" t="str">
        <f>TEXT(F947, "MMM-YY")</f>
        <v>Sep-25</v>
      </c>
      <c r="H947" t="s">
        <v>1555</v>
      </c>
      <c r="I947" s="25">
        <v>96</v>
      </c>
      <c r="J947" s="4">
        <v>12000</v>
      </c>
      <c r="K947" t="s">
        <v>17</v>
      </c>
      <c r="L947" s="4" t="str">
        <f>VLOOKUP(K947, 'Items Master'!A:E,5,0)</f>
        <v>OPAL</v>
      </c>
      <c r="M947" s="4" t="str">
        <f>VLOOKUP(K947, 'Items Master'!A:D,4,0)</f>
        <v>LLDPE</v>
      </c>
      <c r="N947" t="s">
        <v>49</v>
      </c>
      <c r="Q947" s="6">
        <f t="shared" si="40"/>
        <v>45924</v>
      </c>
      <c r="R947" s="6" t="str">
        <f t="shared" si="39"/>
        <v>Sep-25</v>
      </c>
      <c r="T947" t="s">
        <v>21</v>
      </c>
      <c r="U947" t="s">
        <v>1605</v>
      </c>
      <c r="X947" s="25">
        <v>96.8</v>
      </c>
      <c r="Y947" s="25" t="s">
        <v>1303</v>
      </c>
      <c r="Z947" s="25" t="s">
        <v>1306</v>
      </c>
      <c r="AB947" s="8">
        <v>-0.9</v>
      </c>
      <c r="AH947" s="8">
        <v>0.1</v>
      </c>
      <c r="AN947" s="9">
        <f t="shared" si="34"/>
        <v>-0.8</v>
      </c>
      <c r="AP947" s="9">
        <f>I947-W947-X947-AN947</f>
        <v>2.886579864025407E-15</v>
      </c>
      <c r="AQ947" t="s">
        <v>1316</v>
      </c>
    </row>
    <row r="948" spans="1:43" x14ac:dyDescent="0.3">
      <c r="A948" s="11">
        <f t="shared" si="35"/>
        <v>946</v>
      </c>
      <c r="B948" s="5" t="s">
        <v>1675</v>
      </c>
      <c r="C948" t="s">
        <v>894</v>
      </c>
      <c r="D948" t="s">
        <v>837</v>
      </c>
      <c r="E948" s="24" t="str">
        <f>IFERROR(VLOOKUP(D948,Dropdown!A:B,2,0),D948)</f>
        <v>SYNTHETIC PACKERS LIMITED</v>
      </c>
      <c r="F948" s="6">
        <v>45925</v>
      </c>
      <c r="G948" s="6" t="str">
        <f>TEXT(F948, "MMM-YY")</f>
        <v>Sep-25</v>
      </c>
      <c r="H948" t="s">
        <v>1401</v>
      </c>
      <c r="I948" s="25">
        <v>90.5</v>
      </c>
      <c r="J948" s="4">
        <v>12000</v>
      </c>
      <c r="K948" t="s">
        <v>909</v>
      </c>
      <c r="L948" s="4" t="str">
        <f>VLOOKUP(K948, 'Items Master'!A:E,5,0)</f>
        <v>LUBAN</v>
      </c>
      <c r="M948" s="4" t="str">
        <f>VLOOKUP(K948, 'Items Master'!A:D,4,0)</f>
        <v>HDPE</v>
      </c>
      <c r="N948" t="s">
        <v>24</v>
      </c>
      <c r="Q948" s="6">
        <f t="shared" si="40"/>
        <v>45925</v>
      </c>
      <c r="R948" s="6" t="str">
        <f t="shared" si="39"/>
        <v>Sep-25</v>
      </c>
      <c r="W948" s="25">
        <f t="shared" ref="W948:W949" si="41">I948</f>
        <v>90.5</v>
      </c>
      <c r="AN948" s="9">
        <f t="shared" si="34"/>
        <v>0</v>
      </c>
      <c r="AP948" s="9">
        <f>I948-W948-X948-AN948</f>
        <v>0</v>
      </c>
      <c r="AQ948" t="s">
        <v>1316</v>
      </c>
    </row>
    <row r="949" spans="1:43" x14ac:dyDescent="0.3">
      <c r="A949" s="11">
        <f t="shared" si="35"/>
        <v>947</v>
      </c>
      <c r="B949" s="5" t="s">
        <v>1675</v>
      </c>
      <c r="C949" t="s">
        <v>894</v>
      </c>
      <c r="D949" t="s">
        <v>1355</v>
      </c>
      <c r="E949" s="24" t="str">
        <f>IFERROR(VLOOKUP(D949,Dropdown!A:B,2,0),D949)</f>
        <v>VIJAYNEHA POLYMERS PVT LTD</v>
      </c>
      <c r="F949" s="6">
        <v>45925</v>
      </c>
      <c r="G949" s="6" t="str">
        <f>TEXT(F949, "MMM-YY")</f>
        <v>Sep-25</v>
      </c>
      <c r="H949" t="s">
        <v>1402</v>
      </c>
      <c r="I949" s="25">
        <v>90.75</v>
      </c>
      <c r="J949" s="4">
        <v>24750</v>
      </c>
      <c r="K949" t="s">
        <v>907</v>
      </c>
      <c r="L949" s="4" t="str">
        <f>VLOOKUP(K949, 'Items Master'!A:E,5,0)</f>
        <v>MARLEX</v>
      </c>
      <c r="M949" s="4" t="str">
        <f>VLOOKUP(K949, 'Items Master'!A:D,4,0)</f>
        <v>HDPE</v>
      </c>
      <c r="N949" t="s">
        <v>24</v>
      </c>
      <c r="Q949" s="6">
        <f t="shared" si="40"/>
        <v>45925</v>
      </c>
      <c r="R949" s="6" t="str">
        <f t="shared" si="39"/>
        <v>Sep-25</v>
      </c>
      <c r="W949" s="25">
        <f t="shared" si="41"/>
        <v>90.75</v>
      </c>
      <c r="AN949" s="9">
        <f t="shared" si="34"/>
        <v>0</v>
      </c>
      <c r="AP949" s="9">
        <f>I949-W949-X949-AN949</f>
        <v>0</v>
      </c>
      <c r="AQ949" t="s">
        <v>1316</v>
      </c>
    </row>
    <row r="950" spans="1:43" x14ac:dyDescent="0.3">
      <c r="A950" s="11">
        <f t="shared" si="35"/>
        <v>948</v>
      </c>
      <c r="B950" s="5" t="s">
        <v>1675</v>
      </c>
      <c r="C950" t="s">
        <v>893</v>
      </c>
      <c r="D950" t="s">
        <v>824</v>
      </c>
      <c r="E950" s="24" t="str">
        <f>IFERROR(VLOOKUP(D950,Dropdown!A:B,2,0),D950)</f>
        <v>Paragon</v>
      </c>
      <c r="F950" s="6">
        <v>45925</v>
      </c>
      <c r="G950" s="6" t="str">
        <f>TEXT(F950, "MMM-YY")</f>
        <v>Sep-25</v>
      </c>
      <c r="H950" t="s">
        <v>1404</v>
      </c>
      <c r="I950" s="25">
        <v>98.39</v>
      </c>
      <c r="J950" s="4">
        <v>2500</v>
      </c>
      <c r="K950" t="s">
        <v>925</v>
      </c>
      <c r="L950" s="4" t="str">
        <f>VLOOKUP(K950, 'Items Master'!A:E,5,0)</f>
        <v>RIL</v>
      </c>
      <c r="M950" s="4" t="str">
        <f>VLOOKUP(K950, 'Items Master'!A:D,4,0)</f>
        <v>PP ICP</v>
      </c>
      <c r="N950" t="s">
        <v>49</v>
      </c>
      <c r="Q950" s="6">
        <f t="shared" si="40"/>
        <v>45925</v>
      </c>
      <c r="R950" s="6" t="str">
        <f t="shared" si="39"/>
        <v>Sep-25</v>
      </c>
      <c r="AN950" s="9">
        <f t="shared" si="34"/>
        <v>0</v>
      </c>
      <c r="AP950" s="9">
        <f>I950-W950-X950-AN950</f>
        <v>98.39</v>
      </c>
    </row>
    <row r="951" spans="1:43" x14ac:dyDescent="0.3">
      <c r="A951" s="11">
        <f t="shared" si="35"/>
        <v>949</v>
      </c>
      <c r="B951" s="5" t="s">
        <v>1675</v>
      </c>
      <c r="C951" t="s">
        <v>893</v>
      </c>
      <c r="D951" t="s">
        <v>48</v>
      </c>
      <c r="E951" s="24" t="str">
        <f>IFERROR(VLOOKUP(D951,Dropdown!A:B,2,0),D951)</f>
        <v>CVPL</v>
      </c>
      <c r="F951" s="6">
        <v>45925</v>
      </c>
      <c r="G951" s="6" t="str">
        <f>TEXT(F951, "MMM-YY")</f>
        <v>Sep-25</v>
      </c>
      <c r="H951" t="s">
        <v>1405</v>
      </c>
      <c r="I951" s="25">
        <v>98</v>
      </c>
      <c r="J951" s="4">
        <v>3000</v>
      </c>
      <c r="K951" t="s">
        <v>904</v>
      </c>
      <c r="L951" s="4" t="str">
        <f>VLOOKUP(K951, 'Items Master'!A:E,5,0)</f>
        <v>BOROUGE</v>
      </c>
      <c r="M951" s="4" t="str">
        <f>VLOOKUP(K951, 'Items Master'!A:D,4,0)</f>
        <v>PP RCP</v>
      </c>
      <c r="N951" t="s">
        <v>24</v>
      </c>
      <c r="Q951" s="6">
        <f t="shared" si="40"/>
        <v>45925</v>
      </c>
      <c r="R951" s="6" t="str">
        <f t="shared" si="39"/>
        <v>Sep-25</v>
      </c>
      <c r="W951" s="25">
        <f t="shared" ref="W951:W955" si="42">I951</f>
        <v>98</v>
      </c>
      <c r="AN951" s="9">
        <f t="shared" si="34"/>
        <v>0</v>
      </c>
      <c r="AP951" s="9">
        <f>I951-W951-X951-AN951</f>
        <v>0</v>
      </c>
      <c r="AQ951" t="s">
        <v>1316</v>
      </c>
    </row>
    <row r="952" spans="1:43" x14ac:dyDescent="0.3">
      <c r="A952" s="11">
        <f t="shared" si="35"/>
        <v>950</v>
      </c>
      <c r="B952" s="5" t="s">
        <v>1675</v>
      </c>
      <c r="C952" t="s">
        <v>893</v>
      </c>
      <c r="D952" t="s">
        <v>48</v>
      </c>
      <c r="E952" s="24" t="str">
        <f>IFERROR(VLOOKUP(D952,Dropdown!A:B,2,0),D952)</f>
        <v>CVPL</v>
      </c>
      <c r="F952" s="6">
        <v>45925</v>
      </c>
      <c r="G952" s="6" t="str">
        <f>TEXT(F952, "MMM-YY")</f>
        <v>Sep-25</v>
      </c>
      <c r="H952" t="s">
        <v>1405</v>
      </c>
      <c r="I952" s="25">
        <v>98</v>
      </c>
      <c r="J952" s="4">
        <v>3000</v>
      </c>
      <c r="K952" t="s">
        <v>904</v>
      </c>
      <c r="L952" s="4" t="str">
        <f>VLOOKUP(K952, 'Items Master'!A:E,5,0)</f>
        <v>BOROUGE</v>
      </c>
      <c r="M952" s="4" t="str">
        <f>VLOOKUP(K952, 'Items Master'!A:D,4,0)</f>
        <v>PP RCP</v>
      </c>
      <c r="N952" t="s">
        <v>24</v>
      </c>
      <c r="Q952" s="6">
        <f t="shared" si="40"/>
        <v>45925</v>
      </c>
      <c r="R952" s="6" t="str">
        <f t="shared" si="39"/>
        <v>Sep-25</v>
      </c>
      <c r="W952" s="25">
        <f t="shared" si="42"/>
        <v>98</v>
      </c>
      <c r="AN952" s="9">
        <f t="shared" si="34"/>
        <v>0</v>
      </c>
      <c r="AP952" s="9">
        <f>I952-W952-X952-AN952</f>
        <v>0</v>
      </c>
      <c r="AQ952" t="s">
        <v>1316</v>
      </c>
    </row>
    <row r="953" spans="1:43" x14ac:dyDescent="0.3">
      <c r="A953" s="11">
        <f t="shared" si="35"/>
        <v>951</v>
      </c>
      <c r="B953" s="5" t="s">
        <v>1675</v>
      </c>
      <c r="C953" t="s">
        <v>893</v>
      </c>
      <c r="D953" t="s">
        <v>830</v>
      </c>
      <c r="E953" s="24" t="str">
        <f>IFERROR(VLOOKUP(D953,Dropdown!A:B,2,0),D953)</f>
        <v>BULK LIQUID SOLUTIONS PVT LTD</v>
      </c>
      <c r="F953" s="6">
        <v>45925</v>
      </c>
      <c r="G953" s="6" t="str">
        <f>TEXT(F953, "MMM-YY")</f>
        <v>Sep-25</v>
      </c>
      <c r="H953" t="s">
        <v>1406</v>
      </c>
      <c r="I953" s="25">
        <v>98</v>
      </c>
      <c r="J953" s="4">
        <v>4000</v>
      </c>
      <c r="K953" t="s">
        <v>1106</v>
      </c>
      <c r="L953" s="4" t="str">
        <f>VLOOKUP(K953, 'Items Master'!A:E,5,0)</f>
        <v>BOROUGE</v>
      </c>
      <c r="M953" s="4" t="str">
        <f>VLOOKUP(K953, 'Items Master'!A:D,4,0)</f>
        <v>PP RCP</v>
      </c>
      <c r="N953" t="s">
        <v>24</v>
      </c>
      <c r="Q953" s="6">
        <f t="shared" si="40"/>
        <v>45925</v>
      </c>
      <c r="R953" s="6" t="str">
        <f t="shared" si="39"/>
        <v>Sep-25</v>
      </c>
      <c r="W953" s="25">
        <f t="shared" si="42"/>
        <v>98</v>
      </c>
      <c r="AN953" s="9">
        <f t="shared" si="34"/>
        <v>0</v>
      </c>
      <c r="AP953" s="9">
        <f>I953-W953-X953-AN953</f>
        <v>0</v>
      </c>
      <c r="AQ953" t="s">
        <v>1316</v>
      </c>
    </row>
    <row r="954" spans="1:43" x14ac:dyDescent="0.3">
      <c r="A954" s="11">
        <f t="shared" si="35"/>
        <v>952</v>
      </c>
      <c r="B954" s="5" t="s">
        <v>1675</v>
      </c>
      <c r="C954" t="s">
        <v>893</v>
      </c>
      <c r="D954" t="s">
        <v>48</v>
      </c>
      <c r="E954" s="24" t="str">
        <f>IFERROR(VLOOKUP(D954,Dropdown!A:B,2,0),D954)</f>
        <v>CVPL</v>
      </c>
      <c r="F954" s="6">
        <v>45925</v>
      </c>
      <c r="G954" s="6" t="str">
        <f>TEXT(F954, "MMM-YY")</f>
        <v>Sep-25</v>
      </c>
      <c r="H954" t="s">
        <v>1405</v>
      </c>
      <c r="I954" s="25">
        <v>98</v>
      </c>
      <c r="J954" s="4">
        <v>2000</v>
      </c>
      <c r="K954" t="s">
        <v>904</v>
      </c>
      <c r="L954" s="4" t="str">
        <f>VLOOKUP(K954, 'Items Master'!A:E,5,0)</f>
        <v>BOROUGE</v>
      </c>
      <c r="M954" s="4" t="str">
        <f>VLOOKUP(K954, 'Items Master'!A:D,4,0)</f>
        <v>PP RCP</v>
      </c>
      <c r="N954" t="s">
        <v>24</v>
      </c>
      <c r="Q954" s="6">
        <f t="shared" si="40"/>
        <v>45925</v>
      </c>
      <c r="R954" s="6" t="str">
        <f t="shared" si="39"/>
        <v>Sep-25</v>
      </c>
      <c r="W954" s="25">
        <f t="shared" si="42"/>
        <v>98</v>
      </c>
      <c r="AN954" s="9">
        <f t="shared" si="34"/>
        <v>0</v>
      </c>
      <c r="AP954" s="9">
        <f>I954-W954-X954-AN954</f>
        <v>0</v>
      </c>
      <c r="AQ954" t="s">
        <v>1316</v>
      </c>
    </row>
    <row r="955" spans="1:43" x14ac:dyDescent="0.3">
      <c r="A955" s="11">
        <f t="shared" si="35"/>
        <v>953</v>
      </c>
      <c r="B955" s="5" t="s">
        <v>1675</v>
      </c>
      <c r="C955" t="s">
        <v>893</v>
      </c>
      <c r="D955" t="s">
        <v>830</v>
      </c>
      <c r="E955" s="24" t="str">
        <f>IFERROR(VLOOKUP(D955,Dropdown!A:B,2,0),D955)</f>
        <v>BULK LIQUID SOLUTIONS PVT LTD</v>
      </c>
      <c r="F955" s="6">
        <v>45925</v>
      </c>
      <c r="G955" s="6" t="str">
        <f>TEXT(F955, "MMM-YY")</f>
        <v>Sep-25</v>
      </c>
      <c r="H955" t="s">
        <v>1406</v>
      </c>
      <c r="I955" s="25">
        <v>98</v>
      </c>
      <c r="J955" s="4">
        <v>6000</v>
      </c>
      <c r="K955" t="s">
        <v>1106</v>
      </c>
      <c r="L955" s="4" t="str">
        <f>VLOOKUP(K955, 'Items Master'!A:E,5,0)</f>
        <v>BOROUGE</v>
      </c>
      <c r="M955" s="4" t="str">
        <f>VLOOKUP(K955, 'Items Master'!A:D,4,0)</f>
        <v>PP RCP</v>
      </c>
      <c r="N955" t="s">
        <v>24</v>
      </c>
      <c r="Q955" s="6">
        <f t="shared" si="40"/>
        <v>45925</v>
      </c>
      <c r="R955" s="6" t="str">
        <f t="shared" si="39"/>
        <v>Sep-25</v>
      </c>
      <c r="W955" s="25">
        <f t="shared" si="42"/>
        <v>98</v>
      </c>
      <c r="AN955" s="9">
        <f t="shared" si="34"/>
        <v>0</v>
      </c>
      <c r="AP955" s="9">
        <f>I955-W955-X955-AN955</f>
        <v>0</v>
      </c>
      <c r="AQ955" t="s">
        <v>1316</v>
      </c>
    </row>
    <row r="956" spans="1:43" x14ac:dyDescent="0.3">
      <c r="A956" s="11">
        <f t="shared" si="35"/>
        <v>954</v>
      </c>
      <c r="B956" s="5" t="s">
        <v>1675</v>
      </c>
      <c r="C956" t="s">
        <v>894</v>
      </c>
      <c r="D956" t="s">
        <v>857</v>
      </c>
      <c r="E956" s="24" t="str">
        <f>IFERROR(VLOOKUP(D956,Dropdown!A:B,2,0),D956)</f>
        <v>Purav</v>
      </c>
      <c r="F956" s="6">
        <v>45926</v>
      </c>
      <c r="G956" s="6" t="str">
        <f>TEXT(F956, "MMM-YY")</f>
        <v>Sep-25</v>
      </c>
      <c r="H956" t="s">
        <v>1407</v>
      </c>
      <c r="I956" s="25">
        <v>96</v>
      </c>
      <c r="J956" s="4">
        <v>7000</v>
      </c>
      <c r="K956" t="s">
        <v>17</v>
      </c>
      <c r="L956" s="4" t="str">
        <f>VLOOKUP(K956, 'Items Master'!A:E,5,0)</f>
        <v>OPAL</v>
      </c>
      <c r="M956" s="4" t="str">
        <f>VLOOKUP(K956, 'Items Master'!A:D,4,0)</f>
        <v>LLDPE</v>
      </c>
      <c r="N956" t="s">
        <v>49</v>
      </c>
      <c r="Q956" s="6">
        <f t="shared" si="40"/>
        <v>45926</v>
      </c>
      <c r="R956" s="6" t="str">
        <f t="shared" si="39"/>
        <v>Sep-25</v>
      </c>
      <c r="T956" t="s">
        <v>21</v>
      </c>
      <c r="U956" t="s">
        <v>1605</v>
      </c>
      <c r="X956" s="25">
        <v>96.8</v>
      </c>
      <c r="Y956" s="25" t="s">
        <v>1303</v>
      </c>
      <c r="Z956" s="25" t="s">
        <v>1306</v>
      </c>
      <c r="AB956" s="8">
        <v>-0.9</v>
      </c>
      <c r="AH956" s="8">
        <v>0.1</v>
      </c>
      <c r="AN956" s="9">
        <f t="shared" si="34"/>
        <v>-0.8</v>
      </c>
      <c r="AP956" s="9">
        <f>I956-W956-X956-AN956</f>
        <v>2.886579864025407E-15</v>
      </c>
      <c r="AQ956" t="s">
        <v>1316</v>
      </c>
    </row>
    <row r="957" spans="1:43" x14ac:dyDescent="0.3">
      <c r="A957" s="11">
        <f t="shared" si="35"/>
        <v>955</v>
      </c>
      <c r="B957" s="5" t="s">
        <v>1675</v>
      </c>
      <c r="C957" t="s">
        <v>894</v>
      </c>
      <c r="D957" t="s">
        <v>857</v>
      </c>
      <c r="E957" s="24" t="str">
        <f>IFERROR(VLOOKUP(D957,Dropdown!A:B,2,0),D957)</f>
        <v>Purav</v>
      </c>
      <c r="F957" s="6">
        <v>45926</v>
      </c>
      <c r="G957" s="6" t="str">
        <f>TEXT(F957, "MMM-YY")</f>
        <v>Sep-25</v>
      </c>
      <c r="H957" t="s">
        <v>1407</v>
      </c>
      <c r="I957" s="25">
        <v>96</v>
      </c>
      <c r="J957" s="4">
        <v>5000</v>
      </c>
      <c r="K957" t="s">
        <v>17</v>
      </c>
      <c r="L957" s="4" t="str">
        <f>VLOOKUP(K957, 'Items Master'!A:E,5,0)</f>
        <v>OPAL</v>
      </c>
      <c r="M957" s="4" t="str">
        <f>VLOOKUP(K957, 'Items Master'!A:D,4,0)</f>
        <v>LLDPE</v>
      </c>
      <c r="N957" t="s">
        <v>49</v>
      </c>
      <c r="Q957" s="6">
        <f t="shared" si="40"/>
        <v>45926</v>
      </c>
      <c r="R957" s="6" t="str">
        <f t="shared" si="39"/>
        <v>Sep-25</v>
      </c>
      <c r="T957" t="s">
        <v>21</v>
      </c>
      <c r="U957" t="s">
        <v>1605</v>
      </c>
      <c r="X957" s="25">
        <v>96.8</v>
      </c>
      <c r="Y957" s="25" t="s">
        <v>1303</v>
      </c>
      <c r="Z957" s="25" t="s">
        <v>1306</v>
      </c>
      <c r="AB957" s="8">
        <v>-0.9</v>
      </c>
      <c r="AH957" s="8">
        <v>0.1</v>
      </c>
      <c r="AN957" s="9">
        <f t="shared" si="34"/>
        <v>-0.8</v>
      </c>
      <c r="AP957" s="9">
        <f>I957-W957-X957-AN957</f>
        <v>2.886579864025407E-15</v>
      </c>
      <c r="AQ957" t="s">
        <v>1316</v>
      </c>
    </row>
    <row r="958" spans="1:43" x14ac:dyDescent="0.3">
      <c r="A958" s="11">
        <f t="shared" si="35"/>
        <v>956</v>
      </c>
      <c r="B958" s="5" t="s">
        <v>1675</v>
      </c>
      <c r="C958" t="s">
        <v>894</v>
      </c>
      <c r="D958" t="s">
        <v>857</v>
      </c>
      <c r="E958" s="24" t="str">
        <f>IFERROR(VLOOKUP(D958,Dropdown!A:B,2,0),D958)</f>
        <v>Purav</v>
      </c>
      <c r="F958" s="6">
        <v>45926</v>
      </c>
      <c r="G958" s="6" t="str">
        <f>TEXT(F958, "MMM-YY")</f>
        <v>Sep-25</v>
      </c>
      <c r="H958" t="s">
        <v>1408</v>
      </c>
      <c r="I958" s="25">
        <v>96</v>
      </c>
      <c r="J958" s="4">
        <v>12000</v>
      </c>
      <c r="K958" t="s">
        <v>17</v>
      </c>
      <c r="L958" s="4" t="str">
        <f>VLOOKUP(K958, 'Items Master'!A:E,5,0)</f>
        <v>OPAL</v>
      </c>
      <c r="M958" s="4" t="str">
        <f>VLOOKUP(K958, 'Items Master'!A:D,4,0)</f>
        <v>LLDPE</v>
      </c>
      <c r="N958" t="s">
        <v>49</v>
      </c>
      <c r="Q958" s="6">
        <f t="shared" si="40"/>
        <v>45926</v>
      </c>
      <c r="R958" s="6" t="str">
        <f t="shared" si="39"/>
        <v>Sep-25</v>
      </c>
      <c r="T958" t="s">
        <v>21</v>
      </c>
      <c r="U958" t="s">
        <v>1605</v>
      </c>
      <c r="X958" s="25">
        <v>96.8</v>
      </c>
      <c r="Y958" s="25" t="s">
        <v>1303</v>
      </c>
      <c r="Z958" s="25" t="s">
        <v>1306</v>
      </c>
      <c r="AB958" s="8">
        <v>-0.9</v>
      </c>
      <c r="AH958" s="8">
        <v>0.1</v>
      </c>
      <c r="AN958" s="9">
        <f t="shared" si="34"/>
        <v>-0.8</v>
      </c>
      <c r="AP958" s="9">
        <f>I958-W958-X958-AN958</f>
        <v>2.886579864025407E-15</v>
      </c>
      <c r="AQ958" t="s">
        <v>1316</v>
      </c>
    </row>
    <row r="959" spans="1:43" x14ac:dyDescent="0.3">
      <c r="A959" s="11">
        <f t="shared" si="35"/>
        <v>957</v>
      </c>
      <c r="B959" s="5" t="s">
        <v>1675</v>
      </c>
      <c r="C959" t="s">
        <v>893</v>
      </c>
      <c r="D959" t="s">
        <v>48</v>
      </c>
      <c r="E959" s="24" t="str">
        <f>IFERROR(VLOOKUP(D959,Dropdown!A:B,2,0),D959)</f>
        <v>CVPL</v>
      </c>
      <c r="F959" s="6">
        <v>45926</v>
      </c>
      <c r="G959" s="6" t="str">
        <f>TEXT(F959, "MMM-YY")</f>
        <v>Sep-25</v>
      </c>
      <c r="H959" t="s">
        <v>1409</v>
      </c>
      <c r="I959" s="25">
        <v>93.15</v>
      </c>
      <c r="J959" s="4">
        <v>10000</v>
      </c>
      <c r="K959" t="s">
        <v>937</v>
      </c>
      <c r="L959" s="4" t="str">
        <f>VLOOKUP(K959, 'Items Master'!A:E,5,0)</f>
        <v>MRPL</v>
      </c>
      <c r="M959" s="4" t="str">
        <f>VLOOKUP(K959, 'Items Master'!A:D,4,0)</f>
        <v>PP</v>
      </c>
      <c r="N959" t="s">
        <v>49</v>
      </c>
      <c r="Q959" s="6">
        <f t="shared" si="40"/>
        <v>45926</v>
      </c>
      <c r="R959" s="6" t="str">
        <f t="shared" si="39"/>
        <v>Sep-25</v>
      </c>
      <c r="AN959" s="9">
        <f t="shared" si="34"/>
        <v>0</v>
      </c>
      <c r="AP959" s="9">
        <f>I959-W959-X959-AN959</f>
        <v>93.15</v>
      </c>
    </row>
    <row r="960" spans="1:43" x14ac:dyDescent="0.3">
      <c r="A960" s="11">
        <f t="shared" si="35"/>
        <v>958</v>
      </c>
      <c r="B960" s="5" t="s">
        <v>1675</v>
      </c>
      <c r="C960" t="s">
        <v>893</v>
      </c>
      <c r="D960" t="s">
        <v>835</v>
      </c>
      <c r="E960" s="24" t="str">
        <f>IFERROR(VLOOKUP(D960,Dropdown!A:B,2,0),D960)</f>
        <v>IVORY POLYMERS</v>
      </c>
      <c r="F960" s="6">
        <v>45926</v>
      </c>
      <c r="G960" s="6" t="str">
        <f>TEXT(F960, "MMM-YY")</f>
        <v>Sep-25</v>
      </c>
      <c r="H960" t="s">
        <v>1410</v>
      </c>
      <c r="I960" s="25">
        <v>105.25</v>
      </c>
      <c r="J960" s="4">
        <v>5000</v>
      </c>
      <c r="K960" t="s">
        <v>923</v>
      </c>
      <c r="L960" s="4" t="str">
        <f>VLOOKUP(K960, 'Items Master'!A:E,5,0)</f>
        <v>EXXON</v>
      </c>
      <c r="M960" s="4" t="str">
        <f>VLOOKUP(K960, 'Items Master'!A:D,4,0)</f>
        <v>Metallocene</v>
      </c>
      <c r="N960" t="s">
        <v>24</v>
      </c>
      <c r="Q960" s="6">
        <f t="shared" si="40"/>
        <v>45926</v>
      </c>
      <c r="R960" s="6" t="str">
        <f t="shared" si="39"/>
        <v>Sep-25</v>
      </c>
      <c r="W960" s="25">
        <f t="shared" ref="W960:W961" si="43">I960</f>
        <v>105.25</v>
      </c>
      <c r="AN960" s="9">
        <f t="shared" si="34"/>
        <v>0</v>
      </c>
      <c r="AP960" s="9">
        <f>I960-W960-X960-AN960</f>
        <v>0</v>
      </c>
      <c r="AQ960" t="s">
        <v>1316</v>
      </c>
    </row>
    <row r="961" spans="1:44" x14ac:dyDescent="0.3">
      <c r="A961" s="11">
        <f t="shared" si="35"/>
        <v>959</v>
      </c>
      <c r="B961" s="5" t="s">
        <v>1675</v>
      </c>
      <c r="C961" t="s">
        <v>893</v>
      </c>
      <c r="D961" t="s">
        <v>48</v>
      </c>
      <c r="E961" s="24" t="str">
        <f>IFERROR(VLOOKUP(D961,Dropdown!A:B,2,0),D961)</f>
        <v>CVPL</v>
      </c>
      <c r="F961" s="6">
        <v>45926</v>
      </c>
      <c r="G961" s="6" t="str">
        <f>TEXT(F961, "MMM-YY")</f>
        <v>Sep-25</v>
      </c>
      <c r="H961" t="s">
        <v>1411</v>
      </c>
      <c r="I961" s="25">
        <v>112.75</v>
      </c>
      <c r="J961" s="4">
        <v>500</v>
      </c>
      <c r="K961" t="s">
        <v>953</v>
      </c>
      <c r="L961" s="4" t="str">
        <f>VLOOKUP(K961, 'Items Master'!A:E,5,0)</f>
        <v>LOTRENE</v>
      </c>
      <c r="M961" s="4" t="str">
        <f>VLOOKUP(K961, 'Items Master'!A:D,4,0)</f>
        <v>LDPE</v>
      </c>
      <c r="N961" t="s">
        <v>24</v>
      </c>
      <c r="Q961" s="6">
        <f t="shared" si="40"/>
        <v>45926</v>
      </c>
      <c r="R961" s="6" t="str">
        <f t="shared" si="39"/>
        <v>Sep-25</v>
      </c>
      <c r="W961" s="25">
        <f t="shared" si="43"/>
        <v>112.75</v>
      </c>
      <c r="AN961" s="9">
        <f t="shared" si="34"/>
        <v>0</v>
      </c>
      <c r="AP961" s="9">
        <f>I961-W961-X961-AN961</f>
        <v>0</v>
      </c>
      <c r="AQ961" t="s">
        <v>1316</v>
      </c>
    </row>
    <row r="962" spans="1:44" x14ac:dyDescent="0.3">
      <c r="A962" s="11">
        <f t="shared" si="35"/>
        <v>960</v>
      </c>
      <c r="B962" s="5" t="s">
        <v>1675</v>
      </c>
      <c r="C962" t="s">
        <v>893</v>
      </c>
      <c r="D962" t="s">
        <v>864</v>
      </c>
      <c r="E962" s="24" t="str">
        <f>IFERROR(VLOOKUP(D962,Dropdown!A:B,2,0),D962)</f>
        <v>SVP</v>
      </c>
      <c r="F962" s="6">
        <v>45926</v>
      </c>
      <c r="G962" s="6" t="str">
        <f>TEXT(F962, "MMM-YY")</f>
        <v>Sep-25</v>
      </c>
      <c r="H962" t="s">
        <v>1412</v>
      </c>
      <c r="I962" s="25">
        <v>94.3</v>
      </c>
      <c r="J962" s="4">
        <v>1700</v>
      </c>
      <c r="K962" t="s">
        <v>1012</v>
      </c>
      <c r="L962" s="4" t="str">
        <f>VLOOKUP(K962, 'Items Master'!A:E,5,0)</f>
        <v>HMEL</v>
      </c>
      <c r="M962" s="4" t="str">
        <f>VLOOKUP(K962, 'Items Master'!A:D,4,0)</f>
        <v>LLDPE</v>
      </c>
      <c r="N962" t="s">
        <v>49</v>
      </c>
      <c r="Q962" s="6">
        <f t="shared" si="40"/>
        <v>45926</v>
      </c>
      <c r="R962" s="6" t="str">
        <f t="shared" si="39"/>
        <v>Sep-25</v>
      </c>
      <c r="X962" s="25">
        <v>97.4</v>
      </c>
      <c r="Y962" s="25" t="s">
        <v>1303</v>
      </c>
      <c r="Z962" s="25" t="s">
        <v>1305</v>
      </c>
      <c r="AB962" s="8">
        <v>-1.1000000000000001</v>
      </c>
      <c r="AC962" s="8">
        <v>-1</v>
      </c>
      <c r="AE962" s="8">
        <v>-1</v>
      </c>
      <c r="AN962" s="9">
        <f t="shared" si="34"/>
        <v>-3.1</v>
      </c>
      <c r="AP962" s="9">
        <f>I962-W962-X962-AN962</f>
        <v>-8.4376949871511897E-15</v>
      </c>
      <c r="AQ962" t="s">
        <v>1316</v>
      </c>
    </row>
    <row r="963" spans="1:44" x14ac:dyDescent="0.3">
      <c r="A963" s="11">
        <f t="shared" si="35"/>
        <v>961</v>
      </c>
      <c r="B963" s="5" t="s">
        <v>1675</v>
      </c>
      <c r="C963" t="s">
        <v>893</v>
      </c>
      <c r="D963" t="s">
        <v>864</v>
      </c>
      <c r="E963" s="24" t="str">
        <f>IFERROR(VLOOKUP(D963,Dropdown!A:B,2,0),D963)</f>
        <v>SVP</v>
      </c>
      <c r="F963" s="6">
        <v>45926</v>
      </c>
      <c r="G963" s="6" t="str">
        <f>TEXT(F963, "MMM-YY")</f>
        <v>Sep-25</v>
      </c>
      <c r="H963" t="s">
        <v>1414</v>
      </c>
      <c r="I963" s="25">
        <v>108.65</v>
      </c>
      <c r="J963" s="4">
        <v>5000</v>
      </c>
      <c r="K963" t="s">
        <v>1539</v>
      </c>
      <c r="L963" s="4" t="str">
        <f>VLOOKUP(K963, 'Items Master'!A:E,5,0)</f>
        <v>HMEL</v>
      </c>
      <c r="M963" s="4" t="str">
        <f>VLOOKUP(K963, 'Items Master'!A:D,4,0)</f>
        <v>LLDPE</v>
      </c>
      <c r="N963" t="s">
        <v>49</v>
      </c>
      <c r="Q963" s="6">
        <f t="shared" si="40"/>
        <v>45926</v>
      </c>
      <c r="R963" s="6" t="str">
        <f t="shared" si="39"/>
        <v>Sep-25</v>
      </c>
      <c r="X963" s="25">
        <v>108.65</v>
      </c>
      <c r="Y963" s="25" t="s">
        <v>1303</v>
      </c>
      <c r="Z963" s="25" t="s">
        <v>1305</v>
      </c>
      <c r="AB963" s="8">
        <v>-1.1000000000000001</v>
      </c>
      <c r="AC963" s="8">
        <v>-1</v>
      </c>
      <c r="AE963" s="8">
        <v>-4</v>
      </c>
      <c r="AF963" s="8">
        <f>-3-0.75</f>
        <v>-3.75</v>
      </c>
      <c r="AN963" s="9">
        <f t="shared" si="34"/>
        <v>-9.85</v>
      </c>
      <c r="AP963" s="9">
        <f>I963-W963-X963-AN963</f>
        <v>9.85</v>
      </c>
      <c r="AQ963" t="s">
        <v>1316</v>
      </c>
      <c r="AR963" t="s">
        <v>1603</v>
      </c>
    </row>
    <row r="964" spans="1:44" x14ac:dyDescent="0.3">
      <c r="A964" s="11">
        <f t="shared" si="35"/>
        <v>962</v>
      </c>
      <c r="B964" s="5" t="s">
        <v>1675</v>
      </c>
      <c r="C964" t="s">
        <v>893</v>
      </c>
      <c r="D964" t="s">
        <v>864</v>
      </c>
      <c r="E964" s="24" t="str">
        <f>IFERROR(VLOOKUP(D964,Dropdown!A:B,2,0),D964)</f>
        <v>SVP</v>
      </c>
      <c r="F964" s="6">
        <v>45926</v>
      </c>
      <c r="G964" s="6" t="str">
        <f>TEXT(F964, "MMM-YY")</f>
        <v>Sep-25</v>
      </c>
      <c r="H964" t="s">
        <v>1414</v>
      </c>
      <c r="I964" s="25">
        <v>108.65</v>
      </c>
      <c r="J964" s="4">
        <v>4150</v>
      </c>
      <c r="K964" t="s">
        <v>1539</v>
      </c>
      <c r="L964" s="4" t="str">
        <f>VLOOKUP(K964, 'Items Master'!A:E,5,0)</f>
        <v>HMEL</v>
      </c>
      <c r="M964" s="4" t="str">
        <f>VLOOKUP(K964, 'Items Master'!A:D,4,0)</f>
        <v>LLDPE</v>
      </c>
      <c r="N964" t="s">
        <v>49</v>
      </c>
      <c r="Q964" s="6">
        <f t="shared" si="40"/>
        <v>45926</v>
      </c>
      <c r="R964" s="6" t="str">
        <f t="shared" si="39"/>
        <v>Sep-25</v>
      </c>
      <c r="X964" s="25">
        <v>108.65</v>
      </c>
      <c r="Y964" s="25" t="s">
        <v>1303</v>
      </c>
      <c r="Z964" s="25" t="s">
        <v>1305</v>
      </c>
      <c r="AB964" s="8">
        <v>-1.1000000000000001</v>
      </c>
      <c r="AC964" s="8">
        <v>-1</v>
      </c>
      <c r="AE964" s="8">
        <v>-4</v>
      </c>
      <c r="AF964" s="8">
        <f>-3-0.75</f>
        <v>-3.75</v>
      </c>
      <c r="AN964" s="9">
        <f t="shared" si="34"/>
        <v>-9.85</v>
      </c>
      <c r="AP964" s="9">
        <f>I964-W964-X964-AN964</f>
        <v>9.85</v>
      </c>
      <c r="AQ964" t="s">
        <v>1316</v>
      </c>
      <c r="AR964" t="s">
        <v>1603</v>
      </c>
    </row>
    <row r="965" spans="1:44" x14ac:dyDescent="0.3">
      <c r="A965" s="11">
        <f t="shared" si="35"/>
        <v>963</v>
      </c>
      <c r="B965" s="5" t="s">
        <v>1675</v>
      </c>
      <c r="C965" t="s">
        <v>893</v>
      </c>
      <c r="D965" t="s">
        <v>864</v>
      </c>
      <c r="E965" s="24" t="str">
        <f>IFERROR(VLOOKUP(D965,Dropdown!A:B,2,0),D965)</f>
        <v>SVP</v>
      </c>
      <c r="F965" s="6">
        <v>45926</v>
      </c>
      <c r="G965" s="6" t="str">
        <f>TEXT(F965, "MMM-YY")</f>
        <v>Sep-25</v>
      </c>
      <c r="H965" t="s">
        <v>1556</v>
      </c>
      <c r="I965" s="25">
        <v>108.65</v>
      </c>
      <c r="J965" s="4">
        <v>850</v>
      </c>
      <c r="K965" t="s">
        <v>1539</v>
      </c>
      <c r="L965" s="4" t="str">
        <f>VLOOKUP(K965, 'Items Master'!A:E,5,0)</f>
        <v>HMEL</v>
      </c>
      <c r="M965" s="4" t="str">
        <f>VLOOKUP(K965, 'Items Master'!A:D,4,0)</f>
        <v>LLDPE</v>
      </c>
      <c r="N965" t="s">
        <v>49</v>
      </c>
      <c r="Q965" s="6">
        <f t="shared" si="40"/>
        <v>45926</v>
      </c>
      <c r="R965" s="6" t="str">
        <f t="shared" si="39"/>
        <v>Sep-25</v>
      </c>
      <c r="X965" s="25">
        <v>108.65</v>
      </c>
      <c r="Y965" s="25" t="s">
        <v>1303</v>
      </c>
      <c r="Z965" s="25" t="s">
        <v>1305</v>
      </c>
      <c r="AB965" s="8">
        <v>-1.1000000000000001</v>
      </c>
      <c r="AC965" s="8">
        <v>-1</v>
      </c>
      <c r="AE965" s="8">
        <v>-4</v>
      </c>
      <c r="AF965" s="8">
        <f>-3-0.75</f>
        <v>-3.75</v>
      </c>
      <c r="AN965" s="9">
        <f t="shared" ref="AN965:AN1028" si="44">SUM(AB965:AM965)</f>
        <v>-9.85</v>
      </c>
      <c r="AP965" s="9">
        <f>I965-W965-X965-AN965</f>
        <v>9.85</v>
      </c>
      <c r="AQ965" t="s">
        <v>1316</v>
      </c>
      <c r="AR965" t="s">
        <v>1603</v>
      </c>
    </row>
    <row r="966" spans="1:44" x14ac:dyDescent="0.3">
      <c r="A966" s="11">
        <f t="shared" si="35"/>
        <v>964</v>
      </c>
      <c r="B966" s="5" t="s">
        <v>1675</v>
      </c>
      <c r="C966" t="s">
        <v>894</v>
      </c>
      <c r="D966" t="s">
        <v>856</v>
      </c>
      <c r="E966" s="24" t="str">
        <f>IFERROR(VLOOKUP(D966,Dropdown!A:B,2,0),D966)</f>
        <v>SRI LAKOSHA POLYMER PRIVATE LTD</v>
      </c>
      <c r="F966" s="6">
        <v>45927</v>
      </c>
      <c r="G966" s="6" t="str">
        <f>TEXT(F966, "MMM-YY")</f>
        <v>Sep-25</v>
      </c>
      <c r="H966" t="s">
        <v>1413</v>
      </c>
      <c r="I966" s="25">
        <v>89</v>
      </c>
      <c r="J966" s="4">
        <v>8000</v>
      </c>
      <c r="K966" t="s">
        <v>982</v>
      </c>
      <c r="L966" s="4" t="str">
        <f>VLOOKUP(K966, 'Items Master'!A:E,5,0)</f>
        <v>SABIC</v>
      </c>
      <c r="M966" s="4" t="str">
        <f>VLOOKUP(K966, 'Items Master'!A:D,4,0)</f>
        <v>HDPE</v>
      </c>
      <c r="N966" t="s">
        <v>24</v>
      </c>
      <c r="Q966" s="6">
        <f t="shared" si="40"/>
        <v>45927</v>
      </c>
      <c r="R966" s="6" t="str">
        <f t="shared" si="39"/>
        <v>Sep-25</v>
      </c>
      <c r="W966" s="25">
        <f t="shared" ref="W966:W967" si="45">I966</f>
        <v>89</v>
      </c>
      <c r="AN966" s="9">
        <f t="shared" si="44"/>
        <v>0</v>
      </c>
      <c r="AP966" s="9">
        <f>I966-W966-X966-AN966</f>
        <v>0</v>
      </c>
      <c r="AQ966" t="s">
        <v>1316</v>
      </c>
    </row>
    <row r="967" spans="1:44" x14ac:dyDescent="0.3">
      <c r="A967" s="11">
        <f t="shared" si="35"/>
        <v>965</v>
      </c>
      <c r="B967" s="5" t="s">
        <v>1675</v>
      </c>
      <c r="C967" t="s">
        <v>894</v>
      </c>
      <c r="D967" t="s">
        <v>856</v>
      </c>
      <c r="E967" s="24" t="str">
        <f>IFERROR(VLOOKUP(D967,Dropdown!A:B,2,0),D967)</f>
        <v>SRI LAKOSHA POLYMER PRIVATE LTD</v>
      </c>
      <c r="F967" s="6">
        <v>45927</v>
      </c>
      <c r="G967" s="6" t="str">
        <f>TEXT(F967, "MMM-YY")</f>
        <v>Sep-25</v>
      </c>
      <c r="H967" t="s">
        <v>1413</v>
      </c>
      <c r="I967" s="25">
        <v>89</v>
      </c>
      <c r="J967" s="4">
        <v>5000</v>
      </c>
      <c r="K967" t="s">
        <v>982</v>
      </c>
      <c r="L967" s="4" t="str">
        <f>VLOOKUP(K967, 'Items Master'!A:E,5,0)</f>
        <v>SABIC</v>
      </c>
      <c r="M967" s="4" t="str">
        <f>VLOOKUP(K967, 'Items Master'!A:D,4,0)</f>
        <v>HDPE</v>
      </c>
      <c r="N967" t="s">
        <v>24</v>
      </c>
      <c r="Q967" s="6">
        <f t="shared" si="40"/>
        <v>45927</v>
      </c>
      <c r="R967" s="6" t="str">
        <f t="shared" si="39"/>
        <v>Sep-25</v>
      </c>
      <c r="W967" s="25">
        <f t="shared" si="45"/>
        <v>89</v>
      </c>
      <c r="AN967" s="9">
        <f t="shared" si="44"/>
        <v>0</v>
      </c>
      <c r="AP967" s="9">
        <f>I967-W967-X967-AN967</f>
        <v>0</v>
      </c>
      <c r="AQ967" t="s">
        <v>1316</v>
      </c>
    </row>
    <row r="968" spans="1:44" x14ac:dyDescent="0.3">
      <c r="A968" s="11">
        <f t="shared" ref="A968:A1031" si="46">A967+1</f>
        <v>966</v>
      </c>
      <c r="B968" s="5" t="s">
        <v>1675</v>
      </c>
      <c r="C968" t="s">
        <v>893</v>
      </c>
      <c r="D968" t="s">
        <v>48</v>
      </c>
      <c r="E968" s="24" t="str">
        <f>IFERROR(VLOOKUP(D968,Dropdown!A:B,2,0),D968)</f>
        <v>CVPL</v>
      </c>
      <c r="F968" s="6">
        <v>45927</v>
      </c>
      <c r="G968" s="6" t="str">
        <f>TEXT(F968, "MMM-YY")</f>
        <v>Sep-25</v>
      </c>
      <c r="H968" t="s">
        <v>1415</v>
      </c>
      <c r="I968" s="25">
        <v>99.37</v>
      </c>
      <c r="J968" s="4">
        <v>2500</v>
      </c>
      <c r="K968" t="s">
        <v>1541</v>
      </c>
      <c r="L968" s="4" t="str">
        <f>VLOOKUP(K968, 'Items Master'!A:E,5,0)</f>
        <v>GAIL</v>
      </c>
      <c r="M968" s="4" t="str">
        <f>VLOOKUP(K968, 'Items Master'!A:D,4,0)</f>
        <v>HDPE</v>
      </c>
      <c r="N968" t="s">
        <v>49</v>
      </c>
      <c r="Q968" s="6">
        <f t="shared" si="40"/>
        <v>45927</v>
      </c>
      <c r="R968" s="6" t="str">
        <f t="shared" si="39"/>
        <v>Sep-25</v>
      </c>
      <c r="AN968" s="9">
        <f t="shared" si="44"/>
        <v>0</v>
      </c>
      <c r="AP968" s="9">
        <f>I968-W968-X968-AN968</f>
        <v>99.37</v>
      </c>
    </row>
    <row r="969" spans="1:44" x14ac:dyDescent="0.3">
      <c r="A969" s="11">
        <f t="shared" si="46"/>
        <v>967</v>
      </c>
      <c r="B969" s="5" t="s">
        <v>1675</v>
      </c>
      <c r="C969" t="s">
        <v>893</v>
      </c>
      <c r="D969" t="s">
        <v>864</v>
      </c>
      <c r="E969" s="24" t="str">
        <f>IFERROR(VLOOKUP(D969,Dropdown!A:B,2,0),D969)</f>
        <v>SVP</v>
      </c>
      <c r="F969" s="6">
        <v>45927</v>
      </c>
      <c r="G969" s="6" t="str">
        <f>TEXT(F969, "MMM-YY")</f>
        <v>Sep-25</v>
      </c>
      <c r="H969" t="s">
        <v>1416</v>
      </c>
      <c r="I969" s="25">
        <v>94.3</v>
      </c>
      <c r="J969" s="4">
        <v>5000</v>
      </c>
      <c r="K969" t="s">
        <v>1012</v>
      </c>
      <c r="L969" s="4" t="str">
        <f>VLOOKUP(K969, 'Items Master'!A:E,5,0)</f>
        <v>HMEL</v>
      </c>
      <c r="M969" s="4" t="str">
        <f>VLOOKUP(K969, 'Items Master'!A:D,4,0)</f>
        <v>LLDPE</v>
      </c>
      <c r="N969" t="s">
        <v>49</v>
      </c>
      <c r="Q969" s="6">
        <f t="shared" si="40"/>
        <v>45927</v>
      </c>
      <c r="R969" s="6" t="str">
        <f t="shared" si="39"/>
        <v>Sep-25</v>
      </c>
      <c r="X969" s="25">
        <v>97.4</v>
      </c>
      <c r="Y969" s="25" t="s">
        <v>1303</v>
      </c>
      <c r="Z969" s="25" t="s">
        <v>1305</v>
      </c>
      <c r="AB969" s="8">
        <v>-1.1000000000000001</v>
      </c>
      <c r="AC969" s="8">
        <v>-1</v>
      </c>
      <c r="AE969" s="8">
        <v>-1</v>
      </c>
      <c r="AN969" s="9">
        <f t="shared" si="44"/>
        <v>-3.1</v>
      </c>
      <c r="AP969" s="9">
        <f>I969-W969-X969-AN969</f>
        <v>-8.4376949871511897E-15</v>
      </c>
      <c r="AQ969" t="s">
        <v>1316</v>
      </c>
    </row>
    <row r="970" spans="1:44" x14ac:dyDescent="0.3">
      <c r="A970" s="11">
        <f t="shared" si="46"/>
        <v>968</v>
      </c>
      <c r="B970" s="5" t="s">
        <v>1675</v>
      </c>
      <c r="C970" t="s">
        <v>893</v>
      </c>
      <c r="D970" t="s">
        <v>824</v>
      </c>
      <c r="E970" s="24" t="str">
        <f>IFERROR(VLOOKUP(D970,Dropdown!A:B,2,0),D970)</f>
        <v>Paragon</v>
      </c>
      <c r="F970" s="6">
        <v>45927</v>
      </c>
      <c r="G970" s="6" t="str">
        <f>TEXT(F970, "MMM-YY")</f>
        <v>Sep-25</v>
      </c>
      <c r="H970" t="s">
        <v>1417</v>
      </c>
      <c r="I970" s="25">
        <v>96.89</v>
      </c>
      <c r="J970" s="4">
        <v>1700</v>
      </c>
      <c r="K970" t="s">
        <v>916</v>
      </c>
      <c r="L970" s="4" t="str">
        <f>VLOOKUP(K970, 'Items Master'!A:E,5,0)</f>
        <v>RIL</v>
      </c>
      <c r="M970" s="4" t="str">
        <f>VLOOKUP(K970, 'Items Master'!A:D,4,0)</f>
        <v>PP</v>
      </c>
      <c r="N970" t="s">
        <v>49</v>
      </c>
      <c r="Q970" s="6">
        <f t="shared" si="40"/>
        <v>45927</v>
      </c>
      <c r="R970" s="6" t="str">
        <f t="shared" si="39"/>
        <v>Sep-25</v>
      </c>
      <c r="AN970" s="9">
        <f t="shared" si="44"/>
        <v>0</v>
      </c>
      <c r="AP970" s="9">
        <f>I970-W970-X970-AN970</f>
        <v>96.89</v>
      </c>
    </row>
    <row r="971" spans="1:44" x14ac:dyDescent="0.3">
      <c r="A971" s="11">
        <f t="shared" si="46"/>
        <v>969</v>
      </c>
      <c r="B971" s="5" t="s">
        <v>1675</v>
      </c>
      <c r="C971" t="s">
        <v>893</v>
      </c>
      <c r="D971" t="s">
        <v>48</v>
      </c>
      <c r="E971" s="24" t="str">
        <f>IFERROR(VLOOKUP(D971,Dropdown!A:B,2,0),D971)</f>
        <v>CVPL</v>
      </c>
      <c r="F971" s="6">
        <v>45927</v>
      </c>
      <c r="G971" s="6" t="str">
        <f>TEXT(F971, "MMM-YY")</f>
        <v>Sep-25</v>
      </c>
      <c r="H971" t="s">
        <v>1418</v>
      </c>
      <c r="I971" s="25">
        <v>94.95</v>
      </c>
      <c r="J971" s="4">
        <v>1000</v>
      </c>
      <c r="K971" t="s">
        <v>901</v>
      </c>
      <c r="L971" s="4" t="str">
        <f>VLOOKUP(K971, 'Items Master'!A:E,5,0)</f>
        <v>MRPL</v>
      </c>
      <c r="M971" s="4" t="str">
        <f>VLOOKUP(K971, 'Items Master'!A:D,4,0)</f>
        <v>PP</v>
      </c>
      <c r="N971" t="s">
        <v>49</v>
      </c>
      <c r="Q971" s="6">
        <f t="shared" si="40"/>
        <v>45927</v>
      </c>
      <c r="R971" s="6" t="str">
        <f t="shared" si="39"/>
        <v>Sep-25</v>
      </c>
      <c r="AN971" s="9">
        <f t="shared" si="44"/>
        <v>0</v>
      </c>
      <c r="AP971" s="9">
        <f>I971-W971-X971-AN971</f>
        <v>94.95</v>
      </c>
    </row>
    <row r="972" spans="1:44" x14ac:dyDescent="0.3">
      <c r="A972" s="11">
        <f t="shared" si="46"/>
        <v>970</v>
      </c>
      <c r="B972" s="5" t="s">
        <v>1675</v>
      </c>
      <c r="C972" t="s">
        <v>893</v>
      </c>
      <c r="D972" t="s">
        <v>48</v>
      </c>
      <c r="E972" s="24" t="str">
        <f>IFERROR(VLOOKUP(D972,Dropdown!A:B,2,0),D972)</f>
        <v>CVPL</v>
      </c>
      <c r="F972" s="6">
        <v>45927</v>
      </c>
      <c r="G972" s="6" t="str">
        <f>TEXT(F972, "MMM-YY")</f>
        <v>Sep-25</v>
      </c>
      <c r="H972" t="s">
        <v>1418</v>
      </c>
      <c r="I972" s="25">
        <v>94.95</v>
      </c>
      <c r="J972" s="4">
        <v>1000</v>
      </c>
      <c r="K972" t="s">
        <v>901</v>
      </c>
      <c r="L972" s="4" t="str">
        <f>VLOOKUP(K972, 'Items Master'!A:E,5,0)</f>
        <v>MRPL</v>
      </c>
      <c r="M972" s="4" t="str">
        <f>VLOOKUP(K972, 'Items Master'!A:D,4,0)</f>
        <v>PP</v>
      </c>
      <c r="N972" t="s">
        <v>49</v>
      </c>
      <c r="Q972" s="6">
        <f t="shared" si="40"/>
        <v>45927</v>
      </c>
      <c r="R972" s="6" t="str">
        <f t="shared" si="39"/>
        <v>Sep-25</v>
      </c>
      <c r="AN972" s="9">
        <f t="shared" si="44"/>
        <v>0</v>
      </c>
      <c r="AP972" s="9">
        <f>I972-W972-X972-AN972</f>
        <v>94.95</v>
      </c>
    </row>
    <row r="973" spans="1:44" x14ac:dyDescent="0.3">
      <c r="A973" s="11">
        <f t="shared" si="46"/>
        <v>971</v>
      </c>
      <c r="B973" s="5" t="s">
        <v>1675</v>
      </c>
      <c r="C973" t="s">
        <v>893</v>
      </c>
      <c r="D973" t="s">
        <v>48</v>
      </c>
      <c r="E973" s="24" t="str">
        <f>IFERROR(VLOOKUP(D973,Dropdown!A:B,2,0),D973)</f>
        <v>CVPL</v>
      </c>
      <c r="F973" s="6">
        <v>45927</v>
      </c>
      <c r="G973" s="6" t="str">
        <f>TEXT(F973, "MMM-YY")</f>
        <v>Sep-25</v>
      </c>
      <c r="H973" t="s">
        <v>1418</v>
      </c>
      <c r="I973" s="25">
        <v>114.5</v>
      </c>
      <c r="J973" s="4">
        <v>50</v>
      </c>
      <c r="K973" t="s">
        <v>895</v>
      </c>
      <c r="L973" s="4" t="str">
        <f>VLOOKUP(K973, 'Items Master'!A:E,5,0)</f>
        <v>RIL</v>
      </c>
      <c r="M973" s="4" t="str">
        <f>VLOOKUP(K973, 'Items Master'!A:D,4,0)</f>
        <v>LDPE</v>
      </c>
      <c r="N973" t="s">
        <v>24</v>
      </c>
      <c r="Q973" s="6">
        <f t="shared" si="40"/>
        <v>45927</v>
      </c>
      <c r="R973" s="6" t="str">
        <f t="shared" si="39"/>
        <v>Sep-25</v>
      </c>
      <c r="W973" s="25">
        <v>114.5</v>
      </c>
      <c r="AN973" s="9">
        <f t="shared" si="44"/>
        <v>0</v>
      </c>
      <c r="AP973" s="9">
        <f>I973-W973-X973-AN973</f>
        <v>0</v>
      </c>
      <c r="AQ973" t="s">
        <v>1316</v>
      </c>
    </row>
    <row r="974" spans="1:44" x14ac:dyDescent="0.3">
      <c r="A974" s="11">
        <f t="shared" si="46"/>
        <v>972</v>
      </c>
      <c r="B974" s="5" t="s">
        <v>1675</v>
      </c>
      <c r="C974" t="s">
        <v>893</v>
      </c>
      <c r="D974" t="s">
        <v>48</v>
      </c>
      <c r="E974" s="24" t="str">
        <f>IFERROR(VLOOKUP(D974,Dropdown!A:B,2,0),D974)</f>
        <v>CVPL</v>
      </c>
      <c r="F974" s="6">
        <v>45927</v>
      </c>
      <c r="G974" s="6" t="str">
        <f>TEXT(F974, "MMM-YY")</f>
        <v>Sep-25</v>
      </c>
      <c r="H974" t="s">
        <v>1419</v>
      </c>
      <c r="I974" s="25">
        <v>99.37</v>
      </c>
      <c r="J974" s="4">
        <v>2500</v>
      </c>
      <c r="K974" t="s">
        <v>1541</v>
      </c>
      <c r="L974" s="4" t="str">
        <f>VLOOKUP(K974, 'Items Master'!A:E,5,0)</f>
        <v>GAIL</v>
      </c>
      <c r="M974" s="4" t="str">
        <f>VLOOKUP(K974, 'Items Master'!A:D,4,0)</f>
        <v>HDPE</v>
      </c>
      <c r="N974" t="s">
        <v>49</v>
      </c>
      <c r="Q974" s="6">
        <f t="shared" si="40"/>
        <v>45927</v>
      </c>
      <c r="R974" s="6" t="str">
        <f t="shared" si="39"/>
        <v>Sep-25</v>
      </c>
      <c r="AN974" s="9">
        <f t="shared" si="44"/>
        <v>0</v>
      </c>
      <c r="AP974" s="9">
        <f>I974-W974-X974-AN974</f>
        <v>99.37</v>
      </c>
    </row>
    <row r="975" spans="1:44" x14ac:dyDescent="0.3">
      <c r="A975" s="11">
        <f t="shared" si="46"/>
        <v>973</v>
      </c>
      <c r="B975" s="5" t="s">
        <v>1675</v>
      </c>
      <c r="C975" t="s">
        <v>893</v>
      </c>
      <c r="D975" t="s">
        <v>857</v>
      </c>
      <c r="E975" s="24" t="str">
        <f>IFERROR(VLOOKUP(D975,Dropdown!A:B,2,0),D975)</f>
        <v>Purav</v>
      </c>
      <c r="F975" s="6">
        <v>45927</v>
      </c>
      <c r="G975" s="6" t="str">
        <f>TEXT(F975, "MMM-YY")</f>
        <v>Sep-25</v>
      </c>
      <c r="H975" t="s">
        <v>1421</v>
      </c>
      <c r="I975" s="25">
        <v>96</v>
      </c>
      <c r="J975" s="4">
        <v>5000</v>
      </c>
      <c r="K975" t="s">
        <v>17</v>
      </c>
      <c r="L975" s="4" t="str">
        <f>VLOOKUP(K975, 'Items Master'!A:E,5,0)</f>
        <v>OPAL</v>
      </c>
      <c r="M975" s="4" t="str">
        <f>VLOOKUP(K975, 'Items Master'!A:D,4,0)</f>
        <v>LLDPE</v>
      </c>
      <c r="N975" t="s">
        <v>49</v>
      </c>
      <c r="Q975" s="6">
        <f t="shared" si="40"/>
        <v>45927</v>
      </c>
      <c r="R975" s="6" t="str">
        <f t="shared" si="39"/>
        <v>Sep-25</v>
      </c>
      <c r="T975" t="s">
        <v>21</v>
      </c>
      <c r="U975" t="s">
        <v>1605</v>
      </c>
      <c r="X975" s="25">
        <v>96.8</v>
      </c>
      <c r="Y975" s="25" t="s">
        <v>1303</v>
      </c>
      <c r="Z975" s="25" t="s">
        <v>1306</v>
      </c>
      <c r="AB975" s="8">
        <v>-0.9</v>
      </c>
      <c r="AH975" s="8">
        <v>0.1</v>
      </c>
      <c r="AN975" s="9">
        <f t="shared" si="44"/>
        <v>-0.8</v>
      </c>
      <c r="AP975" s="9">
        <f>I975-W975-X975-AN975</f>
        <v>2.886579864025407E-15</v>
      </c>
      <c r="AQ975" t="s">
        <v>1316</v>
      </c>
    </row>
    <row r="976" spans="1:44" x14ac:dyDescent="0.3">
      <c r="A976" s="11">
        <f t="shared" si="46"/>
        <v>974</v>
      </c>
      <c r="B976" s="5" t="s">
        <v>1675</v>
      </c>
      <c r="C976" t="s">
        <v>893</v>
      </c>
      <c r="D976" t="s">
        <v>857</v>
      </c>
      <c r="E976" s="24" t="str">
        <f>IFERROR(VLOOKUP(D976,Dropdown!A:B,2,0),D976)</f>
        <v>Purav</v>
      </c>
      <c r="F976" s="6">
        <v>45927</v>
      </c>
      <c r="G976" s="6" t="str">
        <f>TEXT(F976, "MMM-YY")</f>
        <v>Sep-25</v>
      </c>
      <c r="H976" t="s">
        <v>1421</v>
      </c>
      <c r="I976" s="25">
        <v>96</v>
      </c>
      <c r="J976" s="4">
        <v>7000</v>
      </c>
      <c r="K976" t="s">
        <v>17</v>
      </c>
      <c r="L976" s="4" t="str">
        <f>VLOOKUP(K976, 'Items Master'!A:E,5,0)</f>
        <v>OPAL</v>
      </c>
      <c r="M976" s="4" t="str">
        <f>VLOOKUP(K976, 'Items Master'!A:D,4,0)</f>
        <v>LLDPE</v>
      </c>
      <c r="N976" t="s">
        <v>49</v>
      </c>
      <c r="Q976" s="6">
        <f t="shared" si="40"/>
        <v>45927</v>
      </c>
      <c r="R976" s="6" t="str">
        <f t="shared" si="39"/>
        <v>Sep-25</v>
      </c>
      <c r="T976" t="s">
        <v>21</v>
      </c>
      <c r="U976" t="s">
        <v>1605</v>
      </c>
      <c r="X976" s="25">
        <v>96.8</v>
      </c>
      <c r="Y976" s="25" t="s">
        <v>1303</v>
      </c>
      <c r="Z976" s="25" t="s">
        <v>1306</v>
      </c>
      <c r="AB976" s="8">
        <v>-0.9</v>
      </c>
      <c r="AH976" s="8">
        <v>0.1</v>
      </c>
      <c r="AN976" s="9">
        <f t="shared" si="44"/>
        <v>-0.8</v>
      </c>
      <c r="AP976" s="9">
        <f>I976-W976-X976-AN976</f>
        <v>2.886579864025407E-15</v>
      </c>
      <c r="AQ976" t="s">
        <v>1316</v>
      </c>
    </row>
    <row r="977" spans="1:44" x14ac:dyDescent="0.3">
      <c r="A977" s="11">
        <f t="shared" si="46"/>
        <v>975</v>
      </c>
      <c r="B977" s="5" t="s">
        <v>1675</v>
      </c>
      <c r="C977" t="s">
        <v>893</v>
      </c>
      <c r="D977" t="s">
        <v>828</v>
      </c>
      <c r="E977" s="24" t="str">
        <f>IFERROR(VLOOKUP(D977,Dropdown!A:B,2,0),D977)</f>
        <v>SHUBHAM INTERNATIONAL PRIVATE LIMITED</v>
      </c>
      <c r="F977" s="6">
        <v>45927</v>
      </c>
      <c r="G977" s="6" t="str">
        <f>TEXT(F977, "MMM-YY")</f>
        <v>Sep-25</v>
      </c>
      <c r="H977" t="s">
        <v>1557</v>
      </c>
      <c r="I977" s="25">
        <v>93.87</v>
      </c>
      <c r="J977" s="4">
        <v>3000</v>
      </c>
      <c r="K977" t="s">
        <v>912</v>
      </c>
      <c r="L977" s="4" t="str">
        <f>VLOOKUP(K977, 'Items Master'!A:E,5,0)</f>
        <v>RIL</v>
      </c>
      <c r="M977" s="4" t="str">
        <f>VLOOKUP(K977, 'Items Master'!A:D,4,0)</f>
        <v>PP</v>
      </c>
      <c r="N977" t="s">
        <v>24</v>
      </c>
      <c r="Q977" s="6">
        <f t="shared" si="40"/>
        <v>45927</v>
      </c>
      <c r="R977" s="6" t="str">
        <f t="shared" si="39"/>
        <v>Sep-25</v>
      </c>
      <c r="W977" s="25">
        <f>I977</f>
        <v>93.87</v>
      </c>
      <c r="AN977" s="9">
        <f t="shared" si="44"/>
        <v>0</v>
      </c>
      <c r="AP977" s="9">
        <f>I977-W977-X977-AN977</f>
        <v>0</v>
      </c>
      <c r="AQ977" t="s">
        <v>1316</v>
      </c>
    </row>
    <row r="978" spans="1:44" x14ac:dyDescent="0.3">
      <c r="A978" s="11">
        <f t="shared" si="46"/>
        <v>976</v>
      </c>
      <c r="B978" s="5" t="s">
        <v>1675</v>
      </c>
      <c r="C978" t="s">
        <v>894</v>
      </c>
      <c r="D978" t="s">
        <v>857</v>
      </c>
      <c r="E978" s="24" t="str">
        <f>IFERROR(VLOOKUP(D978,Dropdown!A:B,2,0),D978)</f>
        <v>Purav</v>
      </c>
      <c r="F978" s="6">
        <v>45929</v>
      </c>
      <c r="G978" s="6" t="str">
        <f>TEXT(F978, "MMM-YY")</f>
        <v>Sep-25</v>
      </c>
      <c r="H978" t="s">
        <v>1420</v>
      </c>
      <c r="I978" s="25">
        <v>96</v>
      </c>
      <c r="J978" s="4">
        <v>12000</v>
      </c>
      <c r="K978" t="s">
        <v>17</v>
      </c>
      <c r="L978" s="4" t="str">
        <f>VLOOKUP(K978, 'Items Master'!A:E,5,0)</f>
        <v>OPAL</v>
      </c>
      <c r="M978" s="4" t="str">
        <f>VLOOKUP(K978, 'Items Master'!A:D,4,0)</f>
        <v>LLDPE</v>
      </c>
      <c r="N978" t="s">
        <v>49</v>
      </c>
      <c r="Q978" s="6">
        <f t="shared" si="40"/>
        <v>45929</v>
      </c>
      <c r="R978" s="6" t="str">
        <f t="shared" si="39"/>
        <v>Sep-25</v>
      </c>
      <c r="T978" t="s">
        <v>21</v>
      </c>
      <c r="U978" t="s">
        <v>1605</v>
      </c>
      <c r="X978" s="25">
        <v>96.8</v>
      </c>
      <c r="Y978" s="25" t="s">
        <v>1303</v>
      </c>
      <c r="Z978" s="25" t="s">
        <v>1306</v>
      </c>
      <c r="AB978" s="8">
        <v>-0.9</v>
      </c>
      <c r="AH978" s="8">
        <v>0.1</v>
      </c>
      <c r="AN978" s="9">
        <f t="shared" si="44"/>
        <v>-0.8</v>
      </c>
      <c r="AP978" s="9">
        <f>I978-W978-X978-AN978</f>
        <v>2.886579864025407E-15</v>
      </c>
      <c r="AQ978" t="s">
        <v>1316</v>
      </c>
    </row>
    <row r="979" spans="1:44" x14ac:dyDescent="0.3">
      <c r="A979" s="11">
        <f t="shared" si="46"/>
        <v>977</v>
      </c>
      <c r="B979" s="5" t="s">
        <v>1675</v>
      </c>
      <c r="C979" t="s">
        <v>893</v>
      </c>
      <c r="D979" t="s">
        <v>864</v>
      </c>
      <c r="E979" s="24" t="str">
        <f>IFERROR(VLOOKUP(D979,Dropdown!A:B,2,0),D979)</f>
        <v>SVP</v>
      </c>
      <c r="F979" s="6">
        <v>45929</v>
      </c>
      <c r="G979" s="6" t="str">
        <f>TEXT(F979, "MMM-YY")</f>
        <v>Sep-25</v>
      </c>
      <c r="H979" t="s">
        <v>1422</v>
      </c>
      <c r="I979" s="25">
        <v>94.3</v>
      </c>
      <c r="J979" s="4">
        <v>5000</v>
      </c>
      <c r="K979" t="s">
        <v>1012</v>
      </c>
      <c r="L979" s="4" t="str">
        <f>VLOOKUP(K979, 'Items Master'!A:E,5,0)</f>
        <v>HMEL</v>
      </c>
      <c r="M979" s="4" t="str">
        <f>VLOOKUP(K979, 'Items Master'!A:D,4,0)</f>
        <v>LLDPE</v>
      </c>
      <c r="N979" t="s">
        <v>49</v>
      </c>
      <c r="Q979" s="6">
        <f t="shared" si="40"/>
        <v>45929</v>
      </c>
      <c r="R979" s="6" t="str">
        <f t="shared" si="39"/>
        <v>Sep-25</v>
      </c>
      <c r="X979" s="25">
        <v>97.4</v>
      </c>
      <c r="Y979" s="25" t="s">
        <v>1303</v>
      </c>
      <c r="Z979" s="25" t="s">
        <v>1305</v>
      </c>
      <c r="AB979" s="8">
        <v>-1.1000000000000001</v>
      </c>
      <c r="AC979" s="8">
        <v>-1</v>
      </c>
      <c r="AE979" s="8">
        <v>-1</v>
      </c>
      <c r="AN979" s="9">
        <f t="shared" si="44"/>
        <v>-3.1</v>
      </c>
      <c r="AP979" s="9">
        <f>I979-W979-X979-AN979</f>
        <v>-8.4376949871511897E-15</v>
      </c>
      <c r="AQ979" t="s">
        <v>1316</v>
      </c>
    </row>
    <row r="980" spans="1:44" x14ac:dyDescent="0.3">
      <c r="A980" s="11">
        <f t="shared" si="46"/>
        <v>978</v>
      </c>
      <c r="B980" s="5" t="s">
        <v>1675</v>
      </c>
      <c r="C980" t="s">
        <v>893</v>
      </c>
      <c r="D980" t="s">
        <v>48</v>
      </c>
      <c r="E980" s="24" t="str">
        <f>IFERROR(VLOOKUP(D980,Dropdown!A:B,2,0),D980)</f>
        <v>CVPL</v>
      </c>
      <c r="F980" s="6">
        <v>45929</v>
      </c>
      <c r="G980" s="6" t="str">
        <f>TEXT(F980, "MMM-YY")</f>
        <v>Sep-25</v>
      </c>
      <c r="H980" t="s">
        <v>1423</v>
      </c>
      <c r="I980" s="25">
        <v>99.37</v>
      </c>
      <c r="J980" s="4">
        <v>2500</v>
      </c>
      <c r="K980" t="s">
        <v>1541</v>
      </c>
      <c r="L980" s="4" t="str">
        <f>VLOOKUP(K980, 'Items Master'!A:E,5,0)</f>
        <v>GAIL</v>
      </c>
      <c r="M980" s="4" t="str">
        <f>VLOOKUP(K980, 'Items Master'!A:D,4,0)</f>
        <v>HDPE</v>
      </c>
      <c r="N980" t="s">
        <v>49</v>
      </c>
      <c r="Q980" s="6">
        <f t="shared" si="40"/>
        <v>45929</v>
      </c>
      <c r="R980" s="6" t="str">
        <f t="shared" si="39"/>
        <v>Sep-25</v>
      </c>
      <c r="AN980" s="9">
        <f t="shared" si="44"/>
        <v>0</v>
      </c>
      <c r="AP980" s="9">
        <f>I980-W980-X980-AN980</f>
        <v>99.37</v>
      </c>
    </row>
    <row r="981" spans="1:44" x14ac:dyDescent="0.3">
      <c r="A981" s="11">
        <f t="shared" si="46"/>
        <v>979</v>
      </c>
      <c r="B981" s="5" t="s">
        <v>1675</v>
      </c>
      <c r="C981" t="s">
        <v>893</v>
      </c>
      <c r="D981" t="s">
        <v>48</v>
      </c>
      <c r="E981" s="24" t="str">
        <f>IFERROR(VLOOKUP(D981,Dropdown!A:B,2,0),D981)</f>
        <v>CVPL</v>
      </c>
      <c r="F981" s="6">
        <v>45929</v>
      </c>
      <c r="G981" s="6" t="str">
        <f>TEXT(F981, "MMM-YY")</f>
        <v>Sep-25</v>
      </c>
      <c r="H981" t="s">
        <v>1424</v>
      </c>
      <c r="I981" s="25">
        <v>94.95</v>
      </c>
      <c r="J981" s="4">
        <v>2500</v>
      </c>
      <c r="K981" t="s">
        <v>901</v>
      </c>
      <c r="L981" s="4" t="str">
        <f>VLOOKUP(K981, 'Items Master'!A:E,5,0)</f>
        <v>MRPL</v>
      </c>
      <c r="M981" s="4" t="str">
        <f>VLOOKUP(K981, 'Items Master'!A:D,4,0)</f>
        <v>PP</v>
      </c>
      <c r="N981" t="s">
        <v>49</v>
      </c>
      <c r="Q981" s="6">
        <f t="shared" si="40"/>
        <v>45929</v>
      </c>
      <c r="R981" s="6" t="str">
        <f t="shared" si="39"/>
        <v>Sep-25</v>
      </c>
      <c r="AN981" s="9">
        <f t="shared" si="44"/>
        <v>0</v>
      </c>
      <c r="AP981" s="9">
        <f>I981-W981-X981-AN981</f>
        <v>94.95</v>
      </c>
    </row>
    <row r="982" spans="1:44" x14ac:dyDescent="0.3">
      <c r="A982" s="11">
        <f t="shared" si="46"/>
        <v>980</v>
      </c>
      <c r="B982" s="5" t="s">
        <v>1675</v>
      </c>
      <c r="C982" t="s">
        <v>893</v>
      </c>
      <c r="D982" t="s">
        <v>48</v>
      </c>
      <c r="E982" s="24" t="str">
        <f>IFERROR(VLOOKUP(D982,Dropdown!A:B,2,0),D982)</f>
        <v>CVPL</v>
      </c>
      <c r="F982" s="6">
        <v>45929</v>
      </c>
      <c r="G982" s="6" t="str">
        <f>TEXT(F982, "MMM-YY")</f>
        <v>Sep-25</v>
      </c>
      <c r="H982" t="s">
        <v>1425</v>
      </c>
      <c r="I982" s="25">
        <v>87.75</v>
      </c>
      <c r="J982" s="4">
        <v>5000</v>
      </c>
      <c r="K982" t="s">
        <v>992</v>
      </c>
      <c r="L982" s="4" t="str">
        <f>VLOOKUP(K982, 'Items Master'!A:E,5,0)</f>
        <v>RIL</v>
      </c>
      <c r="M982" s="4" t="str">
        <f>VLOOKUP(K982, 'Items Master'!A:D,4,0)</f>
        <v>PP</v>
      </c>
      <c r="N982" t="s">
        <v>24</v>
      </c>
      <c r="Q982" s="6">
        <f t="shared" si="40"/>
        <v>45929</v>
      </c>
      <c r="R982" s="6" t="str">
        <f t="shared" si="39"/>
        <v>Sep-25</v>
      </c>
      <c r="W982" s="25">
        <f>I982</f>
        <v>87.75</v>
      </c>
      <c r="AN982" s="9">
        <f t="shared" si="44"/>
        <v>0</v>
      </c>
      <c r="AP982" s="9">
        <f>I982-W982-X982-AN982</f>
        <v>0</v>
      </c>
      <c r="AQ982" t="s">
        <v>1316</v>
      </c>
    </row>
    <row r="983" spans="1:44" x14ac:dyDescent="0.3">
      <c r="A983" s="11">
        <f t="shared" si="46"/>
        <v>981</v>
      </c>
      <c r="B983" s="5" t="s">
        <v>1675</v>
      </c>
      <c r="C983" t="s">
        <v>893</v>
      </c>
      <c r="D983" t="s">
        <v>824</v>
      </c>
      <c r="E983" s="24" t="str">
        <f>IFERROR(VLOOKUP(D983,Dropdown!A:B,2,0),D983)</f>
        <v>Paragon</v>
      </c>
      <c r="F983" s="6">
        <v>45929</v>
      </c>
      <c r="G983" s="6" t="str">
        <f>TEXT(F983, "MMM-YY")</f>
        <v>Sep-25</v>
      </c>
      <c r="H983" t="s">
        <v>1426</v>
      </c>
      <c r="I983" s="25">
        <v>102.37</v>
      </c>
      <c r="J983" s="4">
        <v>5000</v>
      </c>
      <c r="K983" t="s">
        <v>934</v>
      </c>
      <c r="L983" s="4" t="str">
        <f>VLOOKUP(K983, 'Items Master'!A:E,5,0)</f>
        <v>RIL</v>
      </c>
      <c r="M983" s="4" t="str">
        <f>VLOOKUP(K983, 'Items Master'!A:D,4,0)</f>
        <v>PP RCP</v>
      </c>
      <c r="N983" t="s">
        <v>49</v>
      </c>
      <c r="Q983" s="6">
        <f t="shared" si="40"/>
        <v>45929</v>
      </c>
      <c r="R983" s="6" t="str">
        <f t="shared" si="39"/>
        <v>Sep-25</v>
      </c>
      <c r="AN983" s="9">
        <f t="shared" si="44"/>
        <v>0</v>
      </c>
      <c r="AP983" s="9">
        <f>I983-W983-X983-AN983</f>
        <v>102.37</v>
      </c>
    </row>
    <row r="984" spans="1:44" x14ac:dyDescent="0.3">
      <c r="A984" s="11">
        <f t="shared" si="46"/>
        <v>982</v>
      </c>
      <c r="B984" s="5" t="s">
        <v>1675</v>
      </c>
      <c r="C984" t="s">
        <v>893</v>
      </c>
      <c r="D984" t="s">
        <v>48</v>
      </c>
      <c r="E984" s="24" t="str">
        <f>IFERROR(VLOOKUP(D984,Dropdown!A:B,2,0),D984)</f>
        <v>CVPL</v>
      </c>
      <c r="F984" s="6">
        <v>45929</v>
      </c>
      <c r="G984" s="6" t="str">
        <f>TEXT(F984, "MMM-YY")</f>
        <v>Sep-25</v>
      </c>
      <c r="H984" t="s">
        <v>1558</v>
      </c>
      <c r="I984" s="25">
        <v>97.99</v>
      </c>
      <c r="J984" s="4">
        <v>10000</v>
      </c>
      <c r="K984" t="s">
        <v>903</v>
      </c>
      <c r="L984" s="4" t="str">
        <f>VLOOKUP(K984, 'Items Master'!A:E,5,0)</f>
        <v>GAIL</v>
      </c>
      <c r="M984" s="4" t="str">
        <f>VLOOKUP(K984, 'Items Master'!A:D,4,0)</f>
        <v>LLDPE</v>
      </c>
      <c r="N984" t="s">
        <v>49</v>
      </c>
      <c r="Q984" s="6">
        <f t="shared" si="40"/>
        <v>45929</v>
      </c>
      <c r="R984" s="6" t="str">
        <f t="shared" si="39"/>
        <v>Sep-25</v>
      </c>
      <c r="AN984" s="9">
        <f t="shared" si="44"/>
        <v>0</v>
      </c>
      <c r="AP984" s="9">
        <f>I984-W984-X984-AN984</f>
        <v>97.99</v>
      </c>
    </row>
    <row r="985" spans="1:44" x14ac:dyDescent="0.3">
      <c r="A985" s="11">
        <f t="shared" si="46"/>
        <v>983</v>
      </c>
      <c r="B985" s="5" t="s">
        <v>1675</v>
      </c>
      <c r="C985" t="s">
        <v>893</v>
      </c>
      <c r="D985" t="s">
        <v>48</v>
      </c>
      <c r="E985" s="24" t="str">
        <f>IFERROR(VLOOKUP(D985,Dropdown!A:B,2,0),D985)</f>
        <v>CVPL</v>
      </c>
      <c r="F985" s="6">
        <v>45929</v>
      </c>
      <c r="G985" s="6" t="str">
        <f>TEXT(F985, "MMM-YY")</f>
        <v>Sep-25</v>
      </c>
      <c r="H985" t="s">
        <v>1559</v>
      </c>
      <c r="I985" s="25">
        <v>97.99</v>
      </c>
      <c r="J985" s="4">
        <v>10000</v>
      </c>
      <c r="K985" t="s">
        <v>903</v>
      </c>
      <c r="L985" s="4" t="str">
        <f>VLOOKUP(K985, 'Items Master'!A:E,5,0)</f>
        <v>GAIL</v>
      </c>
      <c r="M985" s="4" t="str">
        <f>VLOOKUP(K985, 'Items Master'!A:D,4,0)</f>
        <v>LLDPE</v>
      </c>
      <c r="N985" t="s">
        <v>49</v>
      </c>
      <c r="Q985" s="6">
        <f t="shared" si="40"/>
        <v>45929</v>
      </c>
      <c r="R985" s="6" t="str">
        <f t="shared" si="39"/>
        <v>Sep-25</v>
      </c>
      <c r="AN985" s="9">
        <f t="shared" si="44"/>
        <v>0</v>
      </c>
      <c r="AP985" s="9">
        <f>I985-W985-X985-AN985</f>
        <v>97.99</v>
      </c>
    </row>
    <row r="986" spans="1:44" x14ac:dyDescent="0.3">
      <c r="A986" s="11">
        <f t="shared" si="46"/>
        <v>984</v>
      </c>
      <c r="B986" s="5" t="s">
        <v>1675</v>
      </c>
      <c r="C986" t="s">
        <v>893</v>
      </c>
      <c r="D986" t="s">
        <v>857</v>
      </c>
      <c r="E986" s="24" t="str">
        <f>IFERROR(VLOOKUP(D986,Dropdown!A:B,2,0),D986)</f>
        <v>Purav</v>
      </c>
      <c r="F986" s="6">
        <v>45929</v>
      </c>
      <c r="G986" s="6" t="str">
        <f>TEXT(F986, "MMM-YY")</f>
        <v>Sep-25</v>
      </c>
      <c r="H986" t="s">
        <v>1560</v>
      </c>
      <c r="I986" s="25">
        <v>96</v>
      </c>
      <c r="J986" s="4">
        <v>5000</v>
      </c>
      <c r="K986" t="s">
        <v>17</v>
      </c>
      <c r="L986" s="4" t="str">
        <f>VLOOKUP(K986, 'Items Master'!A:E,5,0)</f>
        <v>OPAL</v>
      </c>
      <c r="M986" s="4" t="str">
        <f>VLOOKUP(K986, 'Items Master'!A:D,4,0)</f>
        <v>LLDPE</v>
      </c>
      <c r="N986" t="s">
        <v>49</v>
      </c>
      <c r="Q986" s="6">
        <f t="shared" si="40"/>
        <v>45929</v>
      </c>
      <c r="R986" s="6" t="str">
        <f t="shared" si="39"/>
        <v>Sep-25</v>
      </c>
      <c r="T986" t="s">
        <v>21</v>
      </c>
      <c r="U986" t="s">
        <v>1605</v>
      </c>
      <c r="X986" s="25">
        <v>96.8</v>
      </c>
      <c r="Y986" s="25" t="s">
        <v>1303</v>
      </c>
      <c r="Z986" s="25" t="s">
        <v>1306</v>
      </c>
      <c r="AB986" s="8">
        <v>-0.9</v>
      </c>
      <c r="AH986" s="8">
        <v>0.1</v>
      </c>
      <c r="AN986" s="9">
        <f t="shared" si="44"/>
        <v>-0.8</v>
      </c>
      <c r="AP986" s="9">
        <f>I986-W986-X986-AN986</f>
        <v>2.886579864025407E-15</v>
      </c>
      <c r="AQ986" t="s">
        <v>1316</v>
      </c>
    </row>
    <row r="987" spans="1:44" x14ac:dyDescent="0.3">
      <c r="A987" s="11">
        <f t="shared" si="46"/>
        <v>985</v>
      </c>
      <c r="B987" s="5" t="s">
        <v>1675</v>
      </c>
      <c r="C987" t="s">
        <v>893</v>
      </c>
      <c r="D987" t="s">
        <v>857</v>
      </c>
      <c r="E987" s="24" t="str">
        <f>IFERROR(VLOOKUP(D987,Dropdown!A:B,2,0),D987)</f>
        <v>Purav</v>
      </c>
      <c r="F987" s="6">
        <v>45929</v>
      </c>
      <c r="G987" s="6" t="str">
        <f>TEXT(F987, "MMM-YY")</f>
        <v>Sep-25</v>
      </c>
      <c r="H987" t="s">
        <v>1561</v>
      </c>
      <c r="I987" s="25">
        <v>97</v>
      </c>
      <c r="J987" s="4">
        <v>3000</v>
      </c>
      <c r="K987" t="s">
        <v>935</v>
      </c>
      <c r="L987" s="4" t="str">
        <f>VLOOKUP(K987, 'Items Master'!A:E,5,0)</f>
        <v>OPAL</v>
      </c>
      <c r="M987" s="4" t="str">
        <f>VLOOKUP(K987, 'Items Master'!A:D,4,0)</f>
        <v>HDPE</v>
      </c>
      <c r="N987" t="s">
        <v>49</v>
      </c>
      <c r="Q987" s="6">
        <f t="shared" si="40"/>
        <v>45929</v>
      </c>
      <c r="R987" s="6" t="str">
        <f t="shared" si="39"/>
        <v>Sep-25</v>
      </c>
      <c r="T987" t="s">
        <v>21</v>
      </c>
      <c r="U987" t="s">
        <v>1605</v>
      </c>
      <c r="X987" s="25">
        <v>97.78</v>
      </c>
      <c r="Y987" s="25" t="s">
        <v>1303</v>
      </c>
      <c r="Z987" s="25" t="s">
        <v>1306</v>
      </c>
      <c r="AB987" s="8">
        <v>-0.9</v>
      </c>
      <c r="AH987" s="8">
        <v>0.1</v>
      </c>
      <c r="AN987" s="9">
        <f t="shared" si="44"/>
        <v>-0.8</v>
      </c>
      <c r="AP987" s="9">
        <f>I987-W987-X987-AN987</f>
        <v>1.9999999999998908E-2</v>
      </c>
      <c r="AQ987" t="s">
        <v>1316</v>
      </c>
      <c r="AR987" t="s">
        <v>1309</v>
      </c>
    </row>
    <row r="988" spans="1:44" x14ac:dyDescent="0.3">
      <c r="A988" s="11">
        <f t="shared" si="46"/>
        <v>986</v>
      </c>
      <c r="B988" s="5" t="s">
        <v>1675</v>
      </c>
      <c r="C988" t="s">
        <v>893</v>
      </c>
      <c r="D988" t="s">
        <v>857</v>
      </c>
      <c r="E988" s="24" t="str">
        <f>IFERROR(VLOOKUP(D988,Dropdown!A:B,2,0),D988)</f>
        <v>Purav</v>
      </c>
      <c r="F988" s="6">
        <v>45929</v>
      </c>
      <c r="G988" s="6" t="str">
        <f>TEXT(F988, "MMM-YY")</f>
        <v>Sep-25</v>
      </c>
      <c r="H988" t="s">
        <v>1562</v>
      </c>
      <c r="I988" s="25">
        <v>97</v>
      </c>
      <c r="J988" s="4">
        <v>4000</v>
      </c>
      <c r="K988" t="s">
        <v>896</v>
      </c>
      <c r="L988" s="4" t="str">
        <f>VLOOKUP(K988, 'Items Master'!A:E,5,0)</f>
        <v>OPAL</v>
      </c>
      <c r="M988" s="4" t="str">
        <f>VLOOKUP(K988, 'Items Master'!A:D,4,0)</f>
        <v>HDPE</v>
      </c>
      <c r="N988" t="s">
        <v>49</v>
      </c>
      <c r="Q988" s="6">
        <f t="shared" si="40"/>
        <v>45929</v>
      </c>
      <c r="R988" s="6" t="str">
        <f t="shared" si="39"/>
        <v>Sep-25</v>
      </c>
      <c r="T988" t="s">
        <v>21</v>
      </c>
      <c r="U988" t="s">
        <v>1605</v>
      </c>
      <c r="X988" s="25">
        <v>97.75</v>
      </c>
      <c r="Y988" s="25" t="s">
        <v>1303</v>
      </c>
      <c r="Z988" s="25" t="s">
        <v>1306</v>
      </c>
      <c r="AB988" s="8">
        <v>-0.9</v>
      </c>
      <c r="AH988" s="8">
        <v>0.1</v>
      </c>
      <c r="AN988" s="9">
        <f t="shared" si="44"/>
        <v>-0.8</v>
      </c>
      <c r="AP988" s="9">
        <f>I988-W988-X988-AN988</f>
        <v>5.0000000000000044E-2</v>
      </c>
      <c r="AQ988" t="s">
        <v>1316</v>
      </c>
      <c r="AR988" t="s">
        <v>1309</v>
      </c>
    </row>
    <row r="989" spans="1:44" x14ac:dyDescent="0.3">
      <c r="A989" s="11">
        <f t="shared" si="46"/>
        <v>987</v>
      </c>
      <c r="B989" s="5" t="s">
        <v>1675</v>
      </c>
      <c r="C989" t="s">
        <v>894</v>
      </c>
      <c r="D989" t="s">
        <v>883</v>
      </c>
      <c r="E989" s="24" t="str">
        <f>IFERROR(VLOOKUP(D989,Dropdown!A:B,2,0),D989)</f>
        <v>VIDHI PETRO PRODUCTS PRIVATE LIMITED</v>
      </c>
      <c r="F989" s="6">
        <v>45930</v>
      </c>
      <c r="G989" s="6" t="str">
        <f>TEXT(F989, "MMM-YY")</f>
        <v>Sep-25</v>
      </c>
      <c r="H989" t="s">
        <v>1427</v>
      </c>
      <c r="I989" s="25">
        <v>92</v>
      </c>
      <c r="J989" s="4">
        <v>25500</v>
      </c>
      <c r="K989" t="s">
        <v>938</v>
      </c>
      <c r="L989" s="4" t="str">
        <f>VLOOKUP(K989, 'Items Master'!A:E,5,0)</f>
        <v>EXXON</v>
      </c>
      <c r="M989" s="4" t="str">
        <f>VLOOKUP(K989, 'Items Master'!A:D,4,0)</f>
        <v>PP</v>
      </c>
      <c r="N989" t="s">
        <v>24</v>
      </c>
      <c r="Q989" s="6">
        <f t="shared" si="40"/>
        <v>45930</v>
      </c>
      <c r="R989" s="6" t="str">
        <f t="shared" si="39"/>
        <v>Sep-25</v>
      </c>
      <c r="W989" s="25">
        <f t="shared" ref="W989:W990" si="47">I989</f>
        <v>92</v>
      </c>
      <c r="AN989" s="9">
        <f t="shared" si="44"/>
        <v>0</v>
      </c>
      <c r="AP989" s="9">
        <f>I989-W989-X989-AN989</f>
        <v>0</v>
      </c>
      <c r="AQ989" t="s">
        <v>1316</v>
      </c>
    </row>
    <row r="990" spans="1:44" x14ac:dyDescent="0.3">
      <c r="A990" s="11">
        <f t="shared" si="46"/>
        <v>988</v>
      </c>
      <c r="B990" s="5" t="s">
        <v>1675</v>
      </c>
      <c r="C990" t="s">
        <v>894</v>
      </c>
      <c r="D990" t="s">
        <v>856</v>
      </c>
      <c r="E990" s="24" t="str">
        <f>IFERROR(VLOOKUP(D990,Dropdown!A:B,2,0),D990)</f>
        <v>SRI LAKOSHA POLYMER PRIVATE LTD</v>
      </c>
      <c r="F990" s="6">
        <v>45930</v>
      </c>
      <c r="G990" s="6" t="str">
        <f>TEXT(F990, "MMM-YY")</f>
        <v>Sep-25</v>
      </c>
      <c r="H990" t="s">
        <v>1428</v>
      </c>
      <c r="I990" s="25">
        <v>89</v>
      </c>
      <c r="J990" s="4">
        <v>12500</v>
      </c>
      <c r="K990" t="s">
        <v>982</v>
      </c>
      <c r="L990" s="4" t="str">
        <f>VLOOKUP(K990, 'Items Master'!A:E,5,0)</f>
        <v>SABIC</v>
      </c>
      <c r="M990" s="4" t="str">
        <f>VLOOKUP(K990, 'Items Master'!A:D,4,0)</f>
        <v>HDPE</v>
      </c>
      <c r="N990" t="s">
        <v>24</v>
      </c>
      <c r="Q990" s="6">
        <f t="shared" si="40"/>
        <v>45930</v>
      </c>
      <c r="R990" s="6" t="str">
        <f t="shared" si="39"/>
        <v>Sep-25</v>
      </c>
      <c r="W990" s="25">
        <f t="shared" si="47"/>
        <v>89</v>
      </c>
      <c r="AN990" s="9">
        <f t="shared" si="44"/>
        <v>0</v>
      </c>
      <c r="AP990" s="9">
        <f>I990-W990-X990-AN990</f>
        <v>0</v>
      </c>
      <c r="AQ990" t="s">
        <v>1316</v>
      </c>
    </row>
    <row r="991" spans="1:44" x14ac:dyDescent="0.3">
      <c r="A991" s="11">
        <f t="shared" si="46"/>
        <v>989</v>
      </c>
      <c r="B991" s="5" t="s">
        <v>1675</v>
      </c>
      <c r="C991" t="s">
        <v>893</v>
      </c>
      <c r="D991" t="s">
        <v>48</v>
      </c>
      <c r="E991" s="24" t="str">
        <f>IFERROR(VLOOKUP(D991,Dropdown!A:B,2,0),D991)</f>
        <v>CVPL</v>
      </c>
      <c r="F991" s="6">
        <v>45930</v>
      </c>
      <c r="G991" s="6" t="str">
        <f>TEXT(F991, "MMM-YY")</f>
        <v>Sep-25</v>
      </c>
      <c r="H991" t="s">
        <v>1429</v>
      </c>
      <c r="I991" s="25">
        <v>99.37</v>
      </c>
      <c r="J991" s="4">
        <v>2500</v>
      </c>
      <c r="K991" t="s">
        <v>1541</v>
      </c>
      <c r="L991" s="4" t="str">
        <f>VLOOKUP(K991, 'Items Master'!A:E,5,0)</f>
        <v>GAIL</v>
      </c>
      <c r="M991" s="4" t="str">
        <f>VLOOKUP(K991, 'Items Master'!A:D,4,0)</f>
        <v>HDPE</v>
      </c>
      <c r="N991" t="s">
        <v>49</v>
      </c>
      <c r="Q991" s="6">
        <f t="shared" si="40"/>
        <v>45930</v>
      </c>
      <c r="R991" s="6" t="str">
        <f t="shared" si="39"/>
        <v>Sep-25</v>
      </c>
      <c r="AN991" s="9">
        <f t="shared" si="44"/>
        <v>0</v>
      </c>
      <c r="AP991" s="9">
        <f>I991-W991-X991-AN991</f>
        <v>99.37</v>
      </c>
    </row>
    <row r="992" spans="1:44" x14ac:dyDescent="0.3">
      <c r="A992" s="11">
        <f t="shared" si="46"/>
        <v>990</v>
      </c>
      <c r="B992" s="5" t="s">
        <v>1675</v>
      </c>
      <c r="C992" t="s">
        <v>893</v>
      </c>
      <c r="D992" t="s">
        <v>824</v>
      </c>
      <c r="E992" s="24" t="str">
        <f>IFERROR(VLOOKUP(D992,Dropdown!A:B,2,0),D992)</f>
        <v>Paragon</v>
      </c>
      <c r="F992" s="6">
        <v>45930</v>
      </c>
      <c r="G992" s="6" t="str">
        <f>TEXT(F992, "MMM-YY")</f>
        <v>Sep-25</v>
      </c>
      <c r="H992" t="s">
        <v>1430</v>
      </c>
      <c r="I992" s="25">
        <v>98.39</v>
      </c>
      <c r="J992" s="4">
        <v>1000</v>
      </c>
      <c r="K992" t="s">
        <v>925</v>
      </c>
      <c r="L992" s="4" t="str">
        <f>VLOOKUP(K992, 'Items Master'!A:E,5,0)</f>
        <v>RIL</v>
      </c>
      <c r="M992" s="4" t="str">
        <f>VLOOKUP(K992, 'Items Master'!A:D,4,0)</f>
        <v>PP ICP</v>
      </c>
      <c r="N992" t="s">
        <v>49</v>
      </c>
      <c r="Q992" s="6">
        <f t="shared" si="40"/>
        <v>45930</v>
      </c>
      <c r="R992" s="6" t="str">
        <f t="shared" si="39"/>
        <v>Sep-25</v>
      </c>
      <c r="AN992" s="9">
        <f t="shared" si="44"/>
        <v>0</v>
      </c>
      <c r="AP992" s="9">
        <f>I992-W992-X992-AN992</f>
        <v>98.39</v>
      </c>
    </row>
    <row r="993" spans="1:43" x14ac:dyDescent="0.3">
      <c r="A993" s="11">
        <f t="shared" si="46"/>
        <v>991</v>
      </c>
      <c r="B993" s="5" t="s">
        <v>1675</v>
      </c>
      <c r="C993" t="s">
        <v>893</v>
      </c>
      <c r="D993" t="s">
        <v>864</v>
      </c>
      <c r="E993" s="24" t="str">
        <f>IFERROR(VLOOKUP(D993,Dropdown!A:B,2,0),D993)</f>
        <v>SVP</v>
      </c>
      <c r="F993" s="6">
        <v>45930</v>
      </c>
      <c r="G993" s="6" t="str">
        <f>TEXT(F993, "MMM-YY")</f>
        <v>Sep-25</v>
      </c>
      <c r="H993" t="s">
        <v>1431</v>
      </c>
      <c r="I993" s="25">
        <v>94.3</v>
      </c>
      <c r="J993" s="4">
        <v>9700</v>
      </c>
      <c r="K993" t="s">
        <v>1012</v>
      </c>
      <c r="L993" s="4" t="str">
        <f>VLOOKUP(K993, 'Items Master'!A:E,5,0)</f>
        <v>HMEL</v>
      </c>
      <c r="M993" s="4" t="str">
        <f>VLOOKUP(K993, 'Items Master'!A:D,4,0)</f>
        <v>LLDPE</v>
      </c>
      <c r="N993" t="s">
        <v>49</v>
      </c>
      <c r="Q993" s="6">
        <f t="shared" si="40"/>
        <v>45930</v>
      </c>
      <c r="R993" s="6" t="str">
        <f t="shared" si="39"/>
        <v>Sep-25</v>
      </c>
      <c r="X993" s="25">
        <v>97.4</v>
      </c>
      <c r="Y993" s="25" t="s">
        <v>1303</v>
      </c>
      <c r="Z993" s="25" t="s">
        <v>1305</v>
      </c>
      <c r="AB993" s="8">
        <v>-1.1000000000000001</v>
      </c>
      <c r="AC993" s="8">
        <v>-1</v>
      </c>
      <c r="AE993" s="8">
        <v>-1</v>
      </c>
      <c r="AN993" s="9">
        <f t="shared" si="44"/>
        <v>-3.1</v>
      </c>
      <c r="AP993" s="9">
        <f>I993-W993-X993-AN993</f>
        <v>-8.4376949871511897E-15</v>
      </c>
      <c r="AQ993" t="s">
        <v>1316</v>
      </c>
    </row>
    <row r="994" spans="1:43" x14ac:dyDescent="0.3">
      <c r="A994" s="11">
        <f t="shared" si="46"/>
        <v>992</v>
      </c>
      <c r="B994" s="5" t="s">
        <v>1675</v>
      </c>
      <c r="C994" t="s">
        <v>893</v>
      </c>
      <c r="D994" t="s">
        <v>48</v>
      </c>
      <c r="E994" s="24" t="str">
        <f>IFERROR(VLOOKUP(D994,Dropdown!A:B,2,0),D994)</f>
        <v>CVPL</v>
      </c>
      <c r="F994" s="6">
        <v>45930</v>
      </c>
      <c r="G994" s="6" t="str">
        <f>TEXT(F994, "MMM-YY")</f>
        <v>Sep-25</v>
      </c>
      <c r="H994" t="s">
        <v>1432</v>
      </c>
      <c r="I994" s="25">
        <v>98.42</v>
      </c>
      <c r="J994" s="4">
        <v>1000</v>
      </c>
      <c r="K994" t="s">
        <v>1279</v>
      </c>
      <c r="L994" s="4" t="str">
        <f>VLOOKUP(K994, 'Items Master'!A:E,5,0)</f>
        <v>GAIL</v>
      </c>
      <c r="M994" s="4" t="str">
        <f>VLOOKUP(K994, 'Items Master'!A:D,4,0)</f>
        <v>HDPE</v>
      </c>
      <c r="N994" t="s">
        <v>49</v>
      </c>
      <c r="Q994" s="6">
        <f t="shared" si="40"/>
        <v>45930</v>
      </c>
      <c r="R994" s="6" t="str">
        <f t="shared" si="39"/>
        <v>Sep-25</v>
      </c>
      <c r="AN994" s="9">
        <f t="shared" si="44"/>
        <v>0</v>
      </c>
      <c r="AP994" s="9">
        <f>I994-W994-X994-AN994</f>
        <v>98.42</v>
      </c>
    </row>
    <row r="995" spans="1:43" x14ac:dyDescent="0.3">
      <c r="A995" s="11">
        <f t="shared" si="46"/>
        <v>993</v>
      </c>
      <c r="B995" s="5" t="s">
        <v>1675</v>
      </c>
      <c r="C995" t="s">
        <v>893</v>
      </c>
      <c r="D995" t="s">
        <v>48</v>
      </c>
      <c r="E995" s="24" t="str">
        <f>IFERROR(VLOOKUP(D995,Dropdown!A:B,2,0),D995)</f>
        <v>CVPL</v>
      </c>
      <c r="F995" s="6">
        <v>45930</v>
      </c>
      <c r="G995" s="6" t="str">
        <f>TEXT(F995, "MMM-YY")</f>
        <v>Sep-25</v>
      </c>
      <c r="H995" t="s">
        <v>1433</v>
      </c>
      <c r="I995" s="25">
        <v>93.15</v>
      </c>
      <c r="J995" s="4">
        <v>10000</v>
      </c>
      <c r="K995" t="s">
        <v>937</v>
      </c>
      <c r="L995" s="4" t="str">
        <f>VLOOKUP(K995, 'Items Master'!A:E,5,0)</f>
        <v>MRPL</v>
      </c>
      <c r="M995" s="4" t="str">
        <f>VLOOKUP(K995, 'Items Master'!A:D,4,0)</f>
        <v>PP</v>
      </c>
      <c r="N995" t="s">
        <v>49</v>
      </c>
      <c r="Q995" s="6">
        <f t="shared" si="40"/>
        <v>45930</v>
      </c>
      <c r="R995" s="6" t="str">
        <f t="shared" si="39"/>
        <v>Sep-25</v>
      </c>
      <c r="AN995" s="9">
        <f t="shared" si="44"/>
        <v>0</v>
      </c>
      <c r="AP995" s="9">
        <f>I995-W995-X995-AN995</f>
        <v>93.15</v>
      </c>
    </row>
    <row r="996" spans="1:43" x14ac:dyDescent="0.3">
      <c r="A996" s="11">
        <f t="shared" si="46"/>
        <v>994</v>
      </c>
      <c r="B996" s="5" t="s">
        <v>1675</v>
      </c>
      <c r="C996" t="s">
        <v>893</v>
      </c>
      <c r="D996" t="s">
        <v>48</v>
      </c>
      <c r="E996" s="24" t="str">
        <f>IFERROR(VLOOKUP(D996,Dropdown!A:B,2,0),D996)</f>
        <v>CVPL</v>
      </c>
      <c r="F996" s="6">
        <v>45930</v>
      </c>
      <c r="G996" s="6" t="str">
        <f>TEXT(F996, "MMM-YY")</f>
        <v>Sep-25</v>
      </c>
      <c r="H996" t="s">
        <v>1563</v>
      </c>
      <c r="I996" s="25">
        <v>93.3</v>
      </c>
      <c r="J996" s="4">
        <v>10000</v>
      </c>
      <c r="K996" t="s">
        <v>899</v>
      </c>
      <c r="L996" s="4" t="str">
        <f>VLOOKUP(K996, 'Items Master'!A:E,5,0)</f>
        <v>MRPL</v>
      </c>
      <c r="M996" s="4" t="str">
        <f>VLOOKUP(K996, 'Items Master'!A:D,4,0)</f>
        <v>PP</v>
      </c>
      <c r="N996" t="s">
        <v>49</v>
      </c>
      <c r="Q996" s="6">
        <f t="shared" si="40"/>
        <v>45930</v>
      </c>
      <c r="R996" s="6" t="str">
        <f t="shared" si="39"/>
        <v>Sep-25</v>
      </c>
      <c r="AN996" s="9">
        <f t="shared" si="44"/>
        <v>0</v>
      </c>
      <c r="AP996" s="9">
        <f>I996-W996-X996-AN996</f>
        <v>93.3</v>
      </c>
    </row>
    <row r="997" spans="1:43" x14ac:dyDescent="0.3">
      <c r="A997" s="11">
        <f t="shared" si="46"/>
        <v>995</v>
      </c>
      <c r="B997" s="5" t="s">
        <v>1675</v>
      </c>
      <c r="C997" t="s">
        <v>893</v>
      </c>
      <c r="D997" t="s">
        <v>48</v>
      </c>
      <c r="E997" s="24" t="str">
        <f>IFERROR(VLOOKUP(D997,Dropdown!A:B,2,0),D997)</f>
        <v>CVPL</v>
      </c>
      <c r="F997" s="6">
        <v>45930</v>
      </c>
      <c r="G997" s="6" t="str">
        <f>TEXT(F997, "MMM-YY")</f>
        <v>Sep-25</v>
      </c>
      <c r="H997" t="s">
        <v>1564</v>
      </c>
      <c r="I997" s="25">
        <v>99.47</v>
      </c>
      <c r="J997" s="4">
        <v>1000</v>
      </c>
      <c r="K997" t="s">
        <v>1013</v>
      </c>
      <c r="L997" s="4" t="str">
        <f>VLOOKUP(K997, 'Items Master'!A:E,5,0)</f>
        <v>GAIL</v>
      </c>
      <c r="M997" s="4" t="str">
        <f>VLOOKUP(K997, 'Items Master'!A:D,4,0)</f>
        <v>HDPE</v>
      </c>
      <c r="N997" t="s">
        <v>49</v>
      </c>
      <c r="Q997" s="6">
        <f t="shared" si="40"/>
        <v>45930</v>
      </c>
      <c r="R997" s="6" t="str">
        <f t="shared" si="39"/>
        <v>Sep-25</v>
      </c>
      <c r="AN997" s="9">
        <f t="shared" si="44"/>
        <v>0</v>
      </c>
      <c r="AP997" s="9">
        <f>I997-W997-X997-AN997</f>
        <v>99.47</v>
      </c>
    </row>
    <row r="998" spans="1:43" x14ac:dyDescent="0.3">
      <c r="A998" s="11">
        <f t="shared" si="46"/>
        <v>996</v>
      </c>
      <c r="B998" s="5" t="s">
        <v>1675</v>
      </c>
      <c r="C998" t="s">
        <v>893</v>
      </c>
      <c r="D998" t="s">
        <v>48</v>
      </c>
      <c r="E998" s="24" t="str">
        <f>IFERROR(VLOOKUP(D998,Dropdown!A:B,2,0),D998)</f>
        <v>CVPL</v>
      </c>
      <c r="F998" s="6">
        <v>45930</v>
      </c>
      <c r="G998" s="6" t="str">
        <f>TEXT(F998, "MMM-YY")</f>
        <v>Sep-25</v>
      </c>
      <c r="H998" t="s">
        <v>1432</v>
      </c>
      <c r="I998" s="25">
        <v>98.42</v>
      </c>
      <c r="J998" s="4">
        <v>500</v>
      </c>
      <c r="K998" t="s">
        <v>1279</v>
      </c>
      <c r="L998" s="4" t="str">
        <f>VLOOKUP(K998, 'Items Master'!A:E,5,0)</f>
        <v>GAIL</v>
      </c>
      <c r="M998" s="4" t="str">
        <f>VLOOKUP(K998, 'Items Master'!A:D,4,0)</f>
        <v>HDPE</v>
      </c>
      <c r="N998" t="s">
        <v>49</v>
      </c>
      <c r="Q998" s="6">
        <f t="shared" si="40"/>
        <v>45930</v>
      </c>
      <c r="R998" s="6" t="str">
        <f t="shared" si="39"/>
        <v>Sep-25</v>
      </c>
      <c r="AN998" s="9">
        <f t="shared" si="44"/>
        <v>0</v>
      </c>
      <c r="AP998" s="9">
        <f>I998-W998-X998-AN998</f>
        <v>98.42</v>
      </c>
    </row>
    <row r="999" spans="1:43" x14ac:dyDescent="0.3">
      <c r="A999" s="11">
        <f t="shared" si="46"/>
        <v>997</v>
      </c>
      <c r="B999" s="5" t="s">
        <v>1675</v>
      </c>
      <c r="C999" t="s">
        <v>893</v>
      </c>
      <c r="D999" t="s">
        <v>824</v>
      </c>
      <c r="E999" s="24" t="str">
        <f>IFERROR(VLOOKUP(D999,Dropdown!A:B,2,0),D999)</f>
        <v>Paragon</v>
      </c>
      <c r="F999" s="6">
        <v>45930</v>
      </c>
      <c r="G999" s="6" t="str">
        <f>TEXT(F999, "MMM-YY")</f>
        <v>Sep-25</v>
      </c>
      <c r="H999">
        <v>3824</v>
      </c>
      <c r="I999" s="25">
        <v>102.37</v>
      </c>
      <c r="J999" s="4">
        <v>1000</v>
      </c>
      <c r="K999" t="s">
        <v>934</v>
      </c>
      <c r="L999" s="4" t="str">
        <f>VLOOKUP(K999, 'Items Master'!A:E,5,0)</f>
        <v>RIL</v>
      </c>
      <c r="M999" s="4" t="str">
        <f>VLOOKUP(K999, 'Items Master'!A:D,4,0)</f>
        <v>PP RCP</v>
      </c>
      <c r="N999" t="s">
        <v>49</v>
      </c>
      <c r="Q999" s="6">
        <f t="shared" si="40"/>
        <v>45930</v>
      </c>
      <c r="R999" s="6" t="str">
        <f t="shared" si="39"/>
        <v>Sep-25</v>
      </c>
      <c r="AN999" s="9">
        <f t="shared" si="44"/>
        <v>0</v>
      </c>
      <c r="AP999" s="9">
        <f>I999-W999-X999-AN999</f>
        <v>102.37</v>
      </c>
    </row>
    <row r="1000" spans="1:43" x14ac:dyDescent="0.3">
      <c r="A1000" s="11">
        <f t="shared" si="46"/>
        <v>998</v>
      </c>
      <c r="B1000" s="5" t="s">
        <v>1675</v>
      </c>
      <c r="C1000" t="s">
        <v>893</v>
      </c>
      <c r="D1000" t="s">
        <v>824</v>
      </c>
      <c r="E1000" s="24" t="str">
        <f>IFERROR(VLOOKUP(D1000,Dropdown!A:B,2,0),D1000)</f>
        <v>Paragon</v>
      </c>
      <c r="F1000" s="6">
        <v>45930</v>
      </c>
      <c r="G1000" s="6" t="str">
        <f>TEXT(F1000, "MMM-YY")</f>
        <v>Sep-25</v>
      </c>
      <c r="H1000">
        <v>3824</v>
      </c>
      <c r="I1000" s="25">
        <v>93.86</v>
      </c>
      <c r="J1000" s="4">
        <v>500</v>
      </c>
      <c r="K1000" t="s">
        <v>950</v>
      </c>
      <c r="L1000" s="4" t="str">
        <f>VLOOKUP(K1000, 'Items Master'!A:E,5,0)</f>
        <v>RIL</v>
      </c>
      <c r="M1000" s="4" t="str">
        <f>VLOOKUP(K1000, 'Items Master'!A:D,4,0)</f>
        <v>PP</v>
      </c>
      <c r="N1000" t="s">
        <v>49</v>
      </c>
      <c r="Q1000" s="6">
        <f t="shared" si="40"/>
        <v>45930</v>
      </c>
      <c r="R1000" s="6" t="str">
        <f t="shared" si="39"/>
        <v>Sep-25</v>
      </c>
      <c r="AN1000" s="9">
        <f t="shared" si="44"/>
        <v>0</v>
      </c>
      <c r="AP1000" s="9">
        <f>I1000-W1000-X1000-AN1000</f>
        <v>93.86</v>
      </c>
    </row>
    <row r="1001" spans="1:43" x14ac:dyDescent="0.3">
      <c r="A1001" s="11">
        <f t="shared" si="46"/>
        <v>999</v>
      </c>
      <c r="B1001" s="5" t="s">
        <v>1675</v>
      </c>
      <c r="C1001" t="s">
        <v>893</v>
      </c>
      <c r="D1001" t="s">
        <v>824</v>
      </c>
      <c r="E1001" s="24" t="str">
        <f>IFERROR(VLOOKUP(D1001,Dropdown!A:B,2,0),D1001)</f>
        <v>Paragon</v>
      </c>
      <c r="F1001" s="6">
        <v>45930</v>
      </c>
      <c r="G1001" s="6" t="str">
        <f>TEXT(F1001, "MMM-YY")</f>
        <v>Sep-25</v>
      </c>
      <c r="H1001">
        <v>3824</v>
      </c>
      <c r="I1001" s="25">
        <v>124.67</v>
      </c>
      <c r="J1001" s="4">
        <v>500</v>
      </c>
      <c r="K1001" t="s">
        <v>918</v>
      </c>
      <c r="L1001" s="4" t="str">
        <f>VLOOKUP(K1001, 'Items Master'!A:E,5,0)</f>
        <v>RIL</v>
      </c>
      <c r="M1001" s="4" t="str">
        <f>VLOOKUP(K1001, 'Items Master'!A:D,4,0)</f>
        <v>LDPE</v>
      </c>
      <c r="N1001" t="s">
        <v>49</v>
      </c>
      <c r="Q1001" s="6">
        <f t="shared" si="40"/>
        <v>45930</v>
      </c>
      <c r="R1001" s="6" t="str">
        <f t="shared" si="39"/>
        <v>Sep-25</v>
      </c>
      <c r="AN1001" s="9">
        <f t="shared" si="44"/>
        <v>0</v>
      </c>
      <c r="AP1001" s="9">
        <f>I1001-W1001-X1001-AN1001</f>
        <v>124.67</v>
      </c>
    </row>
    <row r="1002" spans="1:43" x14ac:dyDescent="0.3">
      <c r="A1002" s="11">
        <f t="shared" si="46"/>
        <v>1000</v>
      </c>
      <c r="B1002" s="5" t="s">
        <v>1675</v>
      </c>
      <c r="C1002" t="s">
        <v>893</v>
      </c>
      <c r="D1002" t="s">
        <v>824</v>
      </c>
      <c r="E1002" s="24" t="str">
        <f>IFERROR(VLOOKUP(D1002,Dropdown!A:B,2,0),D1002)</f>
        <v>Paragon</v>
      </c>
      <c r="F1002" s="6">
        <v>45930</v>
      </c>
      <c r="G1002" s="6" t="str">
        <f>TEXT(F1002, "MMM-YY")</f>
        <v>Sep-25</v>
      </c>
      <c r="H1002">
        <v>3824</v>
      </c>
      <c r="I1002" s="25">
        <v>99.36</v>
      </c>
      <c r="J1002" s="4">
        <v>2275</v>
      </c>
      <c r="K1002" t="s">
        <v>944</v>
      </c>
      <c r="L1002" s="4" t="str">
        <f>VLOOKUP(K1002, 'Items Master'!A:E,5,0)</f>
        <v>RIL</v>
      </c>
      <c r="M1002" s="4" t="str">
        <f>VLOOKUP(K1002, 'Items Master'!A:D,4,0)</f>
        <v>PP ICP</v>
      </c>
      <c r="N1002" t="s">
        <v>49</v>
      </c>
      <c r="Q1002" s="6">
        <f t="shared" si="40"/>
        <v>45930</v>
      </c>
      <c r="R1002" s="6" t="str">
        <f t="shared" si="39"/>
        <v>Sep-25</v>
      </c>
      <c r="AN1002" s="9">
        <f t="shared" si="44"/>
        <v>0</v>
      </c>
      <c r="AP1002" s="9">
        <f>I1002-W1002-X1002-AN1002</f>
        <v>99.36</v>
      </c>
    </row>
    <row r="1003" spans="1:43" x14ac:dyDescent="0.3">
      <c r="A1003" s="11">
        <f t="shared" si="46"/>
        <v>1001</v>
      </c>
      <c r="B1003" s="5" t="s">
        <v>1675</v>
      </c>
      <c r="C1003" t="s">
        <v>893</v>
      </c>
      <c r="D1003" t="s">
        <v>824</v>
      </c>
      <c r="E1003" s="24" t="str">
        <f>IFERROR(VLOOKUP(D1003,Dropdown!A:B,2,0),D1003)</f>
        <v>Paragon</v>
      </c>
      <c r="F1003" s="6">
        <v>45934</v>
      </c>
      <c r="G1003" s="6" t="str">
        <f>TEXT(F1003, "MMM-YY")</f>
        <v>Oct-25</v>
      </c>
      <c r="H1003" t="s">
        <v>1434</v>
      </c>
      <c r="I1003" s="25">
        <v>97.27</v>
      </c>
      <c r="J1003" s="4">
        <v>725</v>
      </c>
      <c r="K1003" t="s">
        <v>944</v>
      </c>
      <c r="L1003" s="4" t="str">
        <f>VLOOKUP(K1003, 'Items Master'!A:E,5,0)</f>
        <v>RIL</v>
      </c>
      <c r="M1003" s="4" t="str">
        <f>VLOOKUP(K1003, 'Items Master'!A:D,4,0)</f>
        <v>PP ICP</v>
      </c>
      <c r="N1003" t="s">
        <v>49</v>
      </c>
      <c r="Q1003" s="6">
        <f t="shared" si="40"/>
        <v>45934</v>
      </c>
      <c r="R1003" s="6" t="str">
        <f t="shared" si="39"/>
        <v>Oct-25</v>
      </c>
      <c r="AN1003" s="9">
        <f t="shared" si="44"/>
        <v>0</v>
      </c>
      <c r="AP1003" s="9">
        <f>I1003-W1003-X1003-AN1003</f>
        <v>97.27</v>
      </c>
    </row>
    <row r="1004" spans="1:43" x14ac:dyDescent="0.3">
      <c r="A1004" s="11">
        <f t="shared" si="46"/>
        <v>1002</v>
      </c>
      <c r="B1004" s="5" t="s">
        <v>1675</v>
      </c>
      <c r="C1004" t="s">
        <v>893</v>
      </c>
      <c r="D1004" t="s">
        <v>48</v>
      </c>
      <c r="E1004" s="24" t="str">
        <f>IFERROR(VLOOKUP(D1004,Dropdown!A:B,2,0),D1004)</f>
        <v>CVPL</v>
      </c>
      <c r="F1004" s="6">
        <v>45934</v>
      </c>
      <c r="G1004" s="6" t="str">
        <f>TEXT(F1004, "MMM-YY")</f>
        <v>Oct-25</v>
      </c>
      <c r="H1004" t="s">
        <v>1435</v>
      </c>
      <c r="I1004" s="25">
        <v>93.45</v>
      </c>
      <c r="J1004" s="4">
        <v>2500</v>
      </c>
      <c r="K1004" t="s">
        <v>901</v>
      </c>
      <c r="L1004" s="4" t="str">
        <f>VLOOKUP(K1004, 'Items Master'!A:E,5,0)</f>
        <v>MRPL</v>
      </c>
      <c r="M1004" s="4" t="str">
        <f>VLOOKUP(K1004, 'Items Master'!A:D,4,0)</f>
        <v>PP</v>
      </c>
      <c r="N1004" t="s">
        <v>49</v>
      </c>
      <c r="Q1004" s="6">
        <f t="shared" si="40"/>
        <v>45934</v>
      </c>
      <c r="R1004" s="6" t="str">
        <f t="shared" si="39"/>
        <v>Oct-25</v>
      </c>
      <c r="AN1004" s="9">
        <f t="shared" si="44"/>
        <v>0</v>
      </c>
      <c r="AP1004" s="9">
        <f>I1004-W1004-X1004-AN1004</f>
        <v>93.45</v>
      </c>
    </row>
    <row r="1005" spans="1:43" x14ac:dyDescent="0.3">
      <c r="A1005" s="11">
        <f t="shared" si="46"/>
        <v>1003</v>
      </c>
      <c r="B1005" s="5" t="s">
        <v>1675</v>
      </c>
      <c r="C1005" t="s">
        <v>894</v>
      </c>
      <c r="D1005" t="s">
        <v>1356</v>
      </c>
      <c r="E1005" s="24" t="str">
        <f>IFERROR(VLOOKUP(D1005,Dropdown!A:B,2,0),D1005)</f>
        <v>AXIA PLASTICS PRIVATE LIMITED</v>
      </c>
      <c r="F1005" s="6">
        <v>45936</v>
      </c>
      <c r="G1005" s="6" t="str">
        <f>TEXT(F1005, "MMM-YY")</f>
        <v>Oct-25</v>
      </c>
      <c r="H1005" t="s">
        <v>1436</v>
      </c>
      <c r="I1005" s="25">
        <v>90.11</v>
      </c>
      <c r="J1005" s="4">
        <v>4500</v>
      </c>
      <c r="K1005" t="s">
        <v>938</v>
      </c>
      <c r="L1005" s="4" t="str">
        <f>VLOOKUP(K1005, 'Items Master'!A:E,5,0)</f>
        <v>EXXON</v>
      </c>
      <c r="M1005" s="4" t="str">
        <f>VLOOKUP(K1005, 'Items Master'!A:D,4,0)</f>
        <v>PP</v>
      </c>
      <c r="N1005" t="s">
        <v>24</v>
      </c>
      <c r="Q1005" s="6">
        <f t="shared" si="40"/>
        <v>45936</v>
      </c>
      <c r="R1005" s="6" t="str">
        <f t="shared" ref="R1005:R1068" si="48">TEXT(Q1005, "MMM-YY")</f>
        <v>Oct-25</v>
      </c>
      <c r="W1005" s="25">
        <v>90</v>
      </c>
      <c r="AH1005" s="8">
        <v>0.11</v>
      </c>
      <c r="AN1005" s="9">
        <f t="shared" si="44"/>
        <v>0.11</v>
      </c>
      <c r="AP1005" s="9">
        <f>I1005-W1005-X1005-AN1005</f>
        <v>-5.6898930012039273E-16</v>
      </c>
      <c r="AQ1005" t="s">
        <v>1316</v>
      </c>
    </row>
    <row r="1006" spans="1:43" x14ac:dyDescent="0.3">
      <c r="A1006" s="11">
        <f t="shared" si="46"/>
        <v>1004</v>
      </c>
      <c r="B1006" s="5" t="s">
        <v>1675</v>
      </c>
      <c r="C1006" t="s">
        <v>893</v>
      </c>
      <c r="D1006" t="s">
        <v>48</v>
      </c>
      <c r="E1006" s="24" t="str">
        <f>IFERROR(VLOOKUP(D1006,Dropdown!A:B,2,0),D1006)</f>
        <v>CVPL</v>
      </c>
      <c r="F1006" s="6">
        <v>45936</v>
      </c>
      <c r="G1006" s="6" t="str">
        <f>TEXT(F1006, "MMM-YY")</f>
        <v>Oct-25</v>
      </c>
      <c r="H1006" t="s">
        <v>1437</v>
      </c>
      <c r="I1006" s="25">
        <v>97.69</v>
      </c>
      <c r="J1006" s="4">
        <v>2000</v>
      </c>
      <c r="K1006" t="s">
        <v>974</v>
      </c>
      <c r="L1006" s="4" t="str">
        <f>VLOOKUP(K1006, 'Items Master'!A:E,5,0)</f>
        <v>GAIL</v>
      </c>
      <c r="M1006" s="4" t="str">
        <f>VLOOKUP(K1006, 'Items Master'!A:D,4,0)</f>
        <v>LLDPE</v>
      </c>
      <c r="N1006" t="s">
        <v>49</v>
      </c>
      <c r="Q1006" s="6">
        <f t="shared" ref="Q1006:Q1069" si="49">F1006</f>
        <v>45936</v>
      </c>
      <c r="R1006" s="6" t="str">
        <f t="shared" si="48"/>
        <v>Oct-25</v>
      </c>
      <c r="AN1006" s="9">
        <f t="shared" si="44"/>
        <v>0</v>
      </c>
      <c r="AP1006" s="9">
        <f>I1006-W1006-X1006-AN1006</f>
        <v>97.69</v>
      </c>
    </row>
    <row r="1007" spans="1:43" x14ac:dyDescent="0.3">
      <c r="A1007" s="11">
        <f t="shared" si="46"/>
        <v>1005</v>
      </c>
      <c r="B1007" s="5" t="s">
        <v>1675</v>
      </c>
      <c r="C1007" t="s">
        <v>893</v>
      </c>
      <c r="D1007" t="s">
        <v>48</v>
      </c>
      <c r="E1007" s="24" t="str">
        <f>IFERROR(VLOOKUP(D1007,Dropdown!A:B,2,0),D1007)</f>
        <v>CVPL</v>
      </c>
      <c r="F1007" s="6">
        <v>45936</v>
      </c>
      <c r="G1007" s="6" t="str">
        <f>TEXT(F1007, "MMM-YY")</f>
        <v>Oct-25</v>
      </c>
      <c r="H1007" t="s">
        <v>1437</v>
      </c>
      <c r="I1007" s="25">
        <v>95.57</v>
      </c>
      <c r="J1007" s="4">
        <v>1000</v>
      </c>
      <c r="K1007" t="s">
        <v>942</v>
      </c>
      <c r="L1007" s="4" t="str">
        <f>VLOOKUP(K1007, 'Items Master'!A:E,5,0)</f>
        <v>GAIL</v>
      </c>
      <c r="M1007" s="4" t="str">
        <f>VLOOKUP(K1007, 'Items Master'!A:D,4,0)</f>
        <v>HDPE</v>
      </c>
      <c r="N1007" t="s">
        <v>49</v>
      </c>
      <c r="Q1007" s="6">
        <f t="shared" si="49"/>
        <v>45936</v>
      </c>
      <c r="R1007" s="6" t="str">
        <f t="shared" si="48"/>
        <v>Oct-25</v>
      </c>
      <c r="AN1007" s="9">
        <f t="shared" si="44"/>
        <v>0</v>
      </c>
      <c r="AP1007" s="9">
        <f>I1007-W1007-X1007-AN1007</f>
        <v>95.57</v>
      </c>
    </row>
    <row r="1008" spans="1:43" x14ac:dyDescent="0.3">
      <c r="A1008" s="11">
        <f t="shared" si="46"/>
        <v>1006</v>
      </c>
      <c r="B1008" s="5" t="s">
        <v>1675</v>
      </c>
      <c r="C1008" t="s">
        <v>893</v>
      </c>
      <c r="D1008" t="s">
        <v>837</v>
      </c>
      <c r="E1008" s="24" t="str">
        <f>IFERROR(VLOOKUP(D1008,Dropdown!A:B,2,0),D1008)</f>
        <v>SYNTHETIC PACKERS LIMITED</v>
      </c>
      <c r="F1008" s="6">
        <v>45936</v>
      </c>
      <c r="G1008" s="6" t="str">
        <f>TEXT(F1008, "MMM-YY")</f>
        <v>Oct-25</v>
      </c>
      <c r="H1008" t="s">
        <v>1438</v>
      </c>
      <c r="I1008" s="25">
        <v>139</v>
      </c>
      <c r="J1008" s="4">
        <v>1000</v>
      </c>
      <c r="K1008" t="s">
        <v>1108</v>
      </c>
      <c r="L1008" s="4" t="str">
        <f>VLOOKUP(K1008, 'Items Master'!A:E,5,0)</f>
        <v>SIPCHEM</v>
      </c>
      <c r="M1008" s="4" t="str">
        <f>VLOOKUP(K1008, 'Items Master'!A:D,4,0)</f>
        <v>PP ICP</v>
      </c>
      <c r="N1008" t="s">
        <v>24</v>
      </c>
      <c r="Q1008" s="6">
        <f t="shared" si="49"/>
        <v>45936</v>
      </c>
      <c r="R1008" s="6" t="str">
        <f t="shared" si="48"/>
        <v>Oct-25</v>
      </c>
      <c r="W1008" s="25">
        <f>I1008</f>
        <v>139</v>
      </c>
      <c r="AN1008" s="9">
        <f t="shared" si="44"/>
        <v>0</v>
      </c>
      <c r="AP1008" s="9">
        <f>I1008-W1008-X1008-AN1008</f>
        <v>0</v>
      </c>
      <c r="AQ1008" t="s">
        <v>1316</v>
      </c>
    </row>
    <row r="1009" spans="1:44" x14ac:dyDescent="0.3">
      <c r="A1009" s="11">
        <f t="shared" si="46"/>
        <v>1007</v>
      </c>
      <c r="B1009" s="5" t="s">
        <v>1675</v>
      </c>
      <c r="C1009" t="s">
        <v>893</v>
      </c>
      <c r="D1009" t="s">
        <v>48</v>
      </c>
      <c r="E1009" s="24" t="str">
        <f>IFERROR(VLOOKUP(D1009,Dropdown!A:B,2,0),D1009)</f>
        <v>CVPL</v>
      </c>
      <c r="F1009" s="6">
        <v>45936</v>
      </c>
      <c r="G1009" s="6" t="str">
        <f>TEXT(F1009, "MMM-YY")</f>
        <v>Oct-25</v>
      </c>
      <c r="H1009" t="s">
        <v>1439</v>
      </c>
      <c r="I1009" s="25">
        <v>98.47</v>
      </c>
      <c r="J1009" s="4">
        <v>2000</v>
      </c>
      <c r="K1009" t="s">
        <v>1013</v>
      </c>
      <c r="L1009" s="4" t="str">
        <f>VLOOKUP(K1009, 'Items Master'!A:E,5,0)</f>
        <v>GAIL</v>
      </c>
      <c r="M1009" s="4" t="str">
        <f>VLOOKUP(K1009, 'Items Master'!A:D,4,0)</f>
        <v>HDPE</v>
      </c>
      <c r="N1009" t="s">
        <v>49</v>
      </c>
      <c r="Q1009" s="6">
        <f t="shared" si="49"/>
        <v>45936</v>
      </c>
      <c r="R1009" s="6" t="str">
        <f t="shared" si="48"/>
        <v>Oct-25</v>
      </c>
      <c r="AN1009" s="9">
        <f t="shared" si="44"/>
        <v>0</v>
      </c>
      <c r="AP1009" s="9">
        <f>I1009-W1009-X1009-AN1009</f>
        <v>98.47</v>
      </c>
    </row>
    <row r="1010" spans="1:44" x14ac:dyDescent="0.3">
      <c r="A1010" s="11">
        <f t="shared" si="46"/>
        <v>1008</v>
      </c>
      <c r="B1010" s="5" t="s">
        <v>1675</v>
      </c>
      <c r="C1010" t="s">
        <v>893</v>
      </c>
      <c r="D1010" t="s">
        <v>824</v>
      </c>
      <c r="E1010" s="24" t="str">
        <f>IFERROR(VLOOKUP(D1010,Dropdown!A:B,2,0),D1010)</f>
        <v>Paragon</v>
      </c>
      <c r="F1010" s="6">
        <v>45936</v>
      </c>
      <c r="G1010" s="6" t="str">
        <f>TEXT(F1010, "MMM-YY")</f>
        <v>Oct-25</v>
      </c>
      <c r="H1010" t="s">
        <v>1440</v>
      </c>
      <c r="I1010" s="25">
        <v>100.3</v>
      </c>
      <c r="J1010" s="4">
        <v>1000</v>
      </c>
      <c r="K1010" t="s">
        <v>913</v>
      </c>
      <c r="L1010" s="4" t="str">
        <f>VLOOKUP(K1010, 'Items Master'!A:E,5,0)</f>
        <v>RIL</v>
      </c>
      <c r="M1010" s="4" t="str">
        <f>VLOOKUP(K1010, 'Items Master'!A:D,4,0)</f>
        <v>HDPE</v>
      </c>
      <c r="N1010" t="s">
        <v>49</v>
      </c>
      <c r="Q1010" s="6">
        <f t="shared" si="49"/>
        <v>45936</v>
      </c>
      <c r="R1010" s="6" t="str">
        <f t="shared" si="48"/>
        <v>Oct-25</v>
      </c>
      <c r="AN1010" s="9">
        <f t="shared" si="44"/>
        <v>0</v>
      </c>
      <c r="AP1010" s="9">
        <f>I1010-W1010-X1010-AN1010</f>
        <v>100.3</v>
      </c>
    </row>
    <row r="1011" spans="1:44" x14ac:dyDescent="0.3">
      <c r="A1011" s="11">
        <f t="shared" si="46"/>
        <v>1009</v>
      </c>
      <c r="B1011" s="5" t="s">
        <v>1675</v>
      </c>
      <c r="C1011" t="s">
        <v>893</v>
      </c>
      <c r="D1011" t="s">
        <v>824</v>
      </c>
      <c r="E1011" s="24" t="str">
        <f>IFERROR(VLOOKUP(D1011,Dropdown!A:B,2,0),D1011)</f>
        <v>Paragon</v>
      </c>
      <c r="F1011" s="6">
        <v>45936</v>
      </c>
      <c r="G1011" s="6" t="str">
        <f>TEXT(F1011, "MMM-YY")</f>
        <v>Oct-25</v>
      </c>
      <c r="H1011" t="s">
        <v>1441</v>
      </c>
      <c r="I1011" s="25">
        <v>101.27</v>
      </c>
      <c r="J1011" s="4">
        <v>1000</v>
      </c>
      <c r="K1011" t="s">
        <v>948</v>
      </c>
      <c r="L1011" s="4" t="str">
        <f>VLOOKUP(K1011, 'Items Master'!A:E,5,0)</f>
        <v>RIL</v>
      </c>
      <c r="M1011" s="4" t="str">
        <f>VLOOKUP(K1011, 'Items Master'!A:D,4,0)</f>
        <v>PP RCP</v>
      </c>
      <c r="N1011" t="s">
        <v>49</v>
      </c>
      <c r="Q1011" s="6">
        <f t="shared" si="49"/>
        <v>45936</v>
      </c>
      <c r="R1011" s="6" t="str">
        <f t="shared" si="48"/>
        <v>Oct-25</v>
      </c>
      <c r="AN1011" s="9">
        <f t="shared" si="44"/>
        <v>0</v>
      </c>
      <c r="AP1011" s="9">
        <f>I1011-W1011-X1011-AN1011</f>
        <v>101.27</v>
      </c>
    </row>
    <row r="1012" spans="1:44" x14ac:dyDescent="0.3">
      <c r="A1012" s="11">
        <f t="shared" si="46"/>
        <v>1010</v>
      </c>
      <c r="B1012" s="5" t="s">
        <v>1675</v>
      </c>
      <c r="C1012" t="s">
        <v>894</v>
      </c>
      <c r="D1012" t="s">
        <v>1356</v>
      </c>
      <c r="E1012" s="24" t="str">
        <f>IFERROR(VLOOKUP(D1012,Dropdown!A:B,2,0),D1012)</f>
        <v>AXIA PLASTICS PRIVATE LIMITED</v>
      </c>
      <c r="F1012" s="6">
        <v>45936</v>
      </c>
      <c r="G1012" s="6" t="str">
        <f>TEXT(F1012, "MMM-YY")</f>
        <v>Oct-25</v>
      </c>
      <c r="H1012" t="s">
        <v>1436</v>
      </c>
      <c r="I1012" s="25">
        <v>90.11</v>
      </c>
      <c r="J1012" s="4">
        <v>25500</v>
      </c>
      <c r="K1012" t="s">
        <v>938</v>
      </c>
      <c r="L1012" s="4" t="str">
        <f>VLOOKUP(K1012, 'Items Master'!A:E,5,0)</f>
        <v>EXXON</v>
      </c>
      <c r="M1012" s="4" t="str">
        <f>VLOOKUP(K1012, 'Items Master'!A:D,4,0)</f>
        <v>PP</v>
      </c>
      <c r="N1012" t="s">
        <v>24</v>
      </c>
      <c r="Q1012" s="6">
        <f t="shared" si="49"/>
        <v>45936</v>
      </c>
      <c r="R1012" s="6" t="str">
        <f t="shared" si="48"/>
        <v>Oct-25</v>
      </c>
      <c r="W1012" s="25">
        <v>90</v>
      </c>
      <c r="AH1012" s="8">
        <v>0.11</v>
      </c>
      <c r="AN1012" s="9">
        <f t="shared" si="44"/>
        <v>0.11</v>
      </c>
      <c r="AP1012" s="9">
        <f>I1012-W1012-X1012-AN1012</f>
        <v>-5.6898930012039273E-16</v>
      </c>
      <c r="AQ1012" t="s">
        <v>1316</v>
      </c>
    </row>
    <row r="1013" spans="1:44" x14ac:dyDescent="0.3">
      <c r="A1013" s="11">
        <f t="shared" si="46"/>
        <v>1011</v>
      </c>
      <c r="B1013" s="5" t="s">
        <v>1675</v>
      </c>
      <c r="C1013" t="s">
        <v>893</v>
      </c>
      <c r="D1013" t="s">
        <v>857</v>
      </c>
      <c r="E1013" s="24" t="str">
        <f>IFERROR(VLOOKUP(D1013,Dropdown!A:B,2,0),D1013)</f>
        <v>Purav</v>
      </c>
      <c r="F1013" s="6">
        <v>45936</v>
      </c>
      <c r="G1013" s="6" t="str">
        <f>TEXT(F1013, "MMM-YY")</f>
        <v>Oct-25</v>
      </c>
      <c r="H1013" t="s">
        <v>1565</v>
      </c>
      <c r="I1013" s="25">
        <v>97</v>
      </c>
      <c r="J1013" s="4">
        <v>7000</v>
      </c>
      <c r="K1013" t="s">
        <v>935</v>
      </c>
      <c r="L1013" s="4" t="str">
        <f>VLOOKUP(K1013, 'Items Master'!A:E,5,0)</f>
        <v>OPAL</v>
      </c>
      <c r="M1013" s="4" t="str">
        <f>VLOOKUP(K1013, 'Items Master'!A:D,4,0)</f>
        <v>HDPE</v>
      </c>
      <c r="N1013" t="s">
        <v>49</v>
      </c>
      <c r="Q1013" s="6">
        <v>45930</v>
      </c>
      <c r="R1013" s="6" t="str">
        <f t="shared" si="48"/>
        <v>Sep-25</v>
      </c>
      <c r="T1013" t="s">
        <v>21</v>
      </c>
      <c r="U1013" t="s">
        <v>1605</v>
      </c>
      <c r="X1013" s="25">
        <v>97.78</v>
      </c>
      <c r="Y1013" s="25" t="s">
        <v>1303</v>
      </c>
      <c r="Z1013" s="25" t="s">
        <v>1306</v>
      </c>
      <c r="AB1013" s="8">
        <v>-0.9</v>
      </c>
      <c r="AH1013" s="8">
        <v>0.1</v>
      </c>
      <c r="AN1013" s="9">
        <f t="shared" si="44"/>
        <v>-0.8</v>
      </c>
      <c r="AP1013" s="9">
        <f>I1013-W1013-X1013-AN1013</f>
        <v>1.9999999999998908E-2</v>
      </c>
      <c r="AQ1013" t="s">
        <v>1316</v>
      </c>
      <c r="AR1013" t="s">
        <v>1309</v>
      </c>
    </row>
    <row r="1014" spans="1:44" x14ac:dyDescent="0.3">
      <c r="A1014" s="11">
        <f t="shared" si="46"/>
        <v>1012</v>
      </c>
      <c r="B1014" s="5" t="s">
        <v>1675</v>
      </c>
      <c r="C1014" t="s">
        <v>893</v>
      </c>
      <c r="D1014" t="s">
        <v>857</v>
      </c>
      <c r="E1014" s="24" t="str">
        <f>IFERROR(VLOOKUP(D1014,Dropdown!A:B,2,0),D1014)</f>
        <v>Purav</v>
      </c>
      <c r="F1014" s="6">
        <v>45936</v>
      </c>
      <c r="G1014" s="6" t="str">
        <f>TEXT(F1014, "MMM-YY")</f>
        <v>Oct-25</v>
      </c>
      <c r="H1014" t="s">
        <v>1566</v>
      </c>
      <c r="I1014" s="25">
        <v>96.25</v>
      </c>
      <c r="J1014" s="4">
        <v>6000</v>
      </c>
      <c r="K1014" t="s">
        <v>898</v>
      </c>
      <c r="L1014" s="4" t="str">
        <f>VLOOKUP(K1014, 'Items Master'!A:E,5,0)</f>
        <v>OPAL</v>
      </c>
      <c r="M1014" s="4" t="str">
        <f>VLOOKUP(K1014, 'Items Master'!A:D,4,0)</f>
        <v>LLDPE</v>
      </c>
      <c r="N1014" t="s">
        <v>49</v>
      </c>
      <c r="Q1014" s="6">
        <v>45930</v>
      </c>
      <c r="R1014" s="6" t="str">
        <f t="shared" si="48"/>
        <v>Sep-25</v>
      </c>
      <c r="T1014" t="s">
        <v>21</v>
      </c>
      <c r="U1014" t="s">
        <v>1605</v>
      </c>
      <c r="X1014" s="25">
        <v>97.05</v>
      </c>
      <c r="Y1014" s="25" t="s">
        <v>1303</v>
      </c>
      <c r="Z1014" s="25" t="s">
        <v>1306</v>
      </c>
      <c r="AB1014" s="8">
        <v>-0.9</v>
      </c>
      <c r="AH1014" s="8">
        <v>0.1</v>
      </c>
      <c r="AN1014" s="9">
        <f t="shared" si="44"/>
        <v>-0.8</v>
      </c>
      <c r="AP1014" s="9">
        <f>I1014-W1014-X1014-AN1014</f>
        <v>2.886579864025407E-15</v>
      </c>
      <c r="AQ1014" t="s">
        <v>1316</v>
      </c>
    </row>
    <row r="1015" spans="1:44" x14ac:dyDescent="0.3">
      <c r="A1015" s="11">
        <f t="shared" si="46"/>
        <v>1013</v>
      </c>
      <c r="B1015" s="5" t="s">
        <v>1675</v>
      </c>
      <c r="C1015" t="s">
        <v>893</v>
      </c>
      <c r="D1015" t="s">
        <v>826</v>
      </c>
      <c r="E1015" s="24" t="str">
        <f>IFERROR(VLOOKUP(D1015,Dropdown!A:B,2,0),D1015)</f>
        <v>Kamakya</v>
      </c>
      <c r="F1015" s="6">
        <v>45936</v>
      </c>
      <c r="G1015" s="6" t="str">
        <f>TEXT(F1015, "MMM-YY")</f>
        <v>Oct-25</v>
      </c>
      <c r="H1015" t="s">
        <v>1567</v>
      </c>
      <c r="I1015" s="25">
        <v>91.75</v>
      </c>
      <c r="J1015" s="4">
        <v>25000</v>
      </c>
      <c r="K1015" t="s">
        <v>899</v>
      </c>
      <c r="L1015" s="4" t="str">
        <f>VLOOKUP(K1015, 'Items Master'!A:E,5,0)</f>
        <v>MRPL</v>
      </c>
      <c r="M1015" s="4" t="str">
        <f>VLOOKUP(K1015, 'Items Master'!A:D,4,0)</f>
        <v>PP</v>
      </c>
      <c r="N1015" t="s">
        <v>49</v>
      </c>
      <c r="Q1015" s="6">
        <f t="shared" si="49"/>
        <v>45936</v>
      </c>
      <c r="R1015" s="6" t="str">
        <f t="shared" si="48"/>
        <v>Oct-25</v>
      </c>
      <c r="S1015" t="s">
        <v>21</v>
      </c>
      <c r="U1015" t="s">
        <v>1320</v>
      </c>
      <c r="X1015" s="25">
        <v>90</v>
      </c>
      <c r="Y1015" s="25" t="s">
        <v>1304</v>
      </c>
      <c r="Z1015" s="25" t="s">
        <v>1305</v>
      </c>
      <c r="AI1015" s="8">
        <v>1.75</v>
      </c>
      <c r="AN1015" s="9">
        <f t="shared" si="44"/>
        <v>1.75</v>
      </c>
      <c r="AP1015" s="9">
        <f>I1015-W1015-X1015-AN1015</f>
        <v>0</v>
      </c>
      <c r="AQ1015" t="s">
        <v>1316</v>
      </c>
    </row>
    <row r="1016" spans="1:44" x14ac:dyDescent="0.3">
      <c r="A1016" s="11">
        <f t="shared" si="46"/>
        <v>1014</v>
      </c>
      <c r="B1016" s="5" t="s">
        <v>1675</v>
      </c>
      <c r="C1016" t="s">
        <v>893</v>
      </c>
      <c r="D1016" t="s">
        <v>824</v>
      </c>
      <c r="E1016" s="24" t="str">
        <f>IFERROR(VLOOKUP(D1016,Dropdown!A:B,2,0),D1016)</f>
        <v>Paragon</v>
      </c>
      <c r="F1016" s="6">
        <v>45937</v>
      </c>
      <c r="G1016" s="6" t="str">
        <f>TEXT(F1016, "MMM-YY")</f>
        <v>Oct-25</v>
      </c>
      <c r="H1016" t="s">
        <v>1442</v>
      </c>
      <c r="I1016" s="25">
        <v>95.9</v>
      </c>
      <c r="J1016" s="4">
        <v>5000</v>
      </c>
      <c r="K1016" t="s">
        <v>915</v>
      </c>
      <c r="L1016" s="4" t="str">
        <f>VLOOKUP(K1016, 'Items Master'!A:E,5,0)</f>
        <v>RIL</v>
      </c>
      <c r="M1016" s="4" t="str">
        <f>VLOOKUP(K1016, 'Items Master'!A:D,4,0)</f>
        <v>LLDPE</v>
      </c>
      <c r="N1016" t="s">
        <v>49</v>
      </c>
      <c r="Q1016" s="6">
        <f t="shared" si="49"/>
        <v>45937</v>
      </c>
      <c r="R1016" s="6" t="str">
        <f t="shared" si="48"/>
        <v>Oct-25</v>
      </c>
      <c r="AN1016" s="9">
        <f t="shared" si="44"/>
        <v>0</v>
      </c>
      <c r="AP1016" s="9">
        <f>I1016-W1016-X1016-AN1016</f>
        <v>95.9</v>
      </c>
    </row>
    <row r="1017" spans="1:44" x14ac:dyDescent="0.3">
      <c r="A1017" s="11">
        <f t="shared" si="46"/>
        <v>1015</v>
      </c>
      <c r="B1017" s="5" t="s">
        <v>1675</v>
      </c>
      <c r="C1017" t="s">
        <v>893</v>
      </c>
      <c r="D1017" t="s">
        <v>48</v>
      </c>
      <c r="E1017" s="24" t="str">
        <f>IFERROR(VLOOKUP(D1017,Dropdown!A:B,2,0),D1017)</f>
        <v>CVPL</v>
      </c>
      <c r="F1017" s="6">
        <v>45937</v>
      </c>
      <c r="G1017" s="6" t="str">
        <f>TEXT(F1017, "MMM-YY")</f>
        <v>Oct-25</v>
      </c>
      <c r="H1017" t="s">
        <v>1443</v>
      </c>
      <c r="I1017" s="25">
        <v>97.69</v>
      </c>
      <c r="J1017" s="4">
        <v>3000</v>
      </c>
      <c r="K1017" t="s">
        <v>974</v>
      </c>
      <c r="L1017" s="4" t="str">
        <f>VLOOKUP(K1017, 'Items Master'!A:E,5,0)</f>
        <v>GAIL</v>
      </c>
      <c r="M1017" s="4" t="str">
        <f>VLOOKUP(K1017, 'Items Master'!A:D,4,0)</f>
        <v>LLDPE</v>
      </c>
      <c r="N1017" t="s">
        <v>49</v>
      </c>
      <c r="Q1017" s="6">
        <f t="shared" si="49"/>
        <v>45937</v>
      </c>
      <c r="R1017" s="6" t="str">
        <f t="shared" si="48"/>
        <v>Oct-25</v>
      </c>
      <c r="AN1017" s="9">
        <f t="shared" si="44"/>
        <v>0</v>
      </c>
      <c r="AP1017" s="9">
        <f>I1017-W1017-X1017-AN1017</f>
        <v>97.69</v>
      </c>
    </row>
    <row r="1018" spans="1:44" x14ac:dyDescent="0.3">
      <c r="A1018" s="11">
        <f t="shared" si="46"/>
        <v>1016</v>
      </c>
      <c r="B1018" s="5" t="s">
        <v>1675</v>
      </c>
      <c r="C1018" t="s">
        <v>893</v>
      </c>
      <c r="D1018" t="s">
        <v>48</v>
      </c>
      <c r="E1018" s="24" t="str">
        <f>IFERROR(VLOOKUP(D1018,Dropdown!A:B,2,0),D1018)</f>
        <v>CVPL</v>
      </c>
      <c r="F1018" s="6">
        <v>45937</v>
      </c>
      <c r="G1018" s="6" t="str">
        <f>TEXT(F1018, "MMM-YY")</f>
        <v>Oct-25</v>
      </c>
      <c r="H1018" t="s">
        <v>1443</v>
      </c>
      <c r="I1018" s="25">
        <v>95.57</v>
      </c>
      <c r="J1018" s="4">
        <v>3000</v>
      </c>
      <c r="K1018" t="s">
        <v>942</v>
      </c>
      <c r="L1018" s="4" t="str">
        <f>VLOOKUP(K1018, 'Items Master'!A:E,5,0)</f>
        <v>GAIL</v>
      </c>
      <c r="M1018" s="4" t="str">
        <f>VLOOKUP(K1018, 'Items Master'!A:D,4,0)</f>
        <v>HDPE</v>
      </c>
      <c r="N1018" t="s">
        <v>49</v>
      </c>
      <c r="Q1018" s="6">
        <f t="shared" si="49"/>
        <v>45937</v>
      </c>
      <c r="R1018" s="6" t="str">
        <f t="shared" si="48"/>
        <v>Oct-25</v>
      </c>
      <c r="AN1018" s="9">
        <f t="shared" si="44"/>
        <v>0</v>
      </c>
      <c r="AP1018" s="9">
        <f>I1018-W1018-X1018-AN1018</f>
        <v>95.57</v>
      </c>
    </row>
    <row r="1019" spans="1:44" x14ac:dyDescent="0.3">
      <c r="A1019" s="11">
        <f t="shared" si="46"/>
        <v>1017</v>
      </c>
      <c r="B1019" s="5" t="s">
        <v>1675</v>
      </c>
      <c r="C1019" t="s">
        <v>894</v>
      </c>
      <c r="D1019" t="s">
        <v>857</v>
      </c>
      <c r="E1019" s="24" t="str">
        <f>IFERROR(VLOOKUP(D1019,Dropdown!A:B,2,0),D1019)</f>
        <v>Purav</v>
      </c>
      <c r="F1019" s="6">
        <v>45938</v>
      </c>
      <c r="G1019" s="6" t="str">
        <f>TEXT(F1019, "MMM-YY")</f>
        <v>Oct-25</v>
      </c>
      <c r="H1019" t="s">
        <v>1444</v>
      </c>
      <c r="I1019" s="25">
        <v>95</v>
      </c>
      <c r="J1019" s="4">
        <v>3000</v>
      </c>
      <c r="K1019" t="s">
        <v>17</v>
      </c>
      <c r="L1019" s="4" t="str">
        <f>VLOOKUP(K1019, 'Items Master'!A:E,5,0)</f>
        <v>OPAL</v>
      </c>
      <c r="M1019" s="4" t="str">
        <f>VLOOKUP(K1019, 'Items Master'!A:D,4,0)</f>
        <v>LLDPE</v>
      </c>
      <c r="N1019" t="s">
        <v>49</v>
      </c>
      <c r="Q1019" s="6">
        <f t="shared" si="49"/>
        <v>45938</v>
      </c>
      <c r="R1019" s="6" t="str">
        <f t="shared" si="48"/>
        <v>Oct-25</v>
      </c>
      <c r="U1019" t="s">
        <v>1605</v>
      </c>
      <c r="X1019" s="25">
        <v>95.8</v>
      </c>
      <c r="Y1019" s="25" t="s">
        <v>1303</v>
      </c>
      <c r="Z1019" s="25" t="s">
        <v>1306</v>
      </c>
      <c r="AB1019" s="8">
        <v>-0.9</v>
      </c>
      <c r="AI1019" s="8">
        <v>0.1</v>
      </c>
      <c r="AN1019" s="9">
        <f t="shared" si="44"/>
        <v>-0.8</v>
      </c>
      <c r="AP1019" s="9">
        <f>I1019-W1019-X1019-AN1019</f>
        <v>2.886579864025407E-15</v>
      </c>
      <c r="AQ1019" t="s">
        <v>1316</v>
      </c>
    </row>
    <row r="1020" spans="1:44" x14ac:dyDescent="0.3">
      <c r="A1020" s="11">
        <f t="shared" si="46"/>
        <v>1018</v>
      </c>
      <c r="B1020" s="5" t="s">
        <v>1675</v>
      </c>
      <c r="C1020" t="s">
        <v>893</v>
      </c>
      <c r="D1020" t="s">
        <v>48</v>
      </c>
      <c r="E1020" s="24" t="str">
        <f>IFERROR(VLOOKUP(D1020,Dropdown!A:B,2,0),D1020)</f>
        <v>CVPL</v>
      </c>
      <c r="F1020" s="6">
        <v>45938</v>
      </c>
      <c r="G1020" s="6" t="str">
        <f>TEXT(F1020, "MMM-YY")</f>
        <v>Oct-25</v>
      </c>
      <c r="H1020" t="s">
        <v>1445</v>
      </c>
      <c r="I1020" s="25">
        <v>93.45</v>
      </c>
      <c r="J1020" s="4">
        <v>1500</v>
      </c>
      <c r="K1020" t="s">
        <v>901</v>
      </c>
      <c r="L1020" s="4" t="str">
        <f>VLOOKUP(K1020, 'Items Master'!A:E,5,0)</f>
        <v>MRPL</v>
      </c>
      <c r="M1020" s="4" t="str">
        <f>VLOOKUP(K1020, 'Items Master'!A:D,4,0)</f>
        <v>PP</v>
      </c>
      <c r="N1020" t="s">
        <v>49</v>
      </c>
      <c r="Q1020" s="6">
        <f t="shared" si="49"/>
        <v>45938</v>
      </c>
      <c r="R1020" s="6" t="str">
        <f t="shared" si="48"/>
        <v>Oct-25</v>
      </c>
      <c r="AN1020" s="9">
        <f t="shared" si="44"/>
        <v>0</v>
      </c>
      <c r="AP1020" s="9">
        <f>I1020-W1020-X1020-AN1020</f>
        <v>93.45</v>
      </c>
    </row>
    <row r="1021" spans="1:44" x14ac:dyDescent="0.3">
      <c r="A1021" s="11">
        <f t="shared" si="46"/>
        <v>1019</v>
      </c>
      <c r="B1021" s="5" t="s">
        <v>1675</v>
      </c>
      <c r="C1021" t="s">
        <v>893</v>
      </c>
      <c r="D1021" t="s">
        <v>864</v>
      </c>
      <c r="E1021" s="24" t="str">
        <f>IFERROR(VLOOKUP(D1021,Dropdown!A:B,2,0),D1021)</f>
        <v>SVP</v>
      </c>
      <c r="F1021" s="6">
        <v>45938</v>
      </c>
      <c r="G1021" s="6" t="str">
        <f>TEXT(F1021, "MMM-YY")</f>
        <v>Oct-25</v>
      </c>
      <c r="H1021" t="s">
        <v>1446</v>
      </c>
      <c r="I1021" s="25">
        <v>91.8</v>
      </c>
      <c r="J1021" s="4">
        <v>2500</v>
      </c>
      <c r="K1021" t="s">
        <v>914</v>
      </c>
      <c r="L1021" s="4" t="str">
        <f>VLOOKUP(K1021, 'Items Master'!A:E,5,0)</f>
        <v>HMEL</v>
      </c>
      <c r="M1021" s="4" t="str">
        <f>VLOOKUP(K1021, 'Items Master'!A:D,4,0)</f>
        <v>LLDPE</v>
      </c>
      <c r="N1021" t="s">
        <v>49</v>
      </c>
      <c r="Q1021" s="6">
        <f t="shared" si="49"/>
        <v>45938</v>
      </c>
      <c r="R1021" s="6" t="str">
        <f t="shared" si="48"/>
        <v>Oct-25</v>
      </c>
      <c r="X1021" s="25">
        <v>96.4</v>
      </c>
      <c r="Y1021" s="25" t="s">
        <v>1303</v>
      </c>
      <c r="Z1021" s="25" t="s">
        <v>1305</v>
      </c>
      <c r="AB1021" s="8">
        <v>-1.1000000000000001</v>
      </c>
      <c r="AC1021" s="8">
        <v>-1</v>
      </c>
      <c r="AD1021" s="8">
        <v>-2.5</v>
      </c>
      <c r="AN1021" s="9">
        <f t="shared" si="44"/>
        <v>-4.5999999999999996</v>
      </c>
      <c r="AP1021" s="9">
        <f>I1021-W1021-X1021-AN1021</f>
        <v>-8.8817841970012523E-15</v>
      </c>
      <c r="AQ1021" t="s">
        <v>1316</v>
      </c>
    </row>
    <row r="1022" spans="1:44" x14ac:dyDescent="0.3">
      <c r="A1022" s="11">
        <f t="shared" si="46"/>
        <v>1020</v>
      </c>
      <c r="B1022" s="5" t="s">
        <v>1675</v>
      </c>
      <c r="C1022" t="s">
        <v>893</v>
      </c>
      <c r="D1022" t="s">
        <v>824</v>
      </c>
      <c r="E1022" s="24" t="str">
        <f>IFERROR(VLOOKUP(D1022,Dropdown!A:B,2,0),D1022)</f>
        <v>Paragon</v>
      </c>
      <c r="F1022" s="6">
        <v>45938</v>
      </c>
      <c r="G1022" s="6" t="str">
        <f>TEXT(F1022, "MMM-YY")</f>
        <v>Oct-25</v>
      </c>
      <c r="H1022" t="s">
        <v>1447</v>
      </c>
      <c r="I1022" s="25">
        <v>96.29</v>
      </c>
      <c r="J1022" s="4">
        <v>1500</v>
      </c>
      <c r="K1022" t="s">
        <v>925</v>
      </c>
      <c r="L1022" s="4" t="str">
        <f>VLOOKUP(K1022, 'Items Master'!A:E,5,0)</f>
        <v>RIL</v>
      </c>
      <c r="M1022" s="4" t="str">
        <f>VLOOKUP(K1022, 'Items Master'!A:D,4,0)</f>
        <v>PP ICP</v>
      </c>
      <c r="N1022" t="s">
        <v>49</v>
      </c>
      <c r="Q1022" s="6">
        <f t="shared" si="49"/>
        <v>45938</v>
      </c>
      <c r="R1022" s="6" t="str">
        <f t="shared" si="48"/>
        <v>Oct-25</v>
      </c>
      <c r="AN1022" s="9">
        <f t="shared" si="44"/>
        <v>0</v>
      </c>
      <c r="AP1022" s="9">
        <f>I1022-W1022-X1022-AN1022</f>
        <v>96.29</v>
      </c>
    </row>
    <row r="1023" spans="1:44" x14ac:dyDescent="0.3">
      <c r="A1023" s="11">
        <f t="shared" si="46"/>
        <v>1021</v>
      </c>
      <c r="B1023" s="5" t="s">
        <v>1675</v>
      </c>
      <c r="C1023" t="s">
        <v>893</v>
      </c>
      <c r="D1023" t="s">
        <v>48</v>
      </c>
      <c r="E1023" s="24" t="str">
        <f>IFERROR(VLOOKUP(D1023,Dropdown!A:B,2,0),D1023)</f>
        <v>CVPL</v>
      </c>
      <c r="F1023" s="6">
        <v>45938</v>
      </c>
      <c r="G1023" s="6" t="str">
        <f>TEXT(F1023, "MMM-YY")</f>
        <v>Oct-25</v>
      </c>
      <c r="H1023" t="s">
        <v>1445</v>
      </c>
      <c r="I1023" s="25">
        <v>93.45</v>
      </c>
      <c r="J1023" s="4">
        <v>1000</v>
      </c>
      <c r="K1023" t="s">
        <v>901</v>
      </c>
      <c r="L1023" s="4" t="str">
        <f>VLOOKUP(K1023, 'Items Master'!A:E,5,0)</f>
        <v>MRPL</v>
      </c>
      <c r="M1023" s="4" t="str">
        <f>VLOOKUP(K1023, 'Items Master'!A:D,4,0)</f>
        <v>PP</v>
      </c>
      <c r="N1023" t="s">
        <v>49</v>
      </c>
      <c r="Q1023" s="6">
        <f t="shared" si="49"/>
        <v>45938</v>
      </c>
      <c r="R1023" s="6" t="str">
        <f t="shared" si="48"/>
        <v>Oct-25</v>
      </c>
      <c r="AN1023" s="9">
        <f t="shared" si="44"/>
        <v>0</v>
      </c>
      <c r="AP1023" s="9">
        <f>I1023-W1023-X1023-AN1023</f>
        <v>93.45</v>
      </c>
    </row>
    <row r="1024" spans="1:44" x14ac:dyDescent="0.3">
      <c r="A1024" s="11">
        <f t="shared" si="46"/>
        <v>1022</v>
      </c>
      <c r="B1024" s="5" t="s">
        <v>1675</v>
      </c>
      <c r="C1024" t="s">
        <v>893</v>
      </c>
      <c r="D1024" t="s">
        <v>844</v>
      </c>
      <c r="E1024" s="24" t="str">
        <f>IFERROR(VLOOKUP(D1024,Dropdown!A:B,2,0),D1024)</f>
        <v>APEX TECHNO POLYMER PRIVATE LIMITED</v>
      </c>
      <c r="F1024" s="6">
        <v>45938</v>
      </c>
      <c r="G1024" s="6" t="str">
        <f>TEXT(F1024, "MMM-YY")</f>
        <v>Oct-25</v>
      </c>
      <c r="H1024" t="s">
        <v>1568</v>
      </c>
      <c r="I1024" s="25">
        <v>168</v>
      </c>
      <c r="J1024" s="4">
        <v>1500</v>
      </c>
      <c r="K1024" t="s">
        <v>969</v>
      </c>
      <c r="L1024" s="4" t="str">
        <f>VLOOKUP(K1024, 'Items Master'!A:E,5,0)</f>
        <v>RAVAGO</v>
      </c>
      <c r="M1024" s="4" t="str">
        <f>VLOOKUP(K1024, 'Items Master'!A:D,4,0)</f>
        <v>PBT</v>
      </c>
      <c r="N1024" t="s">
        <v>24</v>
      </c>
      <c r="Q1024" s="6">
        <f t="shared" si="49"/>
        <v>45938</v>
      </c>
      <c r="R1024" s="6" t="str">
        <f t="shared" si="48"/>
        <v>Oct-25</v>
      </c>
      <c r="W1024" s="25">
        <f>I1024</f>
        <v>168</v>
      </c>
      <c r="AN1024" s="9">
        <f t="shared" si="44"/>
        <v>0</v>
      </c>
      <c r="AP1024" s="9">
        <f>I1024-W1024-X1024-AN1024</f>
        <v>0</v>
      </c>
      <c r="AQ1024" t="s">
        <v>1316</v>
      </c>
    </row>
    <row r="1025" spans="1:44" x14ac:dyDescent="0.3">
      <c r="A1025" s="11">
        <f t="shared" si="46"/>
        <v>1023</v>
      </c>
      <c r="B1025" s="5" t="s">
        <v>1675</v>
      </c>
      <c r="C1025" t="s">
        <v>893</v>
      </c>
      <c r="D1025" t="s">
        <v>48</v>
      </c>
      <c r="E1025" s="24" t="str">
        <f>IFERROR(VLOOKUP(D1025,Dropdown!A:B,2,0),D1025)</f>
        <v>CVPL</v>
      </c>
      <c r="F1025" s="6">
        <v>45939</v>
      </c>
      <c r="G1025" s="6" t="str">
        <f>TEXT(F1025, "MMM-YY")</f>
        <v>Oct-25</v>
      </c>
      <c r="H1025" t="s">
        <v>1448</v>
      </c>
      <c r="I1025" s="25">
        <v>91.8</v>
      </c>
      <c r="J1025" s="4">
        <v>1500</v>
      </c>
      <c r="K1025" t="s">
        <v>901</v>
      </c>
      <c r="L1025" s="4" t="str">
        <f>VLOOKUP(K1025, 'Items Master'!A:E,5,0)</f>
        <v>MRPL</v>
      </c>
      <c r="M1025" s="4" t="str">
        <f>VLOOKUP(K1025, 'Items Master'!A:D,4,0)</f>
        <v>PP</v>
      </c>
      <c r="N1025" t="s">
        <v>49</v>
      </c>
      <c r="Q1025" s="6">
        <f t="shared" si="49"/>
        <v>45939</v>
      </c>
      <c r="R1025" s="6" t="str">
        <f t="shared" si="48"/>
        <v>Oct-25</v>
      </c>
      <c r="AN1025" s="9">
        <f t="shared" si="44"/>
        <v>0</v>
      </c>
      <c r="AP1025" s="9">
        <f>I1025-W1025-X1025-AN1025</f>
        <v>91.8</v>
      </c>
    </row>
    <row r="1026" spans="1:44" x14ac:dyDescent="0.3">
      <c r="A1026" s="11">
        <f t="shared" si="46"/>
        <v>1024</v>
      </c>
      <c r="B1026" s="5" t="s">
        <v>1675</v>
      </c>
      <c r="C1026" t="s">
        <v>893</v>
      </c>
      <c r="D1026" t="s">
        <v>48</v>
      </c>
      <c r="E1026" s="24" t="str">
        <f>IFERROR(VLOOKUP(D1026,Dropdown!A:B,2,0),D1026)</f>
        <v>CVPL</v>
      </c>
      <c r="F1026" s="6">
        <v>45939</v>
      </c>
      <c r="G1026" s="6" t="str">
        <f>TEXT(F1026, "MMM-YY")</f>
        <v>Oct-25</v>
      </c>
      <c r="H1026" t="s">
        <v>1448</v>
      </c>
      <c r="I1026" s="25">
        <v>91.8</v>
      </c>
      <c r="J1026" s="4">
        <v>8500</v>
      </c>
      <c r="K1026" t="s">
        <v>899</v>
      </c>
      <c r="L1026" s="4" t="str">
        <f>VLOOKUP(K1026, 'Items Master'!A:E,5,0)</f>
        <v>MRPL</v>
      </c>
      <c r="M1026" s="4" t="str">
        <f>VLOOKUP(K1026, 'Items Master'!A:D,4,0)</f>
        <v>PP</v>
      </c>
      <c r="N1026" t="s">
        <v>49</v>
      </c>
      <c r="Q1026" s="6">
        <f t="shared" si="49"/>
        <v>45939</v>
      </c>
      <c r="R1026" s="6" t="str">
        <f t="shared" si="48"/>
        <v>Oct-25</v>
      </c>
      <c r="AN1026" s="9">
        <f t="shared" si="44"/>
        <v>0</v>
      </c>
      <c r="AP1026" s="9">
        <f>I1026-W1026-X1026-AN1026</f>
        <v>91.8</v>
      </c>
    </row>
    <row r="1027" spans="1:44" x14ac:dyDescent="0.3">
      <c r="A1027" s="11">
        <f t="shared" si="46"/>
        <v>1025</v>
      </c>
      <c r="B1027" s="5" t="s">
        <v>1675</v>
      </c>
      <c r="C1027" t="s">
        <v>893</v>
      </c>
      <c r="D1027" t="s">
        <v>857</v>
      </c>
      <c r="E1027" s="24" t="str">
        <f>IFERROR(VLOOKUP(D1027,Dropdown!A:B,2,0),D1027)</f>
        <v>Purav</v>
      </c>
      <c r="F1027" s="6">
        <v>45939</v>
      </c>
      <c r="G1027" s="6" t="str">
        <f>TEXT(F1027, "MMM-YY")</f>
        <v>Oct-25</v>
      </c>
      <c r="H1027" t="s">
        <v>1569</v>
      </c>
      <c r="I1027" s="25">
        <v>95</v>
      </c>
      <c r="J1027" s="4">
        <v>7000</v>
      </c>
      <c r="K1027" t="s">
        <v>17</v>
      </c>
      <c r="L1027" s="4" t="str">
        <f>VLOOKUP(K1027, 'Items Master'!A:E,5,0)</f>
        <v>OPAL</v>
      </c>
      <c r="M1027" s="4" t="str">
        <f>VLOOKUP(K1027, 'Items Master'!A:D,4,0)</f>
        <v>LLDPE</v>
      </c>
      <c r="N1027" t="s">
        <v>49</v>
      </c>
      <c r="Q1027" s="6">
        <f t="shared" si="49"/>
        <v>45939</v>
      </c>
      <c r="R1027" s="6" t="str">
        <f t="shared" si="48"/>
        <v>Oct-25</v>
      </c>
      <c r="U1027" t="s">
        <v>1605</v>
      </c>
      <c r="X1027" s="25">
        <v>95.8</v>
      </c>
      <c r="Y1027" s="25" t="s">
        <v>1303</v>
      </c>
      <c r="Z1027" s="25" t="s">
        <v>1306</v>
      </c>
      <c r="AB1027" s="8">
        <v>-0.9</v>
      </c>
      <c r="AI1027" s="8">
        <v>0.1</v>
      </c>
      <c r="AN1027" s="9">
        <f t="shared" si="44"/>
        <v>-0.8</v>
      </c>
      <c r="AP1027" s="9">
        <f>I1027-W1027-X1027-AN1027</f>
        <v>2.886579864025407E-15</v>
      </c>
      <c r="AQ1027" t="s">
        <v>1316</v>
      </c>
    </row>
    <row r="1028" spans="1:44" x14ac:dyDescent="0.3">
      <c r="A1028" s="11">
        <f t="shared" si="46"/>
        <v>1026</v>
      </c>
      <c r="B1028" s="5" t="s">
        <v>1675</v>
      </c>
      <c r="C1028" t="s">
        <v>893</v>
      </c>
      <c r="D1028" t="s">
        <v>857</v>
      </c>
      <c r="E1028" s="24" t="str">
        <f>IFERROR(VLOOKUP(D1028,Dropdown!A:B,2,0),D1028)</f>
        <v>Purav</v>
      </c>
      <c r="F1028" s="6">
        <v>45939</v>
      </c>
      <c r="G1028" s="6" t="str">
        <f>TEXT(F1028, "MMM-YY")</f>
        <v>Oct-25</v>
      </c>
      <c r="H1028" t="s">
        <v>1570</v>
      </c>
      <c r="I1028" s="25">
        <v>97</v>
      </c>
      <c r="J1028" s="4">
        <v>3000</v>
      </c>
      <c r="K1028" t="s">
        <v>935</v>
      </c>
      <c r="L1028" s="4" t="str">
        <f>VLOOKUP(K1028, 'Items Master'!A:E,5,0)</f>
        <v>OPAL</v>
      </c>
      <c r="M1028" s="4" t="str">
        <f>VLOOKUP(K1028, 'Items Master'!A:D,4,0)</f>
        <v>HDPE</v>
      </c>
      <c r="N1028" t="s">
        <v>49</v>
      </c>
      <c r="Q1028" s="6">
        <v>45930</v>
      </c>
      <c r="R1028" s="6" t="str">
        <f t="shared" si="48"/>
        <v>Sep-25</v>
      </c>
      <c r="T1028" t="s">
        <v>21</v>
      </c>
      <c r="U1028" t="s">
        <v>1605</v>
      </c>
      <c r="X1028" s="25">
        <v>97.78</v>
      </c>
      <c r="Y1028" s="25" t="s">
        <v>1303</v>
      </c>
      <c r="Z1028" s="25" t="s">
        <v>1306</v>
      </c>
      <c r="AB1028" s="8">
        <v>-0.9</v>
      </c>
      <c r="AH1028" s="8">
        <v>0.1</v>
      </c>
      <c r="AN1028" s="9">
        <f t="shared" si="44"/>
        <v>-0.8</v>
      </c>
      <c r="AP1028" s="9">
        <f>I1028-W1028-X1028-AN1028</f>
        <v>1.9999999999998908E-2</v>
      </c>
      <c r="AQ1028" t="s">
        <v>1316</v>
      </c>
      <c r="AR1028" t="s">
        <v>1309</v>
      </c>
    </row>
    <row r="1029" spans="1:44" x14ac:dyDescent="0.3">
      <c r="A1029" s="11">
        <f t="shared" si="46"/>
        <v>1027</v>
      </c>
      <c r="B1029" s="5" t="s">
        <v>1675</v>
      </c>
      <c r="C1029" t="s">
        <v>894</v>
      </c>
      <c r="D1029" t="s">
        <v>857</v>
      </c>
      <c r="E1029" s="24" t="str">
        <f>IFERROR(VLOOKUP(D1029,Dropdown!A:B,2,0),D1029)</f>
        <v>Purav</v>
      </c>
      <c r="F1029" s="6">
        <v>45940</v>
      </c>
      <c r="G1029" s="6" t="str">
        <f>TEXT(F1029, "MMM-YY")</f>
        <v>Oct-25</v>
      </c>
      <c r="H1029" t="s">
        <v>1449</v>
      </c>
      <c r="I1029" s="25">
        <v>92.25</v>
      </c>
      <c r="J1029" s="4">
        <v>8000</v>
      </c>
      <c r="K1029" t="s">
        <v>1541</v>
      </c>
      <c r="L1029" s="4" t="str">
        <f>VLOOKUP(K1029, 'Items Master'!A:E,5,0)</f>
        <v>GAIL</v>
      </c>
      <c r="M1029" s="4" t="str">
        <f>VLOOKUP(K1029, 'Items Master'!A:D,4,0)</f>
        <v>HDPE</v>
      </c>
      <c r="N1029" t="s">
        <v>24</v>
      </c>
      <c r="Q1029" s="6">
        <f t="shared" si="49"/>
        <v>45940</v>
      </c>
      <c r="R1029" s="6" t="str">
        <f t="shared" si="48"/>
        <v>Oct-25</v>
      </c>
      <c r="W1029" s="25">
        <v>92.15</v>
      </c>
      <c r="AH1029" s="8">
        <v>0.1</v>
      </c>
      <c r="AN1029" s="9">
        <f t="shared" ref="AN1029:AN1092" si="50">SUM(AB1029:AM1029)</f>
        <v>0.1</v>
      </c>
      <c r="AP1029" s="9">
        <f>I1029-W1029-X1029-AN1029</f>
        <v>-5.6898930012039273E-15</v>
      </c>
      <c r="AQ1029" t="s">
        <v>1316</v>
      </c>
    </row>
    <row r="1030" spans="1:44" x14ac:dyDescent="0.3">
      <c r="A1030" s="11">
        <f t="shared" si="46"/>
        <v>1028</v>
      </c>
      <c r="B1030" s="5" t="s">
        <v>1675</v>
      </c>
      <c r="C1030" t="s">
        <v>894</v>
      </c>
      <c r="D1030" t="s">
        <v>857</v>
      </c>
      <c r="E1030" s="24" t="str">
        <f>IFERROR(VLOOKUP(D1030,Dropdown!A:B,2,0),D1030)</f>
        <v>Purav</v>
      </c>
      <c r="F1030" s="6">
        <v>45940</v>
      </c>
      <c r="G1030" s="6" t="str">
        <f>TEXT(F1030, "MMM-YY")</f>
        <v>Oct-25</v>
      </c>
      <c r="H1030" t="s">
        <v>1449</v>
      </c>
      <c r="I1030" s="25">
        <v>92.25</v>
      </c>
      <c r="J1030" s="4">
        <v>2000</v>
      </c>
      <c r="K1030" t="s">
        <v>1541</v>
      </c>
      <c r="L1030" s="4" t="str">
        <f>VLOOKUP(K1030, 'Items Master'!A:E,5,0)</f>
        <v>GAIL</v>
      </c>
      <c r="M1030" s="4" t="str">
        <f>VLOOKUP(K1030, 'Items Master'!A:D,4,0)</f>
        <v>HDPE</v>
      </c>
      <c r="N1030" t="s">
        <v>24</v>
      </c>
      <c r="Q1030" s="6">
        <f t="shared" si="49"/>
        <v>45940</v>
      </c>
      <c r="R1030" s="6" t="str">
        <f t="shared" si="48"/>
        <v>Oct-25</v>
      </c>
      <c r="W1030" s="25">
        <v>92.15</v>
      </c>
      <c r="AH1030" s="8">
        <v>0.1</v>
      </c>
      <c r="AN1030" s="9">
        <f t="shared" si="50"/>
        <v>0.1</v>
      </c>
      <c r="AP1030" s="9">
        <f>I1030-W1030-X1030-AN1030</f>
        <v>-5.6898930012039273E-15</v>
      </c>
      <c r="AQ1030" t="s">
        <v>1316</v>
      </c>
    </row>
    <row r="1031" spans="1:44" x14ac:dyDescent="0.3">
      <c r="A1031" s="11">
        <f t="shared" si="46"/>
        <v>1029</v>
      </c>
      <c r="B1031" s="5" t="s">
        <v>1675</v>
      </c>
      <c r="C1031" t="s">
        <v>894</v>
      </c>
      <c r="D1031" t="s">
        <v>837</v>
      </c>
      <c r="E1031" s="24" t="str">
        <f>IFERROR(VLOOKUP(D1031,Dropdown!A:B,2,0),D1031)</f>
        <v>SYNTHETIC PACKERS LIMITED</v>
      </c>
      <c r="F1031" s="6">
        <v>45940</v>
      </c>
      <c r="G1031" s="6" t="str">
        <f>TEXT(F1031, "MMM-YY")</f>
        <v>Oct-25</v>
      </c>
      <c r="H1031" t="s">
        <v>1450</v>
      </c>
      <c r="I1031" s="25">
        <v>89</v>
      </c>
      <c r="J1031" s="4">
        <v>8000</v>
      </c>
      <c r="K1031" t="s">
        <v>982</v>
      </c>
      <c r="L1031" s="4" t="str">
        <f>VLOOKUP(K1031, 'Items Master'!A:E,5,0)</f>
        <v>SABIC</v>
      </c>
      <c r="M1031" s="4" t="str">
        <f>VLOOKUP(K1031, 'Items Master'!A:D,4,0)</f>
        <v>HDPE</v>
      </c>
      <c r="N1031" t="s">
        <v>24</v>
      </c>
      <c r="Q1031" s="6">
        <f t="shared" si="49"/>
        <v>45940</v>
      </c>
      <c r="R1031" s="6" t="str">
        <f t="shared" si="48"/>
        <v>Oct-25</v>
      </c>
      <c r="W1031" s="25">
        <f t="shared" ref="W1031:W1033" si="51">I1031</f>
        <v>89</v>
      </c>
      <c r="AN1031" s="9">
        <f t="shared" si="50"/>
        <v>0</v>
      </c>
      <c r="AP1031" s="9">
        <f>I1031-W1031-X1031-AN1031</f>
        <v>0</v>
      </c>
      <c r="AQ1031" t="s">
        <v>1316</v>
      </c>
    </row>
    <row r="1032" spans="1:44" x14ac:dyDescent="0.3">
      <c r="A1032" s="11">
        <f t="shared" ref="A1032:A1095" si="52">A1031+1</f>
        <v>1030</v>
      </c>
      <c r="B1032" s="5" t="s">
        <v>1675</v>
      </c>
      <c r="C1032" t="s">
        <v>894</v>
      </c>
      <c r="D1032" t="s">
        <v>837</v>
      </c>
      <c r="E1032" s="24" t="str">
        <f>IFERROR(VLOOKUP(D1032,Dropdown!A:B,2,0),D1032)</f>
        <v>SYNTHETIC PACKERS LIMITED</v>
      </c>
      <c r="F1032" s="6">
        <v>45940</v>
      </c>
      <c r="G1032" s="6" t="str">
        <f>TEXT(F1032, "MMM-YY")</f>
        <v>Oct-25</v>
      </c>
      <c r="H1032" t="s">
        <v>1450</v>
      </c>
      <c r="I1032" s="25">
        <v>89</v>
      </c>
      <c r="J1032" s="4">
        <v>5000</v>
      </c>
      <c r="K1032" t="s">
        <v>982</v>
      </c>
      <c r="L1032" s="4" t="str">
        <f>VLOOKUP(K1032, 'Items Master'!A:E,5,0)</f>
        <v>SABIC</v>
      </c>
      <c r="M1032" s="4" t="str">
        <f>VLOOKUP(K1032, 'Items Master'!A:D,4,0)</f>
        <v>HDPE</v>
      </c>
      <c r="N1032" t="s">
        <v>24</v>
      </c>
      <c r="Q1032" s="6">
        <f t="shared" si="49"/>
        <v>45940</v>
      </c>
      <c r="R1032" s="6" t="str">
        <f t="shared" si="48"/>
        <v>Oct-25</v>
      </c>
      <c r="W1032" s="25">
        <f t="shared" si="51"/>
        <v>89</v>
      </c>
      <c r="AN1032" s="9">
        <f t="shared" si="50"/>
        <v>0</v>
      </c>
      <c r="AP1032" s="9">
        <f>I1032-W1032-X1032-AN1032</f>
        <v>0</v>
      </c>
      <c r="AQ1032" t="s">
        <v>1316</v>
      </c>
    </row>
    <row r="1033" spans="1:44" x14ac:dyDescent="0.3">
      <c r="A1033" s="11">
        <f t="shared" si="52"/>
        <v>1031</v>
      </c>
      <c r="B1033" s="5" t="s">
        <v>1675</v>
      </c>
      <c r="C1033" t="s">
        <v>894</v>
      </c>
      <c r="D1033" t="s">
        <v>837</v>
      </c>
      <c r="E1033" s="24" t="str">
        <f>IFERROR(VLOOKUP(D1033,Dropdown!A:B,2,0),D1033)</f>
        <v>SYNTHETIC PACKERS LIMITED</v>
      </c>
      <c r="F1033" s="6">
        <v>45940</v>
      </c>
      <c r="G1033" s="6" t="str">
        <f>TEXT(F1033, "MMM-YY")</f>
        <v>Oct-25</v>
      </c>
      <c r="H1033" t="s">
        <v>1451</v>
      </c>
      <c r="I1033" s="25">
        <v>90</v>
      </c>
      <c r="J1033" s="4">
        <v>12000</v>
      </c>
      <c r="K1033" t="s">
        <v>909</v>
      </c>
      <c r="L1033" s="4" t="str">
        <f>VLOOKUP(K1033, 'Items Master'!A:E,5,0)</f>
        <v>LUBAN</v>
      </c>
      <c r="M1033" s="4" t="str">
        <f>VLOOKUP(K1033, 'Items Master'!A:D,4,0)</f>
        <v>HDPE</v>
      </c>
      <c r="N1033" t="s">
        <v>24</v>
      </c>
      <c r="Q1033" s="6">
        <f t="shared" si="49"/>
        <v>45940</v>
      </c>
      <c r="R1033" s="6" t="str">
        <f t="shared" si="48"/>
        <v>Oct-25</v>
      </c>
      <c r="W1033" s="25">
        <f t="shared" si="51"/>
        <v>90</v>
      </c>
      <c r="AN1033" s="9">
        <f t="shared" si="50"/>
        <v>0</v>
      </c>
      <c r="AP1033" s="9">
        <f>I1033-W1033-X1033-AN1033</f>
        <v>0</v>
      </c>
      <c r="AQ1033" t="s">
        <v>1316</v>
      </c>
    </row>
    <row r="1034" spans="1:44" x14ac:dyDescent="0.3">
      <c r="A1034" s="11">
        <f t="shared" si="52"/>
        <v>1032</v>
      </c>
      <c r="B1034" s="5" t="s">
        <v>1675</v>
      </c>
      <c r="C1034" t="s">
        <v>893</v>
      </c>
      <c r="D1034" t="s">
        <v>824</v>
      </c>
      <c r="E1034" s="24" t="str">
        <f>IFERROR(VLOOKUP(D1034,Dropdown!A:B,2,0),D1034)</f>
        <v>Paragon</v>
      </c>
      <c r="F1034" s="6">
        <v>45940</v>
      </c>
      <c r="G1034" s="6" t="str">
        <f>TEXT(F1034, "MMM-YY")</f>
        <v>Oct-25</v>
      </c>
      <c r="H1034" t="s">
        <v>1571</v>
      </c>
      <c r="I1034" s="25">
        <v>94.79</v>
      </c>
      <c r="J1034" s="4">
        <v>150</v>
      </c>
      <c r="K1034" t="s">
        <v>932</v>
      </c>
      <c r="L1034" s="4" t="str">
        <f>VLOOKUP(K1034, 'Items Master'!A:E,5,0)</f>
        <v>RIL</v>
      </c>
      <c r="M1034" s="4" t="str">
        <f>VLOOKUP(K1034, 'Items Master'!A:D,4,0)</f>
        <v>PP ICP</v>
      </c>
      <c r="N1034" t="s">
        <v>49</v>
      </c>
      <c r="Q1034" s="6">
        <f t="shared" si="49"/>
        <v>45940</v>
      </c>
      <c r="R1034" s="6" t="str">
        <f t="shared" si="48"/>
        <v>Oct-25</v>
      </c>
      <c r="AN1034" s="9">
        <f t="shared" si="50"/>
        <v>0</v>
      </c>
      <c r="AP1034" s="9">
        <f>I1034-W1034-X1034-AN1034</f>
        <v>94.79</v>
      </c>
    </row>
    <row r="1035" spans="1:44" x14ac:dyDescent="0.3">
      <c r="A1035" s="11">
        <f t="shared" si="52"/>
        <v>1033</v>
      </c>
      <c r="B1035" s="5" t="s">
        <v>1675</v>
      </c>
      <c r="C1035" t="s">
        <v>893</v>
      </c>
      <c r="D1035" t="s">
        <v>824</v>
      </c>
      <c r="E1035" s="24" t="str">
        <f>IFERROR(VLOOKUP(D1035,Dropdown!A:B,2,0),D1035)</f>
        <v>Paragon</v>
      </c>
      <c r="F1035" s="6">
        <v>45940</v>
      </c>
      <c r="G1035" s="6" t="str">
        <f>TEXT(F1035, "MMM-YY")</f>
        <v>Oct-25</v>
      </c>
      <c r="H1035" t="s">
        <v>1571</v>
      </c>
      <c r="I1035" s="25">
        <v>98.77</v>
      </c>
      <c r="J1035" s="4">
        <v>350</v>
      </c>
      <c r="K1035" t="s">
        <v>934</v>
      </c>
      <c r="L1035" s="4" t="str">
        <f>VLOOKUP(K1035, 'Items Master'!A:E,5,0)</f>
        <v>RIL</v>
      </c>
      <c r="M1035" s="4" t="str">
        <f>VLOOKUP(K1035, 'Items Master'!A:D,4,0)</f>
        <v>PP RCP</v>
      </c>
      <c r="N1035" t="s">
        <v>49</v>
      </c>
      <c r="Q1035" s="6">
        <f t="shared" si="49"/>
        <v>45940</v>
      </c>
      <c r="R1035" s="6" t="str">
        <f t="shared" si="48"/>
        <v>Oct-25</v>
      </c>
      <c r="AN1035" s="9">
        <f t="shared" si="50"/>
        <v>0</v>
      </c>
      <c r="AP1035" s="9">
        <f>I1035-W1035-X1035-AN1035</f>
        <v>98.77</v>
      </c>
    </row>
    <row r="1036" spans="1:44" x14ac:dyDescent="0.3">
      <c r="A1036" s="11">
        <f t="shared" si="52"/>
        <v>1034</v>
      </c>
      <c r="B1036" s="5" t="s">
        <v>1675</v>
      </c>
      <c r="C1036" t="s">
        <v>893</v>
      </c>
      <c r="D1036" t="s">
        <v>48</v>
      </c>
      <c r="E1036" s="24" t="str">
        <f>IFERROR(VLOOKUP(D1036,Dropdown!A:B,2,0),D1036)</f>
        <v>CVPL</v>
      </c>
      <c r="F1036" s="6">
        <v>45940</v>
      </c>
      <c r="G1036" s="6" t="str">
        <f>TEXT(F1036, "MMM-YY")</f>
        <v>Oct-25</v>
      </c>
      <c r="H1036" t="s">
        <v>1572</v>
      </c>
      <c r="I1036" s="25">
        <v>90.8</v>
      </c>
      <c r="J1036" s="4">
        <v>10000</v>
      </c>
      <c r="K1036" t="s">
        <v>899</v>
      </c>
      <c r="L1036" s="4" t="str">
        <f>VLOOKUP(K1036, 'Items Master'!A:E,5,0)</f>
        <v>MRPL</v>
      </c>
      <c r="M1036" s="4" t="str">
        <f>VLOOKUP(K1036, 'Items Master'!A:D,4,0)</f>
        <v>PP</v>
      </c>
      <c r="N1036" t="s">
        <v>49</v>
      </c>
      <c r="Q1036" s="6">
        <f t="shared" si="49"/>
        <v>45940</v>
      </c>
      <c r="R1036" s="6" t="str">
        <f t="shared" si="48"/>
        <v>Oct-25</v>
      </c>
      <c r="AN1036" s="9">
        <f t="shared" si="50"/>
        <v>0</v>
      </c>
      <c r="AP1036" s="9">
        <f>I1036-W1036-X1036-AN1036</f>
        <v>90.8</v>
      </c>
    </row>
    <row r="1037" spans="1:44" x14ac:dyDescent="0.3">
      <c r="A1037" s="11">
        <f t="shared" si="52"/>
        <v>1035</v>
      </c>
      <c r="B1037" s="5" t="s">
        <v>1675</v>
      </c>
      <c r="C1037" t="s">
        <v>893</v>
      </c>
      <c r="D1037" t="s">
        <v>844</v>
      </c>
      <c r="E1037" s="24" t="str">
        <f>IFERROR(VLOOKUP(D1037,Dropdown!A:B,2,0),D1037)</f>
        <v>APEX TECHNO POLYMER PRIVATE LIMITED</v>
      </c>
      <c r="F1037" s="6">
        <v>45940</v>
      </c>
      <c r="G1037" s="6" t="str">
        <f>TEXT(F1037, "MMM-YY")</f>
        <v>Oct-25</v>
      </c>
      <c r="H1037" t="s">
        <v>1573</v>
      </c>
      <c r="I1037" s="25">
        <v>155</v>
      </c>
      <c r="J1037" s="4">
        <v>8000</v>
      </c>
      <c r="K1037" t="s">
        <v>1006</v>
      </c>
      <c r="L1037" s="4" t="str">
        <f>VLOOKUP(K1037, 'Items Master'!A:E,5,0)</f>
        <v>STAREX</v>
      </c>
      <c r="M1037" s="4" t="str">
        <f>VLOOKUP(K1037, 'Items Master'!A:D,4,0)</f>
        <v>ABS</v>
      </c>
      <c r="N1037" t="s">
        <v>24</v>
      </c>
      <c r="Q1037" s="6">
        <f t="shared" si="49"/>
        <v>45940</v>
      </c>
      <c r="R1037" s="6" t="str">
        <f t="shared" si="48"/>
        <v>Oct-25</v>
      </c>
      <c r="W1037" s="25">
        <f t="shared" ref="W1037:W1038" si="53">I1037</f>
        <v>155</v>
      </c>
      <c r="AN1037" s="9">
        <f t="shared" si="50"/>
        <v>0</v>
      </c>
      <c r="AP1037" s="9">
        <f>I1037-W1037-X1037-AN1037</f>
        <v>0</v>
      </c>
      <c r="AQ1037" t="s">
        <v>1316</v>
      </c>
    </row>
    <row r="1038" spans="1:44" x14ac:dyDescent="0.3">
      <c r="A1038" s="11">
        <f t="shared" si="52"/>
        <v>1036</v>
      </c>
      <c r="B1038" s="5" t="s">
        <v>1675</v>
      </c>
      <c r="C1038" t="s">
        <v>894</v>
      </c>
      <c r="D1038" t="s">
        <v>1646</v>
      </c>
      <c r="E1038" s="24" t="str">
        <f>IFERROR(VLOOKUP(D1038,Dropdown!A:B,2,0),D1038)</f>
        <v>SHRINATH TRADE VENTURES PRIVATE LIMITED</v>
      </c>
      <c r="F1038" s="6">
        <v>45941</v>
      </c>
      <c r="G1038" s="6" t="str">
        <f>TEXT(F1038, "MMM-YY")</f>
        <v>Oct-25</v>
      </c>
      <c r="H1038" t="s">
        <v>1452</v>
      </c>
      <c r="I1038" s="25">
        <v>110</v>
      </c>
      <c r="J1038" s="4">
        <v>12000</v>
      </c>
      <c r="K1038" t="s">
        <v>1542</v>
      </c>
      <c r="L1038" s="4" t="str">
        <f>VLOOKUP(K1038, 'Items Master'!A:E,5,0)</f>
        <v>SABIC</v>
      </c>
      <c r="M1038" s="4" t="str">
        <f>VLOOKUP(K1038, 'Items Master'!A:D,4,0)</f>
        <v>LDPE</v>
      </c>
      <c r="N1038" t="s">
        <v>24</v>
      </c>
      <c r="Q1038" s="6">
        <f t="shared" si="49"/>
        <v>45941</v>
      </c>
      <c r="R1038" s="6" t="str">
        <f t="shared" si="48"/>
        <v>Oct-25</v>
      </c>
      <c r="W1038" s="25">
        <f t="shared" si="53"/>
        <v>110</v>
      </c>
      <c r="AN1038" s="9">
        <f t="shared" si="50"/>
        <v>0</v>
      </c>
      <c r="AP1038" s="9">
        <f>I1038-W1038-X1038-AN1038</f>
        <v>0</v>
      </c>
      <c r="AQ1038" t="s">
        <v>1316</v>
      </c>
    </row>
    <row r="1039" spans="1:44" x14ac:dyDescent="0.3">
      <c r="A1039" s="11">
        <f t="shared" si="52"/>
        <v>1037</v>
      </c>
      <c r="B1039" s="5" t="s">
        <v>1675</v>
      </c>
      <c r="C1039" t="s">
        <v>893</v>
      </c>
      <c r="D1039" t="s">
        <v>48</v>
      </c>
      <c r="E1039" s="24" t="str">
        <f>IFERROR(VLOOKUP(D1039,Dropdown!A:B,2,0),D1039)</f>
        <v>CVPL</v>
      </c>
      <c r="F1039" s="6">
        <v>45941</v>
      </c>
      <c r="G1039" s="6" t="str">
        <f>TEXT(F1039, "MMM-YY")</f>
        <v>Oct-25</v>
      </c>
      <c r="H1039" t="s">
        <v>1453</v>
      </c>
      <c r="I1039" s="25">
        <v>96.49</v>
      </c>
      <c r="J1039" s="4">
        <v>11000</v>
      </c>
      <c r="K1039" t="s">
        <v>903</v>
      </c>
      <c r="L1039" s="4" t="str">
        <f>VLOOKUP(K1039, 'Items Master'!A:E,5,0)</f>
        <v>GAIL</v>
      </c>
      <c r="M1039" s="4" t="str">
        <f>VLOOKUP(K1039, 'Items Master'!A:D,4,0)</f>
        <v>LLDPE</v>
      </c>
      <c r="N1039" t="s">
        <v>49</v>
      </c>
      <c r="Q1039" s="6">
        <f t="shared" si="49"/>
        <v>45941</v>
      </c>
      <c r="R1039" s="6" t="str">
        <f t="shared" si="48"/>
        <v>Oct-25</v>
      </c>
      <c r="AN1039" s="9">
        <f t="shared" si="50"/>
        <v>0</v>
      </c>
      <c r="AP1039" s="9">
        <f>I1039-W1039-X1039-AN1039</f>
        <v>96.49</v>
      </c>
    </row>
    <row r="1040" spans="1:44" x14ac:dyDescent="0.3">
      <c r="A1040" s="11">
        <f t="shared" si="52"/>
        <v>1038</v>
      </c>
      <c r="B1040" s="5" t="s">
        <v>1675</v>
      </c>
      <c r="C1040" t="s">
        <v>893</v>
      </c>
      <c r="D1040" t="s">
        <v>48</v>
      </c>
      <c r="E1040" s="24" t="str">
        <f>IFERROR(VLOOKUP(D1040,Dropdown!A:B,2,0),D1040)</f>
        <v>CVPL</v>
      </c>
      <c r="F1040" s="6">
        <v>45941</v>
      </c>
      <c r="G1040" s="6" t="str">
        <f>TEXT(F1040, "MMM-YY")</f>
        <v>Oct-25</v>
      </c>
      <c r="H1040" t="s">
        <v>1454</v>
      </c>
      <c r="I1040" s="25">
        <v>97.19</v>
      </c>
      <c r="J1040" s="4">
        <v>5000</v>
      </c>
      <c r="K1040" t="s">
        <v>974</v>
      </c>
      <c r="L1040" s="4" t="str">
        <f>VLOOKUP(K1040, 'Items Master'!A:E,5,0)</f>
        <v>GAIL</v>
      </c>
      <c r="M1040" s="4" t="str">
        <f>VLOOKUP(K1040, 'Items Master'!A:D,4,0)</f>
        <v>LLDPE</v>
      </c>
      <c r="N1040" t="s">
        <v>49</v>
      </c>
      <c r="Q1040" s="6">
        <f t="shared" si="49"/>
        <v>45941</v>
      </c>
      <c r="R1040" s="6" t="str">
        <f t="shared" si="48"/>
        <v>Oct-25</v>
      </c>
      <c r="AN1040" s="9">
        <f t="shared" si="50"/>
        <v>0</v>
      </c>
      <c r="AP1040" s="9">
        <f>I1040-W1040-X1040-AN1040</f>
        <v>97.19</v>
      </c>
    </row>
    <row r="1041" spans="1:43" x14ac:dyDescent="0.3">
      <c r="A1041" s="11">
        <f t="shared" si="52"/>
        <v>1039</v>
      </c>
      <c r="B1041" s="5" t="s">
        <v>1675</v>
      </c>
      <c r="C1041" t="s">
        <v>893</v>
      </c>
      <c r="D1041" t="s">
        <v>48</v>
      </c>
      <c r="E1041" s="24" t="str">
        <f>IFERROR(VLOOKUP(D1041,Dropdown!A:B,2,0),D1041)</f>
        <v>CVPL</v>
      </c>
      <c r="F1041" s="6">
        <v>45941</v>
      </c>
      <c r="G1041" s="6" t="str">
        <f>TEXT(F1041, "MMM-YY")</f>
        <v>Oct-25</v>
      </c>
      <c r="H1041" t="s">
        <v>1454</v>
      </c>
      <c r="I1041" s="25">
        <v>97.19</v>
      </c>
      <c r="J1041" s="4">
        <v>2000</v>
      </c>
      <c r="K1041" t="s">
        <v>974</v>
      </c>
      <c r="L1041" s="4" t="str">
        <f>VLOOKUP(K1041, 'Items Master'!A:E,5,0)</f>
        <v>GAIL</v>
      </c>
      <c r="M1041" s="4" t="str">
        <f>VLOOKUP(K1041, 'Items Master'!A:D,4,0)</f>
        <v>LLDPE</v>
      </c>
      <c r="N1041" t="s">
        <v>49</v>
      </c>
      <c r="Q1041" s="6">
        <f t="shared" si="49"/>
        <v>45941</v>
      </c>
      <c r="R1041" s="6" t="str">
        <f t="shared" si="48"/>
        <v>Oct-25</v>
      </c>
      <c r="AN1041" s="9">
        <f t="shared" si="50"/>
        <v>0</v>
      </c>
      <c r="AP1041" s="9">
        <f>I1041-W1041-X1041-AN1041</f>
        <v>97.19</v>
      </c>
    </row>
    <row r="1042" spans="1:43" x14ac:dyDescent="0.3">
      <c r="A1042" s="11">
        <f t="shared" si="52"/>
        <v>1040</v>
      </c>
      <c r="B1042" s="5" t="s">
        <v>1675</v>
      </c>
      <c r="C1042" t="s">
        <v>893</v>
      </c>
      <c r="D1042" t="s">
        <v>48</v>
      </c>
      <c r="E1042" s="24" t="str">
        <f>IFERROR(VLOOKUP(D1042,Dropdown!A:B,2,0),D1042)</f>
        <v>CVPL</v>
      </c>
      <c r="F1042" s="6">
        <v>45941</v>
      </c>
      <c r="G1042" s="6" t="str">
        <f>TEXT(F1042, "MMM-YY")</f>
        <v>Oct-25</v>
      </c>
      <c r="H1042" t="s">
        <v>1454</v>
      </c>
      <c r="I1042" s="25">
        <v>96.49</v>
      </c>
      <c r="J1042" s="4">
        <v>5000</v>
      </c>
      <c r="K1042" t="s">
        <v>903</v>
      </c>
      <c r="L1042" s="4" t="str">
        <f>VLOOKUP(K1042, 'Items Master'!A:E,5,0)</f>
        <v>GAIL</v>
      </c>
      <c r="M1042" s="4" t="str">
        <f>VLOOKUP(K1042, 'Items Master'!A:D,4,0)</f>
        <v>LLDPE</v>
      </c>
      <c r="N1042" t="s">
        <v>49</v>
      </c>
      <c r="Q1042" s="6">
        <f t="shared" si="49"/>
        <v>45941</v>
      </c>
      <c r="R1042" s="6" t="str">
        <f t="shared" si="48"/>
        <v>Oct-25</v>
      </c>
      <c r="AN1042" s="9">
        <f t="shared" si="50"/>
        <v>0</v>
      </c>
      <c r="AP1042" s="9">
        <f>I1042-W1042-X1042-AN1042</f>
        <v>96.49</v>
      </c>
    </row>
    <row r="1043" spans="1:43" x14ac:dyDescent="0.3">
      <c r="A1043" s="11">
        <f t="shared" si="52"/>
        <v>1041</v>
      </c>
      <c r="B1043" s="5" t="s">
        <v>1675</v>
      </c>
      <c r="C1043" t="s">
        <v>893</v>
      </c>
      <c r="D1043" t="s">
        <v>48</v>
      </c>
      <c r="E1043" s="24" t="str">
        <f>IFERROR(VLOOKUP(D1043,Dropdown!A:B,2,0),D1043)</f>
        <v>CVPL</v>
      </c>
      <c r="F1043" s="6">
        <v>45943</v>
      </c>
      <c r="G1043" s="6" t="str">
        <f>TEXT(F1043, "MMM-YY")</f>
        <v>Oct-25</v>
      </c>
      <c r="H1043" t="s">
        <v>1455</v>
      </c>
      <c r="I1043" s="25">
        <v>87.5</v>
      </c>
      <c r="J1043" s="4">
        <v>1500</v>
      </c>
      <c r="K1043" t="s">
        <v>950</v>
      </c>
      <c r="L1043" s="4" t="str">
        <f>VLOOKUP(K1043, 'Items Master'!A:E,5,0)</f>
        <v>RIL</v>
      </c>
      <c r="M1043" s="4" t="str">
        <f>VLOOKUP(K1043, 'Items Master'!A:D,4,0)</f>
        <v>PP</v>
      </c>
      <c r="N1043" t="s">
        <v>24</v>
      </c>
      <c r="Q1043" s="6">
        <f t="shared" si="49"/>
        <v>45943</v>
      </c>
      <c r="R1043" s="6" t="str">
        <f t="shared" si="48"/>
        <v>Oct-25</v>
      </c>
      <c r="W1043" s="25">
        <f>I1043</f>
        <v>87.5</v>
      </c>
      <c r="AN1043" s="9">
        <f t="shared" si="50"/>
        <v>0</v>
      </c>
      <c r="AP1043" s="9">
        <f>I1043-W1043-X1043-AN1043</f>
        <v>0</v>
      </c>
      <c r="AQ1043" t="s">
        <v>1316</v>
      </c>
    </row>
    <row r="1044" spans="1:43" x14ac:dyDescent="0.3">
      <c r="A1044" s="11">
        <f t="shared" si="52"/>
        <v>1042</v>
      </c>
      <c r="B1044" s="5" t="s">
        <v>1675</v>
      </c>
      <c r="C1044" t="s">
        <v>893</v>
      </c>
      <c r="D1044" t="s">
        <v>48</v>
      </c>
      <c r="E1044" s="24" t="str">
        <f>IFERROR(VLOOKUP(D1044,Dropdown!A:B,2,0),D1044)</f>
        <v>CVPL</v>
      </c>
      <c r="F1044" s="6">
        <v>45943</v>
      </c>
      <c r="G1044" s="6" t="str">
        <f>TEXT(F1044, "MMM-YY")</f>
        <v>Oct-25</v>
      </c>
      <c r="H1044" t="s">
        <v>1456</v>
      </c>
      <c r="I1044" s="25">
        <v>100.97</v>
      </c>
      <c r="J1044" s="4">
        <v>2000</v>
      </c>
      <c r="K1044" t="s">
        <v>990</v>
      </c>
      <c r="L1044" s="4" t="str">
        <f>VLOOKUP(K1044, 'Items Master'!A:E,5,0)</f>
        <v>GAIL</v>
      </c>
      <c r="M1044" s="4" t="str">
        <f>VLOOKUP(K1044, 'Items Master'!A:D,4,0)</f>
        <v>HDPE</v>
      </c>
      <c r="N1044" t="s">
        <v>49</v>
      </c>
      <c r="Q1044" s="6">
        <f t="shared" si="49"/>
        <v>45943</v>
      </c>
      <c r="R1044" s="6" t="str">
        <f t="shared" si="48"/>
        <v>Oct-25</v>
      </c>
      <c r="AN1044" s="9">
        <f t="shared" si="50"/>
        <v>0</v>
      </c>
      <c r="AP1044" s="9">
        <f>I1044-W1044-X1044-AN1044</f>
        <v>100.97</v>
      </c>
    </row>
    <row r="1045" spans="1:43" x14ac:dyDescent="0.3">
      <c r="A1045" s="11">
        <f t="shared" si="52"/>
        <v>1043</v>
      </c>
      <c r="B1045" s="5" t="s">
        <v>1675</v>
      </c>
      <c r="C1045" t="s">
        <v>893</v>
      </c>
      <c r="D1045" t="s">
        <v>48</v>
      </c>
      <c r="E1045" s="24" t="str">
        <f>IFERROR(VLOOKUP(D1045,Dropdown!A:B,2,0),D1045)</f>
        <v>CVPL</v>
      </c>
      <c r="F1045" s="6">
        <v>45943</v>
      </c>
      <c r="G1045" s="6" t="str">
        <f>TEXT(F1045, "MMM-YY")</f>
        <v>Oct-25</v>
      </c>
      <c r="H1045" t="s">
        <v>1456</v>
      </c>
      <c r="I1045" s="25">
        <v>90.8</v>
      </c>
      <c r="J1045" s="4">
        <v>1000</v>
      </c>
      <c r="K1045" t="s">
        <v>899</v>
      </c>
      <c r="L1045" s="4" t="str">
        <f>VLOOKUP(K1045, 'Items Master'!A:E,5,0)</f>
        <v>MRPL</v>
      </c>
      <c r="M1045" s="4" t="str">
        <f>VLOOKUP(K1045, 'Items Master'!A:D,4,0)</f>
        <v>PP</v>
      </c>
      <c r="N1045" t="s">
        <v>49</v>
      </c>
      <c r="Q1045" s="6">
        <f t="shared" si="49"/>
        <v>45943</v>
      </c>
      <c r="R1045" s="6" t="str">
        <f t="shared" si="48"/>
        <v>Oct-25</v>
      </c>
      <c r="AN1045" s="9">
        <f t="shared" si="50"/>
        <v>0</v>
      </c>
      <c r="AP1045" s="9">
        <f>I1045-W1045-X1045-AN1045</f>
        <v>90.8</v>
      </c>
    </row>
    <row r="1046" spans="1:43" x14ac:dyDescent="0.3">
      <c r="A1046" s="11">
        <f t="shared" si="52"/>
        <v>1044</v>
      </c>
      <c r="B1046" s="5" t="s">
        <v>1675</v>
      </c>
      <c r="C1046" t="s">
        <v>893</v>
      </c>
      <c r="D1046" t="s">
        <v>48</v>
      </c>
      <c r="E1046" s="24" t="str">
        <f>IFERROR(VLOOKUP(D1046,Dropdown!A:B,2,0),D1046)</f>
        <v>CVPL</v>
      </c>
      <c r="F1046" s="6">
        <v>45943</v>
      </c>
      <c r="G1046" s="6" t="str">
        <f>TEXT(F1046, "MMM-YY")</f>
        <v>Oct-25</v>
      </c>
      <c r="H1046" t="s">
        <v>1457</v>
      </c>
      <c r="I1046" s="25">
        <v>97.5</v>
      </c>
      <c r="J1046" s="4">
        <v>2500</v>
      </c>
      <c r="K1046" t="s">
        <v>904</v>
      </c>
      <c r="L1046" s="4" t="str">
        <f>VLOOKUP(K1046, 'Items Master'!A:E,5,0)</f>
        <v>BOROUGE</v>
      </c>
      <c r="M1046" s="4" t="str">
        <f>VLOOKUP(K1046, 'Items Master'!A:D,4,0)</f>
        <v>PP RCP</v>
      </c>
      <c r="N1046" t="s">
        <v>24</v>
      </c>
      <c r="Q1046" s="6">
        <f t="shared" si="49"/>
        <v>45943</v>
      </c>
      <c r="R1046" s="6" t="str">
        <f t="shared" si="48"/>
        <v>Oct-25</v>
      </c>
      <c r="W1046" s="25">
        <f t="shared" ref="W1046:W1049" si="54">I1046</f>
        <v>97.5</v>
      </c>
      <c r="AN1046" s="9">
        <f t="shared" si="50"/>
        <v>0</v>
      </c>
      <c r="AP1046" s="9">
        <f>I1046-W1046-X1046-AN1046</f>
        <v>0</v>
      </c>
      <c r="AQ1046" t="s">
        <v>1316</v>
      </c>
    </row>
    <row r="1047" spans="1:43" x14ac:dyDescent="0.3">
      <c r="A1047" s="11">
        <f t="shared" si="52"/>
        <v>1045</v>
      </c>
      <c r="B1047" s="5" t="s">
        <v>1675</v>
      </c>
      <c r="C1047" t="s">
        <v>893</v>
      </c>
      <c r="D1047" t="s">
        <v>854</v>
      </c>
      <c r="E1047" s="24" t="str">
        <f>IFERROR(VLOOKUP(D1047,Dropdown!A:B,2,0),D1047)</f>
        <v>GOTAWAT INDUSTRIES</v>
      </c>
      <c r="F1047" s="6">
        <v>45943</v>
      </c>
      <c r="G1047" s="6" t="str">
        <f>TEXT(F1047, "MMM-YY")</f>
        <v>Oct-25</v>
      </c>
      <c r="H1047" t="s">
        <v>1458</v>
      </c>
      <c r="I1047" s="25">
        <v>90</v>
      </c>
      <c r="J1047" s="4">
        <v>10000</v>
      </c>
      <c r="K1047" t="s">
        <v>910</v>
      </c>
      <c r="L1047" s="4" t="str">
        <f>VLOOKUP(K1047, 'Items Master'!A:E,5,0)</f>
        <v>RIL</v>
      </c>
      <c r="M1047" s="4" t="str">
        <f>VLOOKUP(K1047, 'Items Master'!A:D,4,0)</f>
        <v>PP</v>
      </c>
      <c r="N1047" t="s">
        <v>24</v>
      </c>
      <c r="Q1047" s="6">
        <f t="shared" si="49"/>
        <v>45943</v>
      </c>
      <c r="R1047" s="6" t="str">
        <f t="shared" si="48"/>
        <v>Oct-25</v>
      </c>
      <c r="W1047" s="25">
        <f t="shared" si="54"/>
        <v>90</v>
      </c>
      <c r="AN1047" s="9">
        <f t="shared" si="50"/>
        <v>0</v>
      </c>
      <c r="AP1047" s="9">
        <f>I1047-W1047-X1047-AN1047</f>
        <v>0</v>
      </c>
      <c r="AQ1047" t="s">
        <v>1316</v>
      </c>
    </row>
    <row r="1048" spans="1:43" x14ac:dyDescent="0.3">
      <c r="A1048" s="11">
        <f t="shared" si="52"/>
        <v>1046</v>
      </c>
      <c r="B1048" s="5" t="s">
        <v>1675</v>
      </c>
      <c r="C1048" t="s">
        <v>893</v>
      </c>
      <c r="D1048" t="s">
        <v>844</v>
      </c>
      <c r="E1048" s="24" t="str">
        <f>IFERROR(VLOOKUP(D1048,Dropdown!A:B,2,0),D1048)</f>
        <v>APEX TECHNO POLYMER PRIVATE LIMITED</v>
      </c>
      <c r="F1048" s="6">
        <v>45943</v>
      </c>
      <c r="G1048" s="6" t="str">
        <f>TEXT(F1048, "MMM-YY")</f>
        <v>Oct-25</v>
      </c>
      <c r="H1048" t="s">
        <v>1574</v>
      </c>
      <c r="I1048" s="25">
        <v>166</v>
      </c>
      <c r="J1048" s="4">
        <v>500</v>
      </c>
      <c r="K1048" t="s">
        <v>1598</v>
      </c>
      <c r="L1048" s="4" t="str">
        <f>VLOOKUP(K1048, 'Items Master'!A:E,5,0)</f>
        <v>RAVAGO</v>
      </c>
      <c r="M1048" s="4" t="str">
        <f>VLOOKUP(K1048, 'Items Master'!A:D,4,0)</f>
        <v>Nylon</v>
      </c>
      <c r="N1048" t="s">
        <v>24</v>
      </c>
      <c r="Q1048" s="6">
        <f t="shared" si="49"/>
        <v>45943</v>
      </c>
      <c r="R1048" s="6" t="str">
        <f t="shared" si="48"/>
        <v>Oct-25</v>
      </c>
      <c r="W1048" s="25">
        <f t="shared" si="54"/>
        <v>166</v>
      </c>
      <c r="AN1048" s="9">
        <f t="shared" si="50"/>
        <v>0</v>
      </c>
      <c r="AP1048" s="9">
        <f>I1048-W1048-X1048-AN1048</f>
        <v>0</v>
      </c>
      <c r="AQ1048" t="s">
        <v>1316</v>
      </c>
    </row>
    <row r="1049" spans="1:43" x14ac:dyDescent="0.3">
      <c r="A1049" s="11">
        <f t="shared" si="52"/>
        <v>1047</v>
      </c>
      <c r="B1049" s="5" t="s">
        <v>1675</v>
      </c>
      <c r="C1049" t="s">
        <v>894</v>
      </c>
      <c r="D1049" t="s">
        <v>837</v>
      </c>
      <c r="E1049" s="24" t="str">
        <f>IFERROR(VLOOKUP(D1049,Dropdown!A:B,2,0),D1049)</f>
        <v>SYNTHETIC PACKERS LIMITED</v>
      </c>
      <c r="F1049" s="6">
        <v>45944</v>
      </c>
      <c r="G1049" s="6" t="str">
        <f>TEXT(F1049, "MMM-YY")</f>
        <v>Oct-25</v>
      </c>
      <c r="H1049" t="s">
        <v>1459</v>
      </c>
      <c r="I1049" s="25">
        <v>90</v>
      </c>
      <c r="J1049" s="4">
        <v>24750</v>
      </c>
      <c r="K1049" t="s">
        <v>909</v>
      </c>
      <c r="L1049" s="4" t="str">
        <f>VLOOKUP(K1049, 'Items Master'!A:E,5,0)</f>
        <v>LUBAN</v>
      </c>
      <c r="M1049" s="4" t="str">
        <f>VLOOKUP(K1049, 'Items Master'!A:D,4,0)</f>
        <v>HDPE</v>
      </c>
      <c r="N1049" t="s">
        <v>24</v>
      </c>
      <c r="Q1049" s="6">
        <f t="shared" si="49"/>
        <v>45944</v>
      </c>
      <c r="R1049" s="6" t="str">
        <f t="shared" si="48"/>
        <v>Oct-25</v>
      </c>
      <c r="W1049" s="25">
        <f t="shared" si="54"/>
        <v>90</v>
      </c>
      <c r="AN1049" s="9">
        <f t="shared" si="50"/>
        <v>0</v>
      </c>
      <c r="AP1049" s="9">
        <f>I1049-W1049-X1049-AN1049</f>
        <v>0</v>
      </c>
      <c r="AQ1049" t="s">
        <v>1316</v>
      </c>
    </row>
    <row r="1050" spans="1:43" x14ac:dyDescent="0.3">
      <c r="A1050" s="11">
        <f t="shared" si="52"/>
        <v>1048</v>
      </c>
      <c r="B1050" s="5" t="s">
        <v>1675</v>
      </c>
      <c r="C1050" t="s">
        <v>894</v>
      </c>
      <c r="D1050" t="s">
        <v>834</v>
      </c>
      <c r="E1050" s="24" t="str">
        <f>IFERROR(VLOOKUP(D1050,Dropdown!A:B,2,0),D1050)</f>
        <v>D R POLYMERS PRIVATE LIMITED</v>
      </c>
      <c r="F1050" s="6">
        <v>45944</v>
      </c>
      <c r="G1050" s="6" t="str">
        <f>TEXT(F1050, "MMM-YY")</f>
        <v>Oct-25</v>
      </c>
      <c r="H1050" t="s">
        <v>1460</v>
      </c>
      <c r="I1050" s="25">
        <v>65</v>
      </c>
      <c r="J1050" s="4">
        <v>17000</v>
      </c>
      <c r="K1050" t="s">
        <v>1020</v>
      </c>
      <c r="L1050" s="4" t="str">
        <f>VLOOKUP(K1050, 'Items Master'!A:E,5,0)</f>
        <v>XINFA</v>
      </c>
      <c r="M1050" s="4" t="str">
        <f>VLOOKUP(K1050, 'Items Master'!A:D,4,0)</f>
        <v>PVC</v>
      </c>
      <c r="N1050" t="s">
        <v>24</v>
      </c>
      <c r="Q1050" s="6">
        <f t="shared" si="49"/>
        <v>45944</v>
      </c>
      <c r="R1050" s="6" t="str">
        <f t="shared" si="48"/>
        <v>Oct-25</v>
      </c>
      <c r="W1050" s="25">
        <v>65</v>
      </c>
      <c r="AN1050" s="9">
        <f t="shared" si="50"/>
        <v>0</v>
      </c>
      <c r="AP1050" s="9">
        <f>I1050-W1050-X1050-AN1050</f>
        <v>0</v>
      </c>
      <c r="AQ1050" t="s">
        <v>1316</v>
      </c>
    </row>
    <row r="1051" spans="1:43" x14ac:dyDescent="0.3">
      <c r="A1051" s="11">
        <f t="shared" si="52"/>
        <v>1049</v>
      </c>
      <c r="B1051" s="5" t="s">
        <v>1675</v>
      </c>
      <c r="C1051" t="s">
        <v>893</v>
      </c>
      <c r="D1051" t="s">
        <v>844</v>
      </c>
      <c r="E1051" s="24" t="str">
        <f>IFERROR(VLOOKUP(D1051,Dropdown!A:B,2,0),D1051)</f>
        <v>APEX TECHNO POLYMER PRIVATE LIMITED</v>
      </c>
      <c r="F1051" s="6">
        <v>45944</v>
      </c>
      <c r="G1051" s="6" t="str">
        <f>TEXT(F1051, "MMM-YY")</f>
        <v>Oct-25</v>
      </c>
      <c r="H1051" t="s">
        <v>1461</v>
      </c>
      <c r="I1051" s="25">
        <v>222</v>
      </c>
      <c r="J1051" s="4">
        <v>3000</v>
      </c>
      <c r="K1051" t="s">
        <v>1543</v>
      </c>
      <c r="L1051" s="4" t="str">
        <f>VLOOKUP(K1051, 'Items Master'!A:E,5,0)</f>
        <v>TORAY</v>
      </c>
      <c r="M1051" s="4" t="str">
        <f>VLOOKUP(K1051, 'Items Master'!A:D,4,0)</f>
        <v>ABS</v>
      </c>
      <c r="N1051" t="s">
        <v>24</v>
      </c>
      <c r="Q1051" s="6">
        <f t="shared" si="49"/>
        <v>45944</v>
      </c>
      <c r="R1051" s="6" t="str">
        <f t="shared" si="48"/>
        <v>Oct-25</v>
      </c>
      <c r="W1051" s="25">
        <f>I1051</f>
        <v>222</v>
      </c>
      <c r="AN1051" s="9">
        <f t="shared" si="50"/>
        <v>0</v>
      </c>
      <c r="AP1051" s="9">
        <f>I1051-W1051-X1051-AN1051</f>
        <v>0</v>
      </c>
      <c r="AQ1051" t="s">
        <v>1316</v>
      </c>
    </row>
    <row r="1052" spans="1:43" x14ac:dyDescent="0.3">
      <c r="A1052" s="11">
        <f t="shared" si="52"/>
        <v>1050</v>
      </c>
      <c r="B1052" s="5" t="s">
        <v>1675</v>
      </c>
      <c r="C1052" t="s">
        <v>893</v>
      </c>
      <c r="D1052" t="s">
        <v>864</v>
      </c>
      <c r="E1052" s="24" t="str">
        <f>IFERROR(VLOOKUP(D1052,Dropdown!A:B,2,0),D1052)</f>
        <v>SVP</v>
      </c>
      <c r="F1052" s="6">
        <v>45944</v>
      </c>
      <c r="G1052" s="6" t="str">
        <f>TEXT(F1052, "MMM-YY")</f>
        <v>Oct-25</v>
      </c>
      <c r="H1052" t="s">
        <v>1462</v>
      </c>
      <c r="I1052" s="25">
        <v>89.74</v>
      </c>
      <c r="J1052" s="4">
        <v>3000</v>
      </c>
      <c r="K1052" t="s">
        <v>1012</v>
      </c>
      <c r="L1052" s="4" t="str">
        <f>VLOOKUP(K1052, 'Items Master'!A:E,5,0)</f>
        <v>HMEL</v>
      </c>
      <c r="M1052" s="4" t="str">
        <f>VLOOKUP(K1052, 'Items Master'!A:D,4,0)</f>
        <v>LLDPE</v>
      </c>
      <c r="N1052" t="s">
        <v>49</v>
      </c>
      <c r="Q1052" s="6">
        <f t="shared" si="49"/>
        <v>45944</v>
      </c>
      <c r="R1052" s="6" t="str">
        <f t="shared" si="48"/>
        <v>Oct-25</v>
      </c>
      <c r="X1052" s="25">
        <v>95.34</v>
      </c>
      <c r="Y1052" s="25" t="s">
        <v>1303</v>
      </c>
      <c r="Z1052" s="25" t="s">
        <v>1307</v>
      </c>
      <c r="AB1052" s="8">
        <v>-1.1000000000000001</v>
      </c>
      <c r="AC1052" s="8">
        <v>-1</v>
      </c>
      <c r="AD1052" s="8">
        <v>-2.5</v>
      </c>
      <c r="AE1052" s="8">
        <v>-1</v>
      </c>
      <c r="AN1052" s="9">
        <f t="shared" si="50"/>
        <v>-5.6</v>
      </c>
      <c r="AP1052" s="9">
        <f>I1052-W1052-X1052-AN1052</f>
        <v>-8.8817841970012523E-15</v>
      </c>
      <c r="AQ1052" t="s">
        <v>1316</v>
      </c>
    </row>
    <row r="1053" spans="1:43" x14ac:dyDescent="0.3">
      <c r="A1053" s="11">
        <f t="shared" si="52"/>
        <v>1051</v>
      </c>
      <c r="B1053" s="5" t="s">
        <v>1675</v>
      </c>
      <c r="C1053" t="s">
        <v>893</v>
      </c>
      <c r="D1053" t="s">
        <v>48</v>
      </c>
      <c r="E1053" s="24" t="str">
        <f>IFERROR(VLOOKUP(D1053,Dropdown!A:B,2,0),D1053)</f>
        <v>CVPL</v>
      </c>
      <c r="F1053" s="6">
        <v>45944</v>
      </c>
      <c r="G1053" s="6" t="str">
        <f>TEXT(F1053, "MMM-YY")</f>
        <v>Oct-25</v>
      </c>
      <c r="H1053" t="s">
        <v>1575</v>
      </c>
      <c r="I1053" s="25">
        <v>92.45</v>
      </c>
      <c r="J1053" s="4">
        <v>10000</v>
      </c>
      <c r="K1053" t="s">
        <v>901</v>
      </c>
      <c r="L1053" s="4" t="str">
        <f>VLOOKUP(K1053, 'Items Master'!A:E,5,0)</f>
        <v>MRPL</v>
      </c>
      <c r="M1053" s="4" t="str">
        <f>VLOOKUP(K1053, 'Items Master'!A:D,4,0)</f>
        <v>PP</v>
      </c>
      <c r="N1053" t="s">
        <v>49</v>
      </c>
      <c r="Q1053" s="6">
        <f t="shared" si="49"/>
        <v>45944</v>
      </c>
      <c r="R1053" s="6" t="str">
        <f t="shared" si="48"/>
        <v>Oct-25</v>
      </c>
      <c r="AN1053" s="9">
        <f t="shared" si="50"/>
        <v>0</v>
      </c>
      <c r="AP1053" s="9">
        <f>I1053-W1053-X1053-AN1053</f>
        <v>92.45</v>
      </c>
    </row>
    <row r="1054" spans="1:43" x14ac:dyDescent="0.3">
      <c r="A1054" s="11">
        <f t="shared" si="52"/>
        <v>1052</v>
      </c>
      <c r="B1054" s="5" t="s">
        <v>1675</v>
      </c>
      <c r="C1054" t="s">
        <v>893</v>
      </c>
      <c r="D1054" t="s">
        <v>864</v>
      </c>
      <c r="E1054" s="24" t="str">
        <f>IFERROR(VLOOKUP(D1054,Dropdown!A:B,2,0),D1054)</f>
        <v>SVP</v>
      </c>
      <c r="F1054" s="6">
        <v>45944</v>
      </c>
      <c r="G1054" s="6" t="str">
        <f>TEXT(F1054, "MMM-YY")</f>
        <v>Oct-25</v>
      </c>
      <c r="H1054" t="s">
        <v>1462</v>
      </c>
      <c r="I1054" s="25">
        <v>89.74</v>
      </c>
      <c r="J1054" s="4">
        <v>7000</v>
      </c>
      <c r="K1054" t="s">
        <v>1012</v>
      </c>
      <c r="L1054" s="4" t="str">
        <f>VLOOKUP(K1054, 'Items Master'!A:E,5,0)</f>
        <v>HMEL</v>
      </c>
      <c r="M1054" s="4" t="str">
        <f>VLOOKUP(K1054, 'Items Master'!A:D,4,0)</f>
        <v>LLDPE</v>
      </c>
      <c r="N1054" t="s">
        <v>49</v>
      </c>
      <c r="Q1054" s="6">
        <f t="shared" si="49"/>
        <v>45944</v>
      </c>
      <c r="R1054" s="6" t="str">
        <f t="shared" si="48"/>
        <v>Oct-25</v>
      </c>
      <c r="X1054" s="25">
        <v>95.34</v>
      </c>
      <c r="Y1054" s="25" t="s">
        <v>1303</v>
      </c>
      <c r="Z1054" s="25" t="s">
        <v>1307</v>
      </c>
      <c r="AB1054" s="8">
        <v>-1.1000000000000001</v>
      </c>
      <c r="AC1054" s="8">
        <v>-1</v>
      </c>
      <c r="AD1054" s="8">
        <v>-2.5</v>
      </c>
      <c r="AE1054" s="8">
        <v>-1</v>
      </c>
      <c r="AN1054" s="9">
        <f t="shared" si="50"/>
        <v>-5.6</v>
      </c>
      <c r="AP1054" s="9">
        <f>I1054-W1054-X1054-AN1054</f>
        <v>-8.8817841970012523E-15</v>
      </c>
      <c r="AQ1054" t="s">
        <v>1316</v>
      </c>
    </row>
    <row r="1055" spans="1:43" x14ac:dyDescent="0.3">
      <c r="A1055" s="11">
        <f t="shared" si="52"/>
        <v>1053</v>
      </c>
      <c r="B1055" s="5" t="s">
        <v>1675</v>
      </c>
      <c r="C1055" t="s">
        <v>893</v>
      </c>
      <c r="D1055" t="s">
        <v>48</v>
      </c>
      <c r="E1055" s="24" t="str">
        <f>IFERROR(VLOOKUP(D1055,Dropdown!A:B,2,0),D1055)</f>
        <v>CVPL</v>
      </c>
      <c r="F1055" s="6">
        <v>45944</v>
      </c>
      <c r="G1055" s="6" t="str">
        <f>TEXT(F1055, "MMM-YY")</f>
        <v>Oct-25</v>
      </c>
      <c r="H1055" t="s">
        <v>1576</v>
      </c>
      <c r="I1055" s="25">
        <v>90.8</v>
      </c>
      <c r="J1055" s="4">
        <v>10000</v>
      </c>
      <c r="K1055" t="s">
        <v>899</v>
      </c>
      <c r="L1055" s="4" t="str">
        <f>VLOOKUP(K1055, 'Items Master'!A:E,5,0)</f>
        <v>MRPL</v>
      </c>
      <c r="M1055" s="4" t="str">
        <f>VLOOKUP(K1055, 'Items Master'!A:D,4,0)</f>
        <v>PP</v>
      </c>
      <c r="N1055" t="s">
        <v>49</v>
      </c>
      <c r="Q1055" s="6">
        <f t="shared" si="49"/>
        <v>45944</v>
      </c>
      <c r="R1055" s="6" t="str">
        <f t="shared" si="48"/>
        <v>Oct-25</v>
      </c>
      <c r="AN1055" s="9">
        <f t="shared" si="50"/>
        <v>0</v>
      </c>
      <c r="AP1055" s="9">
        <f>I1055-W1055-X1055-AN1055</f>
        <v>90.8</v>
      </c>
    </row>
    <row r="1056" spans="1:43" x14ac:dyDescent="0.3">
      <c r="A1056" s="11">
        <f t="shared" si="52"/>
        <v>1054</v>
      </c>
      <c r="B1056" s="5" t="s">
        <v>1675</v>
      </c>
      <c r="C1056" t="s">
        <v>893</v>
      </c>
      <c r="D1056" t="s">
        <v>48</v>
      </c>
      <c r="E1056" s="24" t="str">
        <f>IFERROR(VLOOKUP(D1056,Dropdown!A:B,2,0),D1056)</f>
        <v>CVPL</v>
      </c>
      <c r="F1056" s="6">
        <v>45945</v>
      </c>
      <c r="G1056" s="6" t="str">
        <f>TEXT(F1056, "MMM-YY")</f>
        <v>Oct-25</v>
      </c>
      <c r="H1056" t="s">
        <v>1463</v>
      </c>
      <c r="I1056" s="25">
        <v>96.49</v>
      </c>
      <c r="J1056" s="4">
        <v>10000</v>
      </c>
      <c r="K1056" t="s">
        <v>903</v>
      </c>
      <c r="L1056" s="4" t="str">
        <f>VLOOKUP(K1056, 'Items Master'!A:E,5,0)</f>
        <v>GAIL</v>
      </c>
      <c r="M1056" s="4" t="str">
        <f>VLOOKUP(K1056, 'Items Master'!A:D,4,0)</f>
        <v>LLDPE</v>
      </c>
      <c r="N1056" t="s">
        <v>49</v>
      </c>
      <c r="Q1056" s="6">
        <f t="shared" si="49"/>
        <v>45945</v>
      </c>
      <c r="R1056" s="6" t="str">
        <f t="shared" si="48"/>
        <v>Oct-25</v>
      </c>
      <c r="AN1056" s="9">
        <f t="shared" si="50"/>
        <v>0</v>
      </c>
      <c r="AP1056" s="9">
        <f>I1056-W1056-X1056-AN1056</f>
        <v>96.49</v>
      </c>
    </row>
    <row r="1057" spans="1:43" x14ac:dyDescent="0.3">
      <c r="A1057" s="11">
        <f t="shared" si="52"/>
        <v>1055</v>
      </c>
      <c r="B1057" s="5" t="s">
        <v>1675</v>
      </c>
      <c r="C1057" t="s">
        <v>893</v>
      </c>
      <c r="D1057" t="s">
        <v>48</v>
      </c>
      <c r="E1057" s="24" t="str">
        <f>IFERROR(VLOOKUP(D1057,Dropdown!A:B,2,0),D1057)</f>
        <v>CVPL</v>
      </c>
      <c r="F1057" s="6">
        <v>45945</v>
      </c>
      <c r="G1057" s="6" t="str">
        <f>TEXT(F1057, "MMM-YY")</f>
        <v>Oct-25</v>
      </c>
      <c r="H1057" t="s">
        <v>1463</v>
      </c>
      <c r="I1057" s="25">
        <v>96.49</v>
      </c>
      <c r="J1057" s="4">
        <v>4000</v>
      </c>
      <c r="K1057" t="s">
        <v>903</v>
      </c>
      <c r="L1057" s="4" t="str">
        <f>VLOOKUP(K1057, 'Items Master'!A:E,5,0)</f>
        <v>GAIL</v>
      </c>
      <c r="M1057" s="4" t="str">
        <f>VLOOKUP(K1057, 'Items Master'!A:D,4,0)</f>
        <v>LLDPE</v>
      </c>
      <c r="N1057" t="s">
        <v>49</v>
      </c>
      <c r="Q1057" s="6">
        <f t="shared" si="49"/>
        <v>45945</v>
      </c>
      <c r="R1057" s="6" t="str">
        <f t="shared" si="48"/>
        <v>Oct-25</v>
      </c>
      <c r="AN1057" s="9">
        <f t="shared" si="50"/>
        <v>0</v>
      </c>
      <c r="AP1057" s="9">
        <f>I1057-W1057-X1057-AN1057</f>
        <v>96.49</v>
      </c>
    </row>
    <row r="1058" spans="1:43" x14ac:dyDescent="0.3">
      <c r="A1058" s="11">
        <f t="shared" si="52"/>
        <v>1056</v>
      </c>
      <c r="B1058" s="5" t="s">
        <v>1675</v>
      </c>
      <c r="C1058" t="s">
        <v>893</v>
      </c>
      <c r="D1058" t="s">
        <v>48</v>
      </c>
      <c r="E1058" s="24" t="str">
        <f>IFERROR(VLOOKUP(D1058,Dropdown!A:B,2,0),D1058)</f>
        <v>CVPL</v>
      </c>
      <c r="F1058" s="6">
        <v>45945</v>
      </c>
      <c r="G1058" s="6" t="str">
        <f>TEXT(F1058, "MMM-YY")</f>
        <v>Oct-25</v>
      </c>
      <c r="H1058" t="s">
        <v>1464</v>
      </c>
      <c r="I1058" s="25">
        <v>96.49</v>
      </c>
      <c r="J1058" s="4">
        <v>10000</v>
      </c>
      <c r="K1058" t="s">
        <v>903</v>
      </c>
      <c r="L1058" s="4" t="str">
        <f>VLOOKUP(K1058, 'Items Master'!A:E,5,0)</f>
        <v>GAIL</v>
      </c>
      <c r="M1058" s="4" t="str">
        <f>VLOOKUP(K1058, 'Items Master'!A:D,4,0)</f>
        <v>LLDPE</v>
      </c>
      <c r="N1058" t="s">
        <v>49</v>
      </c>
      <c r="Q1058" s="6">
        <f t="shared" si="49"/>
        <v>45945</v>
      </c>
      <c r="R1058" s="6" t="str">
        <f t="shared" si="48"/>
        <v>Oct-25</v>
      </c>
      <c r="AN1058" s="9">
        <f t="shared" si="50"/>
        <v>0</v>
      </c>
      <c r="AP1058" s="9">
        <f>I1058-W1058-X1058-AN1058</f>
        <v>96.49</v>
      </c>
    </row>
    <row r="1059" spans="1:43" x14ac:dyDescent="0.3">
      <c r="A1059" s="11">
        <f t="shared" si="52"/>
        <v>1057</v>
      </c>
      <c r="B1059" s="5" t="s">
        <v>1675</v>
      </c>
      <c r="C1059" t="s">
        <v>893</v>
      </c>
      <c r="D1059" t="s">
        <v>48</v>
      </c>
      <c r="E1059" s="24" t="str">
        <f>IFERROR(VLOOKUP(D1059,Dropdown!A:B,2,0),D1059)</f>
        <v>CVPL</v>
      </c>
      <c r="F1059" s="6">
        <v>45946</v>
      </c>
      <c r="G1059" s="6" t="str">
        <f>TEXT(F1059, "MMM-YY")</f>
        <v>Oct-25</v>
      </c>
      <c r="H1059" t="s">
        <v>1465</v>
      </c>
      <c r="I1059" s="25">
        <v>96.49</v>
      </c>
      <c r="J1059" s="4">
        <v>2500</v>
      </c>
      <c r="K1059" t="s">
        <v>903</v>
      </c>
      <c r="L1059" s="4" t="str">
        <f>VLOOKUP(K1059, 'Items Master'!A:E,5,0)</f>
        <v>GAIL</v>
      </c>
      <c r="M1059" s="4" t="str">
        <f>VLOOKUP(K1059, 'Items Master'!A:D,4,0)</f>
        <v>LLDPE</v>
      </c>
      <c r="N1059" t="s">
        <v>49</v>
      </c>
      <c r="Q1059" s="6">
        <f t="shared" si="49"/>
        <v>45946</v>
      </c>
      <c r="R1059" s="6" t="str">
        <f t="shared" si="48"/>
        <v>Oct-25</v>
      </c>
      <c r="AN1059" s="9">
        <f t="shared" si="50"/>
        <v>0</v>
      </c>
      <c r="AP1059" s="9">
        <f>I1059-W1059-X1059-AN1059</f>
        <v>96.49</v>
      </c>
    </row>
    <row r="1060" spans="1:43" x14ac:dyDescent="0.3">
      <c r="A1060" s="11">
        <f t="shared" si="52"/>
        <v>1058</v>
      </c>
      <c r="B1060" s="5" t="s">
        <v>1675</v>
      </c>
      <c r="C1060" t="s">
        <v>893</v>
      </c>
      <c r="D1060" t="s">
        <v>48</v>
      </c>
      <c r="E1060" s="24" t="str">
        <f>IFERROR(VLOOKUP(D1060,Dropdown!A:B,2,0),D1060)</f>
        <v>CVPL</v>
      </c>
      <c r="F1060" s="6">
        <v>45946</v>
      </c>
      <c r="G1060" s="6" t="str">
        <f>TEXT(F1060, "MMM-YY")</f>
        <v>Oct-25</v>
      </c>
      <c r="H1060" t="s">
        <v>1466</v>
      </c>
      <c r="I1060" s="25">
        <v>97.5</v>
      </c>
      <c r="J1060" s="4">
        <v>2000</v>
      </c>
      <c r="K1060" t="s">
        <v>904</v>
      </c>
      <c r="L1060" s="4" t="str">
        <f>VLOOKUP(K1060, 'Items Master'!A:E,5,0)</f>
        <v>BOROUGE</v>
      </c>
      <c r="M1060" s="4" t="str">
        <f>VLOOKUP(K1060, 'Items Master'!A:D,4,0)</f>
        <v>PP RCP</v>
      </c>
      <c r="N1060" t="s">
        <v>24</v>
      </c>
      <c r="Q1060" s="6">
        <f t="shared" si="49"/>
        <v>45946</v>
      </c>
      <c r="R1060" s="6" t="str">
        <f t="shared" si="48"/>
        <v>Oct-25</v>
      </c>
      <c r="W1060" s="25">
        <f>I1060</f>
        <v>97.5</v>
      </c>
      <c r="AN1060" s="9">
        <f t="shared" si="50"/>
        <v>0</v>
      </c>
      <c r="AP1060" s="9">
        <f>I1060-W1060-X1060-AN1060</f>
        <v>0</v>
      </c>
      <c r="AQ1060" t="s">
        <v>1316</v>
      </c>
    </row>
    <row r="1061" spans="1:43" x14ac:dyDescent="0.3">
      <c r="A1061" s="11">
        <f t="shared" si="52"/>
        <v>1059</v>
      </c>
      <c r="B1061" s="5" t="s">
        <v>1675</v>
      </c>
      <c r="C1061" t="s">
        <v>893</v>
      </c>
      <c r="D1061" t="s">
        <v>48</v>
      </c>
      <c r="E1061" s="24" t="str">
        <f>IFERROR(VLOOKUP(D1061,Dropdown!A:B,2,0),D1061)</f>
        <v>CVPL</v>
      </c>
      <c r="F1061" s="6">
        <v>45946</v>
      </c>
      <c r="G1061" s="6" t="str">
        <f>TEXT(F1061, "MMM-YY")</f>
        <v>Oct-25</v>
      </c>
      <c r="H1061" t="s">
        <v>1577</v>
      </c>
      <c r="I1061" s="25">
        <v>97.5</v>
      </c>
      <c r="J1061" s="4">
        <v>2500</v>
      </c>
      <c r="K1061" t="s">
        <v>904</v>
      </c>
      <c r="L1061" s="4" t="str">
        <f>VLOOKUP(K1061, 'Items Master'!A:E,5,0)</f>
        <v>BOROUGE</v>
      </c>
      <c r="M1061" s="4" t="str">
        <f>VLOOKUP(K1061, 'Items Master'!A:D,4,0)</f>
        <v>PP RCP</v>
      </c>
      <c r="N1061" t="s">
        <v>24</v>
      </c>
      <c r="Q1061" s="6">
        <f t="shared" si="49"/>
        <v>45946</v>
      </c>
      <c r="R1061" s="6" t="str">
        <f t="shared" si="48"/>
        <v>Oct-25</v>
      </c>
      <c r="W1061" s="25">
        <v>97.5</v>
      </c>
      <c r="AN1061" s="9">
        <f t="shared" si="50"/>
        <v>0</v>
      </c>
      <c r="AP1061" s="9">
        <f>I1061-W1061-X1061-AN1061</f>
        <v>0</v>
      </c>
      <c r="AQ1061" t="s">
        <v>1316</v>
      </c>
    </row>
    <row r="1062" spans="1:43" x14ac:dyDescent="0.3">
      <c r="A1062" s="11">
        <f t="shared" si="52"/>
        <v>1060</v>
      </c>
      <c r="B1062" s="5" t="s">
        <v>1675</v>
      </c>
      <c r="C1062" t="s">
        <v>893</v>
      </c>
      <c r="D1062" t="s">
        <v>838</v>
      </c>
      <c r="E1062" s="24" t="str">
        <f>IFERROR(VLOOKUP(D1062,Dropdown!A:B,2,0),D1062)</f>
        <v>Treenity</v>
      </c>
      <c r="F1062" s="6">
        <v>45946</v>
      </c>
      <c r="G1062" s="6" t="str">
        <f>TEXT(F1062, "MMM-YY")</f>
        <v>Oct-25</v>
      </c>
      <c r="H1062" t="s">
        <v>1578</v>
      </c>
      <c r="I1062" s="25">
        <v>92.4</v>
      </c>
      <c r="J1062" s="4">
        <v>25000</v>
      </c>
      <c r="K1062" t="s">
        <v>901</v>
      </c>
      <c r="L1062" s="4" t="str">
        <f>VLOOKUP(K1062, 'Items Master'!A:E,5,0)</f>
        <v>MRPL</v>
      </c>
      <c r="M1062" s="4" t="str">
        <f>VLOOKUP(K1062, 'Items Master'!A:D,4,0)</f>
        <v>PP</v>
      </c>
      <c r="N1062" t="s">
        <v>49</v>
      </c>
      <c r="Q1062" s="6">
        <f t="shared" si="49"/>
        <v>45946</v>
      </c>
      <c r="R1062" s="6" t="str">
        <f t="shared" si="48"/>
        <v>Oct-25</v>
      </c>
      <c r="S1062" t="s">
        <v>21</v>
      </c>
      <c r="U1062" t="s">
        <v>1320</v>
      </c>
      <c r="X1062" s="25">
        <v>90.65</v>
      </c>
      <c r="Y1062" s="25" t="s">
        <v>1304</v>
      </c>
      <c r="Z1062" s="25" t="s">
        <v>1305</v>
      </c>
      <c r="AI1062" s="8">
        <v>1.75</v>
      </c>
      <c r="AN1062" s="9">
        <f t="shared" si="50"/>
        <v>1.75</v>
      </c>
      <c r="AP1062" s="9">
        <f>I1062-W1062-X1062-AN1062</f>
        <v>0</v>
      </c>
      <c r="AQ1062" t="s">
        <v>1316</v>
      </c>
    </row>
    <row r="1063" spans="1:43" x14ac:dyDescent="0.3">
      <c r="A1063" s="11">
        <f t="shared" si="52"/>
        <v>1061</v>
      </c>
      <c r="B1063" s="5" t="s">
        <v>1675</v>
      </c>
      <c r="C1063" t="s">
        <v>894</v>
      </c>
      <c r="D1063" t="s">
        <v>837</v>
      </c>
      <c r="E1063" s="24" t="str">
        <f>IFERROR(VLOOKUP(D1063,Dropdown!A:B,2,0),D1063)</f>
        <v>SYNTHETIC PACKERS LIMITED</v>
      </c>
      <c r="F1063" s="6">
        <v>45947</v>
      </c>
      <c r="G1063" s="6" t="str">
        <f>TEXT(F1063, "MMM-YY")</f>
        <v>Oct-25</v>
      </c>
      <c r="H1063" t="s">
        <v>1467</v>
      </c>
      <c r="I1063" s="25">
        <v>90</v>
      </c>
      <c r="J1063" s="4">
        <v>6750</v>
      </c>
      <c r="K1063" t="s">
        <v>909</v>
      </c>
      <c r="L1063" s="4" t="str">
        <f>VLOOKUP(K1063, 'Items Master'!A:E,5,0)</f>
        <v>LUBAN</v>
      </c>
      <c r="M1063" s="4" t="str">
        <f>VLOOKUP(K1063, 'Items Master'!A:D,4,0)</f>
        <v>HDPE</v>
      </c>
      <c r="N1063" t="s">
        <v>24</v>
      </c>
      <c r="Q1063" s="6">
        <f t="shared" si="49"/>
        <v>45947</v>
      </c>
      <c r="R1063" s="6" t="str">
        <f t="shared" si="48"/>
        <v>Oct-25</v>
      </c>
      <c r="W1063" s="25">
        <f t="shared" ref="W1063:W1064" si="55">I1063</f>
        <v>90</v>
      </c>
      <c r="AN1063" s="9">
        <f t="shared" si="50"/>
        <v>0</v>
      </c>
      <c r="AP1063" s="9">
        <f>I1063-W1063-X1063-AN1063</f>
        <v>0</v>
      </c>
      <c r="AQ1063" t="s">
        <v>1316</v>
      </c>
    </row>
    <row r="1064" spans="1:43" x14ac:dyDescent="0.3">
      <c r="A1064" s="11">
        <f t="shared" si="52"/>
        <v>1062</v>
      </c>
      <c r="B1064" s="5" t="s">
        <v>1675</v>
      </c>
      <c r="C1064" t="s">
        <v>894</v>
      </c>
      <c r="D1064" t="s">
        <v>837</v>
      </c>
      <c r="E1064" s="24" t="str">
        <f>IFERROR(VLOOKUP(D1064,Dropdown!A:B,2,0),D1064)</f>
        <v>SYNTHETIC PACKERS LIMITED</v>
      </c>
      <c r="F1064" s="6">
        <v>45947</v>
      </c>
      <c r="G1064" s="6" t="str">
        <f>TEXT(F1064, "MMM-YY")</f>
        <v>Oct-25</v>
      </c>
      <c r="H1064" t="s">
        <v>1467</v>
      </c>
      <c r="I1064" s="25">
        <v>90</v>
      </c>
      <c r="J1064" s="4">
        <v>6000</v>
      </c>
      <c r="K1064" t="s">
        <v>909</v>
      </c>
      <c r="L1064" s="4" t="str">
        <f>VLOOKUP(K1064, 'Items Master'!A:E,5,0)</f>
        <v>LUBAN</v>
      </c>
      <c r="M1064" s="4" t="str">
        <f>VLOOKUP(K1064, 'Items Master'!A:D,4,0)</f>
        <v>HDPE</v>
      </c>
      <c r="N1064" t="s">
        <v>24</v>
      </c>
      <c r="Q1064" s="6">
        <f t="shared" si="49"/>
        <v>45947</v>
      </c>
      <c r="R1064" s="6" t="str">
        <f t="shared" si="48"/>
        <v>Oct-25</v>
      </c>
      <c r="W1064" s="25">
        <f t="shared" si="55"/>
        <v>90</v>
      </c>
      <c r="AN1064" s="9">
        <f t="shared" si="50"/>
        <v>0</v>
      </c>
      <c r="AP1064" s="9">
        <f>I1064-W1064-X1064-AN1064</f>
        <v>0</v>
      </c>
      <c r="AQ1064" t="s">
        <v>1316</v>
      </c>
    </row>
    <row r="1065" spans="1:43" x14ac:dyDescent="0.3">
      <c r="A1065" s="11">
        <f t="shared" si="52"/>
        <v>1063</v>
      </c>
      <c r="B1065" s="5" t="s">
        <v>1675</v>
      </c>
      <c r="C1065" t="s">
        <v>893</v>
      </c>
      <c r="D1065" t="s">
        <v>864</v>
      </c>
      <c r="E1065" s="24" t="str">
        <f>IFERROR(VLOOKUP(D1065,Dropdown!A:B,2,0),D1065)</f>
        <v>SVP</v>
      </c>
      <c r="F1065" s="6">
        <v>45947</v>
      </c>
      <c r="G1065" s="6" t="str">
        <f>TEXT(F1065, "MMM-YY")</f>
        <v>Oct-25</v>
      </c>
      <c r="H1065" t="s">
        <v>1468</v>
      </c>
      <c r="I1065" s="25">
        <v>89.74</v>
      </c>
      <c r="J1065" s="4">
        <v>10000</v>
      </c>
      <c r="K1065" t="s">
        <v>1012</v>
      </c>
      <c r="L1065" s="4" t="str">
        <f>VLOOKUP(K1065, 'Items Master'!A:E,5,0)</f>
        <v>HMEL</v>
      </c>
      <c r="M1065" s="4" t="str">
        <f>VLOOKUP(K1065, 'Items Master'!A:D,4,0)</f>
        <v>LLDPE</v>
      </c>
      <c r="N1065" t="s">
        <v>49</v>
      </c>
      <c r="Q1065" s="6">
        <f t="shared" si="49"/>
        <v>45947</v>
      </c>
      <c r="R1065" s="6" t="str">
        <f t="shared" si="48"/>
        <v>Oct-25</v>
      </c>
      <c r="X1065" s="25">
        <v>95.34</v>
      </c>
      <c r="Y1065" s="25" t="s">
        <v>1303</v>
      </c>
      <c r="Z1065" s="25" t="s">
        <v>1307</v>
      </c>
      <c r="AB1065" s="8">
        <v>-1.1000000000000001</v>
      </c>
      <c r="AC1065" s="8">
        <v>-1</v>
      </c>
      <c r="AD1065" s="8">
        <v>-2.5</v>
      </c>
      <c r="AE1065" s="8">
        <v>-1</v>
      </c>
      <c r="AN1065" s="9">
        <f t="shared" si="50"/>
        <v>-5.6</v>
      </c>
      <c r="AP1065" s="9">
        <f>I1065-W1065-X1065-AN1065</f>
        <v>-8.8817841970012523E-15</v>
      </c>
      <c r="AQ1065" t="s">
        <v>1316</v>
      </c>
    </row>
    <row r="1066" spans="1:43" x14ac:dyDescent="0.3">
      <c r="A1066" s="11">
        <f t="shared" si="52"/>
        <v>1064</v>
      </c>
      <c r="B1066" s="5" t="s">
        <v>1675</v>
      </c>
      <c r="C1066" t="s">
        <v>893</v>
      </c>
      <c r="D1066" t="s">
        <v>48</v>
      </c>
      <c r="E1066" s="24" t="str">
        <f>IFERROR(VLOOKUP(D1066,Dropdown!A:B,2,0),D1066)</f>
        <v>CVPL</v>
      </c>
      <c r="F1066" s="6">
        <v>45947</v>
      </c>
      <c r="G1066" s="6" t="str">
        <f>TEXT(F1066, "MMM-YY")</f>
        <v>Oct-25</v>
      </c>
      <c r="H1066" t="s">
        <v>1579</v>
      </c>
      <c r="I1066" s="25">
        <v>96.49</v>
      </c>
      <c r="J1066" s="4">
        <v>11000</v>
      </c>
      <c r="K1066" t="s">
        <v>903</v>
      </c>
      <c r="L1066" s="4" t="str">
        <f>VLOOKUP(K1066, 'Items Master'!A:E,5,0)</f>
        <v>GAIL</v>
      </c>
      <c r="M1066" s="4" t="str">
        <f>VLOOKUP(K1066, 'Items Master'!A:D,4,0)</f>
        <v>LLDPE</v>
      </c>
      <c r="N1066" t="s">
        <v>49</v>
      </c>
      <c r="Q1066" s="6">
        <f t="shared" si="49"/>
        <v>45947</v>
      </c>
      <c r="R1066" s="6" t="str">
        <f t="shared" si="48"/>
        <v>Oct-25</v>
      </c>
      <c r="AN1066" s="9">
        <f t="shared" si="50"/>
        <v>0</v>
      </c>
      <c r="AP1066" s="9">
        <f>I1066-W1066-X1066-AN1066</f>
        <v>96.49</v>
      </c>
    </row>
    <row r="1067" spans="1:43" x14ac:dyDescent="0.3">
      <c r="A1067" s="11">
        <f t="shared" si="52"/>
        <v>1065</v>
      </c>
      <c r="B1067" s="5" t="s">
        <v>1675</v>
      </c>
      <c r="C1067" t="s">
        <v>893</v>
      </c>
      <c r="D1067" t="s">
        <v>48</v>
      </c>
      <c r="E1067" s="24" t="str">
        <f>IFERROR(VLOOKUP(D1067,Dropdown!A:B,2,0),D1067)</f>
        <v>CVPL</v>
      </c>
      <c r="F1067" s="6">
        <v>45948</v>
      </c>
      <c r="G1067" s="6" t="str">
        <f>TEXT(F1067, "MMM-YY")</f>
        <v>Oct-25</v>
      </c>
      <c r="H1067" t="s">
        <v>1469</v>
      </c>
      <c r="I1067" s="25">
        <v>96.49</v>
      </c>
      <c r="J1067" s="4">
        <v>2500</v>
      </c>
      <c r="K1067" t="s">
        <v>903</v>
      </c>
      <c r="L1067" s="4" t="str">
        <f>VLOOKUP(K1067, 'Items Master'!A:E,5,0)</f>
        <v>GAIL</v>
      </c>
      <c r="M1067" s="4" t="str">
        <f>VLOOKUP(K1067, 'Items Master'!A:D,4,0)</f>
        <v>LLDPE</v>
      </c>
      <c r="N1067" t="s">
        <v>49</v>
      </c>
      <c r="Q1067" s="6">
        <f t="shared" si="49"/>
        <v>45948</v>
      </c>
      <c r="R1067" s="6" t="str">
        <f t="shared" si="48"/>
        <v>Oct-25</v>
      </c>
      <c r="AN1067" s="9">
        <f t="shared" si="50"/>
        <v>0</v>
      </c>
      <c r="AP1067" s="9">
        <f>I1067-W1067-X1067-AN1067</f>
        <v>96.49</v>
      </c>
    </row>
    <row r="1068" spans="1:43" x14ac:dyDescent="0.3">
      <c r="A1068" s="11">
        <f t="shared" si="52"/>
        <v>1066</v>
      </c>
      <c r="B1068" s="5" t="s">
        <v>1675</v>
      </c>
      <c r="C1068" t="s">
        <v>893</v>
      </c>
      <c r="D1068" t="s">
        <v>48</v>
      </c>
      <c r="E1068" s="24" t="str">
        <f>IFERROR(VLOOKUP(D1068,Dropdown!A:B,2,0),D1068)</f>
        <v>CVPL</v>
      </c>
      <c r="F1068" s="6">
        <v>45948</v>
      </c>
      <c r="G1068" s="6" t="str">
        <f>TEXT(F1068, "MMM-YY")</f>
        <v>Oct-25</v>
      </c>
      <c r="H1068" t="s">
        <v>1470</v>
      </c>
      <c r="I1068" s="25">
        <v>96.49</v>
      </c>
      <c r="J1068" s="4">
        <v>15000</v>
      </c>
      <c r="K1068" t="s">
        <v>903</v>
      </c>
      <c r="L1068" s="4" t="str">
        <f>VLOOKUP(K1068, 'Items Master'!A:E,5,0)</f>
        <v>GAIL</v>
      </c>
      <c r="M1068" s="4" t="str">
        <f>VLOOKUP(K1068, 'Items Master'!A:D,4,0)</f>
        <v>LLDPE</v>
      </c>
      <c r="N1068" t="s">
        <v>49</v>
      </c>
      <c r="Q1068" s="6">
        <f t="shared" si="49"/>
        <v>45948</v>
      </c>
      <c r="R1068" s="6" t="str">
        <f t="shared" si="48"/>
        <v>Oct-25</v>
      </c>
      <c r="AN1068" s="9">
        <f t="shared" si="50"/>
        <v>0</v>
      </c>
      <c r="AP1068" s="9">
        <f>I1068-W1068-X1068-AN1068</f>
        <v>96.49</v>
      </c>
    </row>
    <row r="1069" spans="1:43" x14ac:dyDescent="0.3">
      <c r="A1069" s="11">
        <f t="shared" si="52"/>
        <v>1067</v>
      </c>
      <c r="B1069" s="5" t="s">
        <v>1675</v>
      </c>
      <c r="C1069" t="s">
        <v>893</v>
      </c>
      <c r="D1069" t="s">
        <v>824</v>
      </c>
      <c r="E1069" s="24" t="str">
        <f>IFERROR(VLOOKUP(D1069,Dropdown!A:B,2,0),D1069)</f>
        <v>Paragon</v>
      </c>
      <c r="F1069" s="6">
        <v>45948</v>
      </c>
      <c r="G1069" s="6" t="str">
        <f>TEXT(F1069, "MMM-YY")</f>
        <v>Oct-25</v>
      </c>
      <c r="H1069" t="s">
        <v>1471</v>
      </c>
      <c r="I1069" s="25">
        <v>98.77</v>
      </c>
      <c r="J1069" s="4">
        <v>1500</v>
      </c>
      <c r="K1069" t="s">
        <v>934</v>
      </c>
      <c r="L1069" s="4" t="str">
        <f>VLOOKUP(K1069, 'Items Master'!A:E,5,0)</f>
        <v>RIL</v>
      </c>
      <c r="M1069" s="4" t="str">
        <f>VLOOKUP(K1069, 'Items Master'!A:D,4,0)</f>
        <v>PP RCP</v>
      </c>
      <c r="N1069" t="s">
        <v>49</v>
      </c>
      <c r="Q1069" s="6">
        <f t="shared" si="49"/>
        <v>45948</v>
      </c>
      <c r="R1069" s="6" t="str">
        <f t="shared" ref="R1069:R1132" si="56">TEXT(Q1069, "MMM-YY")</f>
        <v>Oct-25</v>
      </c>
      <c r="AN1069" s="9">
        <f t="shared" si="50"/>
        <v>0</v>
      </c>
      <c r="AP1069" s="9">
        <f>I1069-W1069-X1069-AN1069</f>
        <v>98.77</v>
      </c>
    </row>
    <row r="1070" spans="1:43" x14ac:dyDescent="0.3">
      <c r="A1070" s="11">
        <f t="shared" si="52"/>
        <v>1068</v>
      </c>
      <c r="B1070" s="5" t="s">
        <v>1675</v>
      </c>
      <c r="C1070" t="s">
        <v>893</v>
      </c>
      <c r="D1070" t="s">
        <v>824</v>
      </c>
      <c r="E1070" s="24" t="str">
        <f>IFERROR(VLOOKUP(D1070,Dropdown!A:B,2,0),D1070)</f>
        <v>Paragon</v>
      </c>
      <c r="F1070" s="6">
        <v>45948</v>
      </c>
      <c r="G1070" s="6" t="str">
        <f>TEXT(F1070, "MMM-YY")</f>
        <v>Oct-25</v>
      </c>
      <c r="H1070" t="s">
        <v>1472</v>
      </c>
      <c r="I1070" s="25">
        <v>90.76</v>
      </c>
      <c r="J1070" s="4">
        <v>1000</v>
      </c>
      <c r="K1070" t="s">
        <v>950</v>
      </c>
      <c r="L1070" s="4" t="str">
        <f>VLOOKUP(K1070, 'Items Master'!A:E,5,0)</f>
        <v>RIL</v>
      </c>
      <c r="M1070" s="4" t="str">
        <f>VLOOKUP(K1070, 'Items Master'!A:D,4,0)</f>
        <v>PP</v>
      </c>
      <c r="N1070" t="s">
        <v>49</v>
      </c>
      <c r="Q1070" s="6">
        <f t="shared" ref="Q1070:Q1133" si="57">F1070</f>
        <v>45948</v>
      </c>
      <c r="R1070" s="6" t="str">
        <f t="shared" si="56"/>
        <v>Oct-25</v>
      </c>
      <c r="AN1070" s="9">
        <f t="shared" si="50"/>
        <v>0</v>
      </c>
      <c r="AP1070" s="9">
        <f>I1070-W1070-X1070-AN1070</f>
        <v>90.76</v>
      </c>
    </row>
    <row r="1071" spans="1:43" x14ac:dyDescent="0.3">
      <c r="A1071" s="11">
        <f t="shared" si="52"/>
        <v>1069</v>
      </c>
      <c r="B1071" s="5" t="s">
        <v>1675</v>
      </c>
      <c r="C1071" t="s">
        <v>893</v>
      </c>
      <c r="D1071" t="s">
        <v>824</v>
      </c>
      <c r="E1071" s="24" t="str">
        <f>IFERROR(VLOOKUP(D1071,Dropdown!A:B,2,0),D1071)</f>
        <v>Paragon</v>
      </c>
      <c r="F1071" s="6">
        <v>45948</v>
      </c>
      <c r="G1071" s="6" t="str">
        <f>TEXT(F1071, "MMM-YY")</f>
        <v>Oct-25</v>
      </c>
      <c r="H1071" t="s">
        <v>1472</v>
      </c>
      <c r="I1071" s="25">
        <v>122.06</v>
      </c>
      <c r="J1071" s="4">
        <v>1000</v>
      </c>
      <c r="K1071" t="s">
        <v>918</v>
      </c>
      <c r="L1071" s="4" t="str">
        <f>VLOOKUP(K1071, 'Items Master'!A:E,5,0)</f>
        <v>RIL</v>
      </c>
      <c r="M1071" s="4" t="str">
        <f>VLOOKUP(K1071, 'Items Master'!A:D,4,0)</f>
        <v>LDPE</v>
      </c>
      <c r="N1071" t="s">
        <v>49</v>
      </c>
      <c r="Q1071" s="6">
        <f t="shared" si="57"/>
        <v>45948</v>
      </c>
      <c r="R1071" s="6" t="str">
        <f t="shared" si="56"/>
        <v>Oct-25</v>
      </c>
      <c r="AN1071" s="9">
        <f t="shared" si="50"/>
        <v>0</v>
      </c>
      <c r="AP1071" s="9">
        <f>I1071-W1071-X1071-AN1071</f>
        <v>122.06</v>
      </c>
    </row>
    <row r="1072" spans="1:43" x14ac:dyDescent="0.3">
      <c r="A1072" s="11">
        <f t="shared" si="52"/>
        <v>1070</v>
      </c>
      <c r="B1072" s="5" t="s">
        <v>1675</v>
      </c>
      <c r="C1072" t="s">
        <v>893</v>
      </c>
      <c r="D1072" t="s">
        <v>824</v>
      </c>
      <c r="E1072" s="24" t="str">
        <f>IFERROR(VLOOKUP(D1072,Dropdown!A:B,2,0),D1072)</f>
        <v>Paragon</v>
      </c>
      <c r="F1072" s="6">
        <v>45948</v>
      </c>
      <c r="G1072" s="6" t="str">
        <f>TEXT(F1072, "MMM-YY")</f>
        <v>Oct-25</v>
      </c>
      <c r="H1072" t="s">
        <v>1472</v>
      </c>
      <c r="I1072" s="25">
        <v>96.81</v>
      </c>
      <c r="J1072" s="4">
        <v>500</v>
      </c>
      <c r="K1072" t="s">
        <v>1155</v>
      </c>
      <c r="L1072" s="4" t="str">
        <f>VLOOKUP(K1072, 'Items Master'!A:E,5,0)</f>
        <v>RIL</v>
      </c>
      <c r="M1072" s="4" t="str">
        <f>VLOOKUP(K1072, 'Items Master'!A:D,4,0)</f>
        <v>HDPE</v>
      </c>
      <c r="N1072" t="s">
        <v>49</v>
      </c>
      <c r="Q1072" s="6">
        <f t="shared" si="57"/>
        <v>45948</v>
      </c>
      <c r="R1072" s="6" t="str">
        <f t="shared" si="56"/>
        <v>Oct-25</v>
      </c>
      <c r="AN1072" s="9">
        <f t="shared" si="50"/>
        <v>0</v>
      </c>
      <c r="AP1072" s="9">
        <f>I1072-W1072-X1072-AN1072</f>
        <v>96.81</v>
      </c>
    </row>
    <row r="1073" spans="1:44" x14ac:dyDescent="0.3">
      <c r="A1073" s="11">
        <f t="shared" si="52"/>
        <v>1071</v>
      </c>
      <c r="B1073" s="5" t="s">
        <v>1675</v>
      </c>
      <c r="C1073" t="s">
        <v>893</v>
      </c>
      <c r="D1073" t="s">
        <v>824</v>
      </c>
      <c r="E1073" s="24" t="str">
        <f>IFERROR(VLOOKUP(D1073,Dropdown!A:B,2,0),D1073)</f>
        <v>Paragon</v>
      </c>
      <c r="F1073" s="6">
        <v>45948</v>
      </c>
      <c r="G1073" s="6" t="str">
        <f>TEXT(F1073, "MMM-YY")</f>
        <v>Oct-25</v>
      </c>
      <c r="H1073" t="s">
        <v>1472</v>
      </c>
      <c r="I1073" s="25">
        <v>107.85</v>
      </c>
      <c r="J1073" s="4">
        <v>100</v>
      </c>
      <c r="K1073" t="s">
        <v>973</v>
      </c>
      <c r="L1073" s="4" t="str">
        <f>VLOOKUP(K1073, 'Items Master'!A:E,5,0)</f>
        <v>RIL</v>
      </c>
      <c r="M1073" s="4" t="str">
        <f>VLOOKUP(K1073, 'Items Master'!A:D,4,0)</f>
        <v>LLDPE</v>
      </c>
      <c r="N1073" t="s">
        <v>49</v>
      </c>
      <c r="Q1073" s="6">
        <f t="shared" si="57"/>
        <v>45948</v>
      </c>
      <c r="R1073" s="6" t="str">
        <f t="shared" si="56"/>
        <v>Oct-25</v>
      </c>
      <c r="AN1073" s="9">
        <f t="shared" si="50"/>
        <v>0</v>
      </c>
      <c r="AP1073" s="9">
        <f>I1073-W1073-X1073-AN1073</f>
        <v>107.85</v>
      </c>
    </row>
    <row r="1074" spans="1:44" x14ac:dyDescent="0.3">
      <c r="A1074" s="11">
        <f t="shared" si="52"/>
        <v>1072</v>
      </c>
      <c r="B1074" s="5" t="s">
        <v>1675</v>
      </c>
      <c r="C1074" t="s">
        <v>893</v>
      </c>
      <c r="D1074" t="s">
        <v>48</v>
      </c>
      <c r="E1074" s="24" t="str">
        <f>IFERROR(VLOOKUP(D1074,Dropdown!A:B,2,0),D1074)</f>
        <v>CVPL</v>
      </c>
      <c r="F1074" s="6">
        <v>45948</v>
      </c>
      <c r="G1074" s="6" t="str">
        <f>TEXT(F1074, "MMM-YY")</f>
        <v>Oct-25</v>
      </c>
      <c r="H1074" t="s">
        <v>1473</v>
      </c>
      <c r="I1074" s="25">
        <v>90.65</v>
      </c>
      <c r="J1074" s="4">
        <v>10000</v>
      </c>
      <c r="K1074" t="s">
        <v>937</v>
      </c>
      <c r="L1074" s="4" t="str">
        <f>VLOOKUP(K1074, 'Items Master'!A:E,5,0)</f>
        <v>MRPL</v>
      </c>
      <c r="M1074" s="4" t="str">
        <f>VLOOKUP(K1074, 'Items Master'!A:D,4,0)</f>
        <v>PP</v>
      </c>
      <c r="N1074" t="s">
        <v>49</v>
      </c>
      <c r="Q1074" s="6">
        <f t="shared" si="57"/>
        <v>45948</v>
      </c>
      <c r="R1074" s="6" t="str">
        <f t="shared" si="56"/>
        <v>Oct-25</v>
      </c>
      <c r="AN1074" s="9">
        <f t="shared" si="50"/>
        <v>0</v>
      </c>
      <c r="AP1074" s="9">
        <f>I1074-W1074-X1074-AN1074</f>
        <v>90.65</v>
      </c>
    </row>
    <row r="1075" spans="1:44" x14ac:dyDescent="0.3">
      <c r="A1075" s="11">
        <f t="shared" si="52"/>
        <v>1073</v>
      </c>
      <c r="B1075" s="5" t="s">
        <v>1675</v>
      </c>
      <c r="C1075" t="s">
        <v>893</v>
      </c>
      <c r="D1075" t="s">
        <v>824</v>
      </c>
      <c r="E1075" s="24" t="str">
        <f>IFERROR(VLOOKUP(D1075,Dropdown!A:B,2,0),D1075)</f>
        <v>Paragon</v>
      </c>
      <c r="F1075" s="6">
        <v>45952</v>
      </c>
      <c r="G1075" s="6" t="str">
        <f>TEXT(F1075, "MMM-YY")</f>
        <v>Oct-25</v>
      </c>
      <c r="H1075" t="s">
        <v>1474</v>
      </c>
      <c r="I1075" s="25">
        <v>91</v>
      </c>
      <c r="J1075" s="4">
        <v>1250</v>
      </c>
      <c r="K1075" t="s">
        <v>910</v>
      </c>
      <c r="L1075" s="4" t="str">
        <f>VLOOKUP(K1075, 'Items Master'!A:E,5,0)</f>
        <v>RIL</v>
      </c>
      <c r="M1075" s="4" t="str">
        <f>VLOOKUP(K1075, 'Items Master'!A:D,4,0)</f>
        <v>PP</v>
      </c>
      <c r="N1075" t="s">
        <v>49</v>
      </c>
      <c r="Q1075" s="6">
        <f t="shared" si="57"/>
        <v>45952</v>
      </c>
      <c r="R1075" s="6" t="str">
        <f t="shared" si="56"/>
        <v>Oct-25</v>
      </c>
      <c r="AN1075" s="9">
        <f t="shared" si="50"/>
        <v>0</v>
      </c>
      <c r="AP1075" s="9">
        <f>I1075-W1075-X1075-AN1075</f>
        <v>91</v>
      </c>
    </row>
    <row r="1076" spans="1:44" x14ac:dyDescent="0.3">
      <c r="A1076" s="11">
        <f t="shared" si="52"/>
        <v>1074</v>
      </c>
      <c r="B1076" s="5" t="s">
        <v>1675</v>
      </c>
      <c r="C1076" t="s">
        <v>893</v>
      </c>
      <c r="D1076" t="s">
        <v>864</v>
      </c>
      <c r="E1076" s="24" t="str">
        <f>IFERROR(VLOOKUP(D1076,Dropdown!A:B,2,0),D1076)</f>
        <v>SVP</v>
      </c>
      <c r="F1076" s="6">
        <v>45952</v>
      </c>
      <c r="G1076" s="6" t="str">
        <f>TEXT(F1076, "MMM-YY")</f>
        <v>Oct-25</v>
      </c>
      <c r="H1076" t="s">
        <v>1475</v>
      </c>
      <c r="I1076" s="25">
        <v>95.34</v>
      </c>
      <c r="J1076" s="4">
        <v>12000</v>
      </c>
      <c r="K1076" t="s">
        <v>1012</v>
      </c>
      <c r="L1076" s="4" t="str">
        <f>VLOOKUP(K1076, 'Items Master'!A:E,5,0)</f>
        <v>HMEL</v>
      </c>
      <c r="M1076" s="4" t="str">
        <f>VLOOKUP(K1076, 'Items Master'!A:D,4,0)</f>
        <v>LLDPE</v>
      </c>
      <c r="N1076" t="s">
        <v>49</v>
      </c>
      <c r="Q1076" s="6">
        <f t="shared" si="57"/>
        <v>45952</v>
      </c>
      <c r="R1076" s="6" t="str">
        <f t="shared" si="56"/>
        <v>Oct-25</v>
      </c>
      <c r="X1076" s="25">
        <v>95.34</v>
      </c>
      <c r="Y1076" s="25" t="s">
        <v>1303</v>
      </c>
      <c r="Z1076" s="25" t="s">
        <v>1307</v>
      </c>
      <c r="AB1076" s="8">
        <v>-1.1000000000000001</v>
      </c>
      <c r="AC1076" s="8">
        <v>-1</v>
      </c>
      <c r="AE1076" s="8">
        <v>-1</v>
      </c>
      <c r="AN1076" s="9">
        <f t="shared" si="50"/>
        <v>-3.1</v>
      </c>
      <c r="AP1076" s="9">
        <f>I1076-W1076-X1076-AN1076</f>
        <v>3.1</v>
      </c>
      <c r="AQ1076" t="s">
        <v>1316</v>
      </c>
      <c r="AR1076" t="s">
        <v>1603</v>
      </c>
    </row>
    <row r="1077" spans="1:44" x14ac:dyDescent="0.3">
      <c r="A1077" s="11">
        <f t="shared" si="52"/>
        <v>1075</v>
      </c>
      <c r="B1077" s="5" t="s">
        <v>1675</v>
      </c>
      <c r="C1077" t="s">
        <v>894</v>
      </c>
      <c r="D1077" t="s">
        <v>857</v>
      </c>
      <c r="E1077" s="24" t="str">
        <f>IFERROR(VLOOKUP(D1077,Dropdown!A:B,2,0),D1077)</f>
        <v>Purav</v>
      </c>
      <c r="F1077" s="6">
        <v>45953</v>
      </c>
      <c r="G1077" s="6" t="str">
        <f>TEXT(F1077, "MMM-YY")</f>
        <v>Oct-25</v>
      </c>
      <c r="H1077" t="s">
        <v>1476</v>
      </c>
      <c r="I1077" s="25">
        <v>96</v>
      </c>
      <c r="J1077" s="4">
        <v>7000</v>
      </c>
      <c r="K1077" t="s">
        <v>896</v>
      </c>
      <c r="L1077" s="4" t="str">
        <f>VLOOKUP(K1077, 'Items Master'!A:E,5,0)</f>
        <v>OPAL</v>
      </c>
      <c r="M1077" s="4" t="str">
        <f>VLOOKUP(K1077, 'Items Master'!A:D,4,0)</f>
        <v>HDPE</v>
      </c>
      <c r="N1077" t="s">
        <v>49</v>
      </c>
      <c r="Q1077" s="6">
        <f t="shared" si="57"/>
        <v>45953</v>
      </c>
      <c r="R1077" s="6" t="str">
        <f t="shared" si="56"/>
        <v>Oct-25</v>
      </c>
      <c r="S1077" t="s">
        <v>21</v>
      </c>
      <c r="X1077" s="25">
        <v>96.75</v>
      </c>
      <c r="Y1077" s="25" t="s">
        <v>1303</v>
      </c>
      <c r="Z1077" s="25" t="s">
        <v>1306</v>
      </c>
      <c r="AB1077" s="8">
        <v>-0.9</v>
      </c>
      <c r="AH1077" s="8">
        <v>0.1</v>
      </c>
      <c r="AN1077" s="9">
        <f t="shared" si="50"/>
        <v>-0.8</v>
      </c>
      <c r="AP1077" s="9">
        <f>I1077-W1077-X1077-AN1077</f>
        <v>5.0000000000000044E-2</v>
      </c>
      <c r="AQ1077" t="s">
        <v>1316</v>
      </c>
      <c r="AR1077" t="s">
        <v>1309</v>
      </c>
    </row>
    <row r="1078" spans="1:44" x14ac:dyDescent="0.3">
      <c r="A1078" s="11">
        <f t="shared" si="52"/>
        <v>1076</v>
      </c>
      <c r="B1078" s="5" t="s">
        <v>1675</v>
      </c>
      <c r="C1078" t="s">
        <v>894</v>
      </c>
      <c r="D1078" t="s">
        <v>857</v>
      </c>
      <c r="E1078" s="24" t="str">
        <f>IFERROR(VLOOKUP(D1078,Dropdown!A:B,2,0),D1078)</f>
        <v>Purav</v>
      </c>
      <c r="F1078" s="6">
        <v>45953</v>
      </c>
      <c r="G1078" s="6" t="str">
        <f>TEXT(F1078, "MMM-YY")</f>
        <v>Oct-25</v>
      </c>
      <c r="H1078" t="s">
        <v>1476</v>
      </c>
      <c r="I1078" s="25">
        <v>96</v>
      </c>
      <c r="J1078" s="4">
        <v>5000</v>
      </c>
      <c r="K1078" t="s">
        <v>896</v>
      </c>
      <c r="L1078" s="4" t="str">
        <f>VLOOKUP(K1078, 'Items Master'!A:E,5,0)</f>
        <v>OPAL</v>
      </c>
      <c r="M1078" s="4" t="str">
        <f>VLOOKUP(K1078, 'Items Master'!A:D,4,0)</f>
        <v>HDPE</v>
      </c>
      <c r="N1078" t="s">
        <v>49</v>
      </c>
      <c r="Q1078" s="6">
        <f t="shared" si="57"/>
        <v>45953</v>
      </c>
      <c r="R1078" s="6" t="str">
        <f t="shared" si="56"/>
        <v>Oct-25</v>
      </c>
      <c r="S1078" t="s">
        <v>21</v>
      </c>
      <c r="X1078" s="25">
        <v>96.75</v>
      </c>
      <c r="Y1078" s="25" t="s">
        <v>1303</v>
      </c>
      <c r="Z1078" s="25" t="s">
        <v>1306</v>
      </c>
      <c r="AB1078" s="8">
        <v>-0.9</v>
      </c>
      <c r="AH1078" s="8">
        <v>0.1</v>
      </c>
      <c r="AN1078" s="9">
        <f t="shared" si="50"/>
        <v>-0.8</v>
      </c>
      <c r="AP1078" s="9">
        <f>I1078-W1078-X1078-AN1078</f>
        <v>5.0000000000000044E-2</v>
      </c>
      <c r="AQ1078" t="s">
        <v>1316</v>
      </c>
      <c r="AR1078" t="s">
        <v>1309</v>
      </c>
    </row>
    <row r="1079" spans="1:44" x14ac:dyDescent="0.3">
      <c r="A1079" s="11">
        <f t="shared" si="52"/>
        <v>1077</v>
      </c>
      <c r="B1079" s="5" t="s">
        <v>1675</v>
      </c>
      <c r="C1079" t="s">
        <v>893</v>
      </c>
      <c r="D1079" t="s">
        <v>48</v>
      </c>
      <c r="E1079" s="24" t="str">
        <f>IFERROR(VLOOKUP(D1079,Dropdown!A:B,2,0),D1079)</f>
        <v>CVPL</v>
      </c>
      <c r="F1079" s="6">
        <v>45953</v>
      </c>
      <c r="G1079" s="6" t="str">
        <f>TEXT(F1079, "MMM-YY")</f>
        <v>Oct-25</v>
      </c>
      <c r="H1079" t="s">
        <v>1477</v>
      </c>
      <c r="I1079" s="25">
        <v>96.99</v>
      </c>
      <c r="J1079" s="4">
        <v>2500</v>
      </c>
      <c r="K1079" t="s">
        <v>903</v>
      </c>
      <c r="L1079" s="4" t="str">
        <f>VLOOKUP(K1079, 'Items Master'!A:E,5,0)</f>
        <v>GAIL</v>
      </c>
      <c r="M1079" s="4" t="str">
        <f>VLOOKUP(K1079, 'Items Master'!A:D,4,0)</f>
        <v>LLDPE</v>
      </c>
      <c r="N1079" t="s">
        <v>49</v>
      </c>
      <c r="Q1079" s="6">
        <f t="shared" si="57"/>
        <v>45953</v>
      </c>
      <c r="R1079" s="6" t="str">
        <f t="shared" si="56"/>
        <v>Oct-25</v>
      </c>
      <c r="AN1079" s="9">
        <f t="shared" si="50"/>
        <v>0</v>
      </c>
      <c r="AP1079" s="9">
        <f>I1079-W1079-X1079-AN1079</f>
        <v>96.99</v>
      </c>
    </row>
    <row r="1080" spans="1:44" x14ac:dyDescent="0.3">
      <c r="A1080" s="11">
        <f t="shared" si="52"/>
        <v>1078</v>
      </c>
      <c r="B1080" s="5" t="s">
        <v>1675</v>
      </c>
      <c r="C1080" t="s">
        <v>893</v>
      </c>
      <c r="D1080" t="s">
        <v>48</v>
      </c>
      <c r="E1080" s="24" t="str">
        <f>IFERROR(VLOOKUP(D1080,Dropdown!A:B,2,0),D1080)</f>
        <v>CVPL</v>
      </c>
      <c r="F1080" s="6">
        <v>45953</v>
      </c>
      <c r="G1080" s="6" t="str">
        <f>TEXT(F1080, "MMM-YY")</f>
        <v>Oct-25</v>
      </c>
      <c r="H1080" t="s">
        <v>1478</v>
      </c>
      <c r="I1080" s="25">
        <v>96.99</v>
      </c>
      <c r="J1080" s="4">
        <v>2500</v>
      </c>
      <c r="K1080" t="s">
        <v>903</v>
      </c>
      <c r="L1080" s="4" t="str">
        <f>VLOOKUP(K1080, 'Items Master'!A:E,5,0)</f>
        <v>GAIL</v>
      </c>
      <c r="M1080" s="4" t="str">
        <f>VLOOKUP(K1080, 'Items Master'!A:D,4,0)</f>
        <v>LLDPE</v>
      </c>
      <c r="N1080" t="s">
        <v>49</v>
      </c>
      <c r="Q1080" s="6">
        <f t="shared" si="57"/>
        <v>45953</v>
      </c>
      <c r="R1080" s="6" t="str">
        <f t="shared" si="56"/>
        <v>Oct-25</v>
      </c>
      <c r="AN1080" s="9">
        <f t="shared" si="50"/>
        <v>0</v>
      </c>
      <c r="AP1080" s="9">
        <f>I1080-W1080-X1080-AN1080</f>
        <v>96.99</v>
      </c>
    </row>
    <row r="1081" spans="1:44" x14ac:dyDescent="0.3">
      <c r="A1081" s="11">
        <f t="shared" si="52"/>
        <v>1079</v>
      </c>
      <c r="B1081" s="5" t="s">
        <v>1675</v>
      </c>
      <c r="C1081" t="s">
        <v>893</v>
      </c>
      <c r="D1081" t="s">
        <v>48</v>
      </c>
      <c r="E1081" s="24" t="str">
        <f>IFERROR(VLOOKUP(D1081,Dropdown!A:B,2,0),D1081)</f>
        <v>CVPL</v>
      </c>
      <c r="F1081" s="6">
        <v>45953</v>
      </c>
      <c r="G1081" s="6" t="str">
        <f>TEXT(F1081, "MMM-YY")</f>
        <v>Oct-25</v>
      </c>
      <c r="H1081" t="s">
        <v>1479</v>
      </c>
      <c r="I1081" s="25">
        <v>96.99</v>
      </c>
      <c r="J1081" s="4">
        <v>3000</v>
      </c>
      <c r="K1081" t="s">
        <v>903</v>
      </c>
      <c r="L1081" s="4" t="str">
        <f>VLOOKUP(K1081, 'Items Master'!A:E,5,0)</f>
        <v>GAIL</v>
      </c>
      <c r="M1081" s="4" t="str">
        <f>VLOOKUP(K1081, 'Items Master'!A:D,4,0)</f>
        <v>LLDPE</v>
      </c>
      <c r="N1081" t="s">
        <v>49</v>
      </c>
      <c r="Q1081" s="6">
        <f t="shared" si="57"/>
        <v>45953</v>
      </c>
      <c r="R1081" s="6" t="str">
        <f t="shared" si="56"/>
        <v>Oct-25</v>
      </c>
      <c r="AN1081" s="9">
        <f t="shared" si="50"/>
        <v>0</v>
      </c>
      <c r="AP1081" s="9">
        <f>I1081-W1081-X1081-AN1081</f>
        <v>96.99</v>
      </c>
    </row>
    <row r="1082" spans="1:44" x14ac:dyDescent="0.3">
      <c r="A1082" s="11">
        <f t="shared" si="52"/>
        <v>1080</v>
      </c>
      <c r="B1082" s="5" t="s">
        <v>1675</v>
      </c>
      <c r="C1082" t="s">
        <v>893</v>
      </c>
      <c r="D1082" t="s">
        <v>48</v>
      </c>
      <c r="E1082" s="24" t="str">
        <f>IFERROR(VLOOKUP(D1082,Dropdown!A:B,2,0),D1082)</f>
        <v>CVPL</v>
      </c>
      <c r="F1082" s="6">
        <v>45953</v>
      </c>
      <c r="G1082" s="6" t="str">
        <f>TEXT(F1082, "MMM-YY")</f>
        <v>Oct-25</v>
      </c>
      <c r="H1082" t="s">
        <v>1480</v>
      </c>
      <c r="I1082" s="25">
        <v>96.99</v>
      </c>
      <c r="J1082" s="4">
        <v>1000</v>
      </c>
      <c r="K1082" t="s">
        <v>903</v>
      </c>
      <c r="L1082" s="4" t="str">
        <f>VLOOKUP(K1082, 'Items Master'!A:E,5,0)</f>
        <v>GAIL</v>
      </c>
      <c r="M1082" s="4" t="str">
        <f>VLOOKUP(K1082, 'Items Master'!A:D,4,0)</f>
        <v>LLDPE</v>
      </c>
      <c r="N1082" t="s">
        <v>49</v>
      </c>
      <c r="Q1082" s="6">
        <f t="shared" si="57"/>
        <v>45953</v>
      </c>
      <c r="R1082" s="6" t="str">
        <f t="shared" si="56"/>
        <v>Oct-25</v>
      </c>
      <c r="AN1082" s="9">
        <f t="shared" si="50"/>
        <v>0</v>
      </c>
      <c r="AP1082" s="9">
        <f>I1082-W1082-X1082-AN1082</f>
        <v>96.99</v>
      </c>
    </row>
    <row r="1083" spans="1:44" x14ac:dyDescent="0.3">
      <c r="A1083" s="11">
        <f t="shared" si="52"/>
        <v>1081</v>
      </c>
      <c r="B1083" s="5" t="s">
        <v>1675</v>
      </c>
      <c r="C1083" t="s">
        <v>893</v>
      </c>
      <c r="D1083" t="s">
        <v>48</v>
      </c>
      <c r="E1083" s="24" t="str">
        <f>IFERROR(VLOOKUP(D1083,Dropdown!A:B,2,0),D1083)</f>
        <v>CVPL</v>
      </c>
      <c r="F1083" s="6">
        <v>45953</v>
      </c>
      <c r="G1083" s="6" t="str">
        <f>TEXT(F1083, "MMM-YY")</f>
        <v>Oct-25</v>
      </c>
      <c r="H1083" t="s">
        <v>1481</v>
      </c>
      <c r="I1083" s="25">
        <v>96.99</v>
      </c>
      <c r="J1083" s="4">
        <v>4500</v>
      </c>
      <c r="K1083" t="s">
        <v>903</v>
      </c>
      <c r="L1083" s="4" t="str">
        <f>VLOOKUP(K1083, 'Items Master'!A:E,5,0)</f>
        <v>GAIL</v>
      </c>
      <c r="M1083" s="4" t="str">
        <f>VLOOKUP(K1083, 'Items Master'!A:D,4,0)</f>
        <v>LLDPE</v>
      </c>
      <c r="N1083" t="s">
        <v>49</v>
      </c>
      <c r="Q1083" s="6">
        <f t="shared" si="57"/>
        <v>45953</v>
      </c>
      <c r="R1083" s="6" t="str">
        <f t="shared" si="56"/>
        <v>Oct-25</v>
      </c>
      <c r="AN1083" s="9">
        <f t="shared" si="50"/>
        <v>0</v>
      </c>
      <c r="AP1083" s="9">
        <f>I1083-W1083-X1083-AN1083</f>
        <v>96.99</v>
      </c>
    </row>
    <row r="1084" spans="1:44" x14ac:dyDescent="0.3">
      <c r="A1084" s="11">
        <f t="shared" si="52"/>
        <v>1082</v>
      </c>
      <c r="B1084" s="5" t="s">
        <v>1675</v>
      </c>
      <c r="C1084" t="s">
        <v>893</v>
      </c>
      <c r="D1084" t="s">
        <v>857</v>
      </c>
      <c r="E1084" s="24" t="str">
        <f>IFERROR(VLOOKUP(D1084,Dropdown!A:B,2,0),D1084)</f>
        <v>Purav</v>
      </c>
      <c r="F1084" s="6">
        <v>45953</v>
      </c>
      <c r="G1084" s="6" t="str">
        <f>TEXT(F1084, "MMM-YY")</f>
        <v>Oct-25</v>
      </c>
      <c r="H1084" t="s">
        <v>1580</v>
      </c>
      <c r="I1084" s="25">
        <v>95.5</v>
      </c>
      <c r="J1084" s="4">
        <v>13000</v>
      </c>
      <c r="K1084" t="s">
        <v>17</v>
      </c>
      <c r="L1084" s="4" t="str">
        <f>VLOOKUP(K1084, 'Items Master'!A:E,5,0)</f>
        <v>OPAL</v>
      </c>
      <c r="M1084" s="4" t="str">
        <f>VLOOKUP(K1084, 'Items Master'!A:D,4,0)</f>
        <v>LLDPE</v>
      </c>
      <c r="N1084" t="s">
        <v>49</v>
      </c>
      <c r="Q1084" s="6">
        <f t="shared" si="57"/>
        <v>45953</v>
      </c>
      <c r="R1084" s="6" t="str">
        <f t="shared" si="56"/>
        <v>Oct-25</v>
      </c>
      <c r="S1084" t="s">
        <v>21</v>
      </c>
      <c r="U1084" t="s">
        <v>1320</v>
      </c>
      <c r="X1084" s="25">
        <v>96.3</v>
      </c>
      <c r="Y1084" s="25" t="s">
        <v>1304</v>
      </c>
      <c r="Z1084" s="25" t="s">
        <v>1306</v>
      </c>
      <c r="AB1084" s="8">
        <v>-0.9</v>
      </c>
      <c r="AI1084" s="8">
        <v>0.1</v>
      </c>
      <c r="AN1084" s="9">
        <f t="shared" si="50"/>
        <v>-0.8</v>
      </c>
      <c r="AP1084" s="9">
        <f>I1084-W1084-X1084-AN1084</f>
        <v>2.886579864025407E-15</v>
      </c>
      <c r="AQ1084" t="s">
        <v>1316</v>
      </c>
    </row>
    <row r="1085" spans="1:44" x14ac:dyDescent="0.3">
      <c r="A1085" s="11">
        <f t="shared" si="52"/>
        <v>1083</v>
      </c>
      <c r="B1085" s="5" t="s">
        <v>1675</v>
      </c>
      <c r="C1085" t="s">
        <v>894</v>
      </c>
      <c r="D1085" t="s">
        <v>837</v>
      </c>
      <c r="E1085" s="24" t="str">
        <f>IFERROR(VLOOKUP(D1085,Dropdown!A:B,2,0),D1085)</f>
        <v>SYNTHETIC PACKERS LIMITED</v>
      </c>
      <c r="F1085" s="6">
        <v>45954</v>
      </c>
      <c r="G1085" s="6" t="str">
        <f>TEXT(F1085, "MMM-YY")</f>
        <v>Oct-25</v>
      </c>
      <c r="H1085" t="s">
        <v>1482</v>
      </c>
      <c r="I1085" s="25">
        <v>90</v>
      </c>
      <c r="J1085" s="4">
        <v>6000</v>
      </c>
      <c r="K1085" t="s">
        <v>909</v>
      </c>
      <c r="L1085" s="4" t="str">
        <f>VLOOKUP(K1085, 'Items Master'!A:E,5,0)</f>
        <v>LUBAN</v>
      </c>
      <c r="M1085" s="4" t="str">
        <f>VLOOKUP(K1085, 'Items Master'!A:D,4,0)</f>
        <v>HDPE</v>
      </c>
      <c r="N1085" t="s">
        <v>24</v>
      </c>
      <c r="Q1085" s="6">
        <f t="shared" si="57"/>
        <v>45954</v>
      </c>
      <c r="R1085" s="6" t="str">
        <f t="shared" si="56"/>
        <v>Oct-25</v>
      </c>
      <c r="W1085" s="25">
        <f t="shared" ref="W1085:W1089" si="58">I1085</f>
        <v>90</v>
      </c>
      <c r="AN1085" s="9">
        <f t="shared" si="50"/>
        <v>0</v>
      </c>
      <c r="AP1085" s="9">
        <f>I1085-W1085-X1085-AN1085</f>
        <v>0</v>
      </c>
      <c r="AQ1085" t="s">
        <v>1316</v>
      </c>
    </row>
    <row r="1086" spans="1:44" x14ac:dyDescent="0.3">
      <c r="A1086" s="11">
        <f t="shared" si="52"/>
        <v>1084</v>
      </c>
      <c r="B1086" s="5" t="s">
        <v>1675</v>
      </c>
      <c r="C1086" t="s">
        <v>894</v>
      </c>
      <c r="D1086" t="s">
        <v>837</v>
      </c>
      <c r="E1086" s="24" t="str">
        <f>IFERROR(VLOOKUP(D1086,Dropdown!A:B,2,0),D1086)</f>
        <v>SYNTHETIC PACKERS LIMITED</v>
      </c>
      <c r="F1086" s="6">
        <v>45954</v>
      </c>
      <c r="G1086" s="6" t="str">
        <f>TEXT(F1086, "MMM-YY")</f>
        <v>Oct-25</v>
      </c>
      <c r="H1086" t="s">
        <v>1482</v>
      </c>
      <c r="I1086" s="25">
        <v>90</v>
      </c>
      <c r="J1086" s="4">
        <v>6750</v>
      </c>
      <c r="K1086" t="s">
        <v>909</v>
      </c>
      <c r="L1086" s="4" t="str">
        <f>VLOOKUP(K1086, 'Items Master'!A:E,5,0)</f>
        <v>LUBAN</v>
      </c>
      <c r="M1086" s="4" t="str">
        <f>VLOOKUP(K1086, 'Items Master'!A:D,4,0)</f>
        <v>HDPE</v>
      </c>
      <c r="N1086" t="s">
        <v>24</v>
      </c>
      <c r="Q1086" s="6">
        <f t="shared" si="57"/>
        <v>45954</v>
      </c>
      <c r="R1086" s="6" t="str">
        <f t="shared" si="56"/>
        <v>Oct-25</v>
      </c>
      <c r="W1086" s="25">
        <f t="shared" si="58"/>
        <v>90</v>
      </c>
      <c r="AN1086" s="9">
        <f t="shared" si="50"/>
        <v>0</v>
      </c>
      <c r="AP1086" s="9">
        <f>I1086-W1086-X1086-AN1086</f>
        <v>0</v>
      </c>
      <c r="AQ1086" t="s">
        <v>1316</v>
      </c>
    </row>
    <row r="1087" spans="1:44" x14ac:dyDescent="0.3">
      <c r="A1087" s="11">
        <f t="shared" si="52"/>
        <v>1085</v>
      </c>
      <c r="B1087" s="5" t="s">
        <v>1675</v>
      </c>
      <c r="C1087" t="s">
        <v>894</v>
      </c>
      <c r="D1087" t="s">
        <v>837</v>
      </c>
      <c r="E1087" s="24" t="str">
        <f>IFERROR(VLOOKUP(D1087,Dropdown!A:B,2,0),D1087)</f>
        <v>SYNTHETIC PACKERS LIMITED</v>
      </c>
      <c r="F1087" s="6">
        <v>45954</v>
      </c>
      <c r="G1087" s="6" t="str">
        <f>TEXT(F1087, "MMM-YY")</f>
        <v>Oct-25</v>
      </c>
      <c r="H1087" t="s">
        <v>1483</v>
      </c>
      <c r="I1087" s="25">
        <v>90</v>
      </c>
      <c r="J1087" s="4">
        <v>10000</v>
      </c>
      <c r="K1087" t="s">
        <v>909</v>
      </c>
      <c r="L1087" s="4" t="str">
        <f>VLOOKUP(K1087, 'Items Master'!A:E,5,0)</f>
        <v>LUBAN</v>
      </c>
      <c r="M1087" s="4" t="str">
        <f>VLOOKUP(K1087, 'Items Master'!A:D,4,0)</f>
        <v>HDPE</v>
      </c>
      <c r="N1087" t="s">
        <v>24</v>
      </c>
      <c r="Q1087" s="6">
        <f t="shared" si="57"/>
        <v>45954</v>
      </c>
      <c r="R1087" s="6" t="str">
        <f t="shared" si="56"/>
        <v>Oct-25</v>
      </c>
      <c r="W1087" s="25">
        <f t="shared" si="58"/>
        <v>90</v>
      </c>
      <c r="AN1087" s="9">
        <f t="shared" si="50"/>
        <v>0</v>
      </c>
      <c r="AP1087" s="9">
        <f>I1087-W1087-X1087-AN1087</f>
        <v>0</v>
      </c>
      <c r="AQ1087" t="s">
        <v>1316</v>
      </c>
    </row>
    <row r="1088" spans="1:44" x14ac:dyDescent="0.3">
      <c r="A1088" s="11">
        <f t="shared" si="52"/>
        <v>1086</v>
      </c>
      <c r="B1088" s="5" t="s">
        <v>1675</v>
      </c>
      <c r="C1088" t="s">
        <v>894</v>
      </c>
      <c r="D1088" t="s">
        <v>837</v>
      </c>
      <c r="E1088" s="24" t="str">
        <f>IFERROR(VLOOKUP(D1088,Dropdown!A:B,2,0),D1088)</f>
        <v>SYNTHETIC PACKERS LIMITED</v>
      </c>
      <c r="F1088" s="6">
        <v>45954</v>
      </c>
      <c r="G1088" s="6" t="str">
        <f>TEXT(F1088, "MMM-YY")</f>
        <v>Oct-25</v>
      </c>
      <c r="H1088" t="s">
        <v>1483</v>
      </c>
      <c r="I1088" s="25">
        <v>90</v>
      </c>
      <c r="J1088" s="4">
        <v>2000</v>
      </c>
      <c r="K1088" t="s">
        <v>909</v>
      </c>
      <c r="L1088" s="4" t="str">
        <f>VLOOKUP(K1088, 'Items Master'!A:E,5,0)</f>
        <v>LUBAN</v>
      </c>
      <c r="M1088" s="4" t="str">
        <f>VLOOKUP(K1088, 'Items Master'!A:D,4,0)</f>
        <v>HDPE</v>
      </c>
      <c r="N1088" t="s">
        <v>24</v>
      </c>
      <c r="Q1088" s="6">
        <f t="shared" si="57"/>
        <v>45954</v>
      </c>
      <c r="R1088" s="6" t="str">
        <f t="shared" si="56"/>
        <v>Oct-25</v>
      </c>
      <c r="W1088" s="25">
        <f t="shared" si="58"/>
        <v>90</v>
      </c>
      <c r="AN1088" s="9">
        <f t="shared" si="50"/>
        <v>0</v>
      </c>
      <c r="AP1088" s="9">
        <f>I1088-W1088-X1088-AN1088</f>
        <v>0</v>
      </c>
      <c r="AQ1088" t="s">
        <v>1316</v>
      </c>
    </row>
    <row r="1089" spans="1:44" x14ac:dyDescent="0.3">
      <c r="A1089" s="11">
        <f t="shared" si="52"/>
        <v>1087</v>
      </c>
      <c r="B1089" s="5" t="s">
        <v>1675</v>
      </c>
      <c r="C1089" t="s">
        <v>894</v>
      </c>
      <c r="D1089" t="s">
        <v>876</v>
      </c>
      <c r="E1089" s="24" t="str">
        <f>IFERROR(VLOOKUP(D1089,Dropdown!A:B,2,0),D1089)</f>
        <v>TARAJYOT POLYMERS LIMITED</v>
      </c>
      <c r="F1089" s="6">
        <v>45954</v>
      </c>
      <c r="G1089" s="6" t="str">
        <f>TEXT(F1089, "MMM-YY")</f>
        <v>Oct-25</v>
      </c>
      <c r="H1089" t="s">
        <v>1484</v>
      </c>
      <c r="I1089" s="25">
        <v>90</v>
      </c>
      <c r="J1089" s="4">
        <v>16000</v>
      </c>
      <c r="K1089" t="s">
        <v>933</v>
      </c>
      <c r="L1089" s="4" t="str">
        <f>VLOOKUP(K1089, 'Items Master'!A:E,5,0)</f>
        <v>BOROUGE</v>
      </c>
      <c r="M1089" s="4" t="str">
        <f>VLOOKUP(K1089, 'Items Master'!A:D,4,0)</f>
        <v>PP</v>
      </c>
      <c r="N1089" t="s">
        <v>24</v>
      </c>
      <c r="Q1089" s="6">
        <f t="shared" si="57"/>
        <v>45954</v>
      </c>
      <c r="R1089" s="6" t="str">
        <f t="shared" si="56"/>
        <v>Oct-25</v>
      </c>
      <c r="W1089" s="25">
        <f t="shared" si="58"/>
        <v>90</v>
      </c>
      <c r="AN1089" s="9">
        <f t="shared" si="50"/>
        <v>0</v>
      </c>
      <c r="AP1089" s="9">
        <f>I1089-W1089-X1089-AN1089</f>
        <v>0</v>
      </c>
      <c r="AQ1089" t="s">
        <v>1316</v>
      </c>
    </row>
    <row r="1090" spans="1:44" x14ac:dyDescent="0.3">
      <c r="A1090" s="11">
        <f t="shared" si="52"/>
        <v>1088</v>
      </c>
      <c r="B1090" s="5" t="s">
        <v>1675</v>
      </c>
      <c r="C1090" t="s">
        <v>893</v>
      </c>
      <c r="D1090" t="s">
        <v>872</v>
      </c>
      <c r="E1090" s="24" t="str">
        <f>IFERROR(VLOOKUP(D1090,Dropdown!A:B,2,0),D1090)</f>
        <v>Value</v>
      </c>
      <c r="F1090" s="6">
        <v>45954</v>
      </c>
      <c r="G1090" s="6" t="str">
        <f>TEXT(F1090, "MMM-YY")</f>
        <v>Oct-25</v>
      </c>
      <c r="H1090" t="s">
        <v>1485</v>
      </c>
      <c r="I1090" s="25">
        <v>113.32</v>
      </c>
      <c r="J1090" s="4">
        <v>10000</v>
      </c>
      <c r="K1090" t="s">
        <v>954</v>
      </c>
      <c r="L1090" s="4" t="str">
        <f>VLOOKUP(K1090, 'Items Master'!A:E,5,0)</f>
        <v>RIL</v>
      </c>
      <c r="M1090" s="4" t="str">
        <f>VLOOKUP(K1090, 'Items Master'!A:D,4,0)</f>
        <v>LDPE</v>
      </c>
      <c r="N1090" t="s">
        <v>49</v>
      </c>
      <c r="Q1090" s="6">
        <f t="shared" si="57"/>
        <v>45954</v>
      </c>
      <c r="R1090" s="6" t="str">
        <f t="shared" si="56"/>
        <v>Oct-25</v>
      </c>
      <c r="U1090" t="s">
        <v>1605</v>
      </c>
      <c r="X1090" s="25">
        <v>113.32</v>
      </c>
      <c r="Y1090" s="25" t="s">
        <v>1310</v>
      </c>
      <c r="Z1090" s="25" t="s">
        <v>1307</v>
      </c>
      <c r="AN1090" s="9">
        <f t="shared" si="50"/>
        <v>0</v>
      </c>
      <c r="AP1090" s="9">
        <f>I1090-W1090-X1090-AN1090</f>
        <v>0</v>
      </c>
      <c r="AQ1090" t="s">
        <v>1316</v>
      </c>
    </row>
    <row r="1091" spans="1:44" x14ac:dyDescent="0.3">
      <c r="A1091" s="11">
        <f t="shared" si="52"/>
        <v>1089</v>
      </c>
      <c r="B1091" s="5" t="s">
        <v>1675</v>
      </c>
      <c r="C1091" t="s">
        <v>894</v>
      </c>
      <c r="D1091" t="s">
        <v>855</v>
      </c>
      <c r="E1091" s="24" t="str">
        <f>IFERROR(VLOOKUP(D1091,Dropdown!A:B,2,0),D1091)</f>
        <v>TEGRAL INDIA PRIVATE LIMITED</v>
      </c>
      <c r="F1091" s="6">
        <v>45954</v>
      </c>
      <c r="G1091" s="6" t="str">
        <f>TEXT(F1091, "MMM-YY")</f>
        <v>Oct-25</v>
      </c>
      <c r="H1091" t="s">
        <v>1486</v>
      </c>
      <c r="I1091" s="25">
        <v>109.61</v>
      </c>
      <c r="J1091" s="4">
        <v>12000</v>
      </c>
      <c r="K1091" t="s">
        <v>931</v>
      </c>
      <c r="L1091" s="4" t="str">
        <f>VLOOKUP(K1091, 'Items Master'!A:E,5,0)</f>
        <v>BASELL</v>
      </c>
      <c r="M1091" s="4" t="str">
        <f>VLOOKUP(K1091, 'Items Master'!A:D,4,0)</f>
        <v>LDPE</v>
      </c>
      <c r="N1091" t="s">
        <v>24</v>
      </c>
      <c r="Q1091" s="6">
        <f t="shared" si="57"/>
        <v>45954</v>
      </c>
      <c r="R1091" s="6" t="str">
        <f t="shared" si="56"/>
        <v>Oct-25</v>
      </c>
      <c r="W1091" s="25">
        <v>109.5</v>
      </c>
      <c r="AH1091" s="8">
        <v>0.11</v>
      </c>
      <c r="AN1091" s="9">
        <f t="shared" si="50"/>
        <v>0.11</v>
      </c>
      <c r="AP1091" s="9">
        <f>I1091-W1091-X1091-AN1091</f>
        <v>-5.6898930012039273E-16</v>
      </c>
      <c r="AQ1091" t="s">
        <v>1316</v>
      </c>
    </row>
    <row r="1092" spans="1:44" x14ac:dyDescent="0.3">
      <c r="A1092" s="11">
        <f t="shared" si="52"/>
        <v>1090</v>
      </c>
      <c r="B1092" s="5" t="s">
        <v>1675</v>
      </c>
      <c r="C1092" t="s">
        <v>893</v>
      </c>
      <c r="D1092" t="s">
        <v>864</v>
      </c>
      <c r="E1092" s="24" t="str">
        <f>IFERROR(VLOOKUP(D1092,Dropdown!A:B,2,0),D1092)</f>
        <v>SVP</v>
      </c>
      <c r="F1092" s="6">
        <v>45954</v>
      </c>
      <c r="G1092" s="6" t="str">
        <f>TEXT(F1092, "MMM-YY")</f>
        <v>Oct-25</v>
      </c>
      <c r="H1092" t="s">
        <v>1601</v>
      </c>
      <c r="I1092" s="25">
        <v>95.34</v>
      </c>
      <c r="J1092" s="4">
        <v>3000</v>
      </c>
      <c r="K1092" t="s">
        <v>1012</v>
      </c>
      <c r="L1092" s="4" t="str">
        <f>VLOOKUP(K1092, 'Items Master'!A:E,5,0)</f>
        <v>HMEL</v>
      </c>
      <c r="M1092" s="4" t="str">
        <f>VLOOKUP(K1092, 'Items Master'!A:D,4,0)</f>
        <v>LLDPE</v>
      </c>
      <c r="N1092" t="s">
        <v>49</v>
      </c>
      <c r="Q1092" s="6">
        <f t="shared" si="57"/>
        <v>45954</v>
      </c>
      <c r="R1092" s="6" t="str">
        <f t="shared" si="56"/>
        <v>Oct-25</v>
      </c>
      <c r="X1092" s="25">
        <v>95.34</v>
      </c>
      <c r="Y1092" s="25" t="s">
        <v>1303</v>
      </c>
      <c r="Z1092" s="25" t="s">
        <v>1307</v>
      </c>
      <c r="AB1092" s="8">
        <v>-1.1000000000000001</v>
      </c>
      <c r="AC1092" s="8">
        <v>-1</v>
      </c>
      <c r="AE1092" s="8">
        <v>-1</v>
      </c>
      <c r="AN1092" s="9">
        <f t="shared" si="50"/>
        <v>-3.1</v>
      </c>
      <c r="AP1092" s="9">
        <f>I1092-W1092-X1092-AN1092</f>
        <v>3.1</v>
      </c>
      <c r="AQ1092" t="s">
        <v>1316</v>
      </c>
      <c r="AR1092" t="s">
        <v>1603</v>
      </c>
    </row>
    <row r="1093" spans="1:44" x14ac:dyDescent="0.3">
      <c r="A1093" s="11">
        <f t="shared" si="52"/>
        <v>1091</v>
      </c>
      <c r="B1093" s="5" t="s">
        <v>1675</v>
      </c>
      <c r="C1093" t="s">
        <v>893</v>
      </c>
      <c r="D1093" t="s">
        <v>864</v>
      </c>
      <c r="E1093" s="24" t="str">
        <f>IFERROR(VLOOKUP(D1093,Dropdown!A:B,2,0),D1093)</f>
        <v>SVP</v>
      </c>
      <c r="F1093" s="6">
        <v>45954</v>
      </c>
      <c r="G1093" s="6" t="str">
        <f>TEXT(F1093, "MMM-YY")</f>
        <v>Oct-25</v>
      </c>
      <c r="H1093" t="s">
        <v>1601</v>
      </c>
      <c r="I1093" s="25">
        <v>95.34</v>
      </c>
      <c r="J1093" s="4">
        <v>9000</v>
      </c>
      <c r="K1093" t="s">
        <v>1012</v>
      </c>
      <c r="L1093" s="4" t="str">
        <f>VLOOKUP(K1093, 'Items Master'!A:E,5,0)</f>
        <v>HMEL</v>
      </c>
      <c r="M1093" s="4" t="str">
        <f>VLOOKUP(K1093, 'Items Master'!A:D,4,0)</f>
        <v>LLDPE</v>
      </c>
      <c r="N1093" t="s">
        <v>49</v>
      </c>
      <c r="Q1093" s="6">
        <f t="shared" si="57"/>
        <v>45954</v>
      </c>
      <c r="R1093" s="6" t="str">
        <f t="shared" si="56"/>
        <v>Oct-25</v>
      </c>
      <c r="X1093" s="25">
        <v>95.34</v>
      </c>
      <c r="Y1093" s="25" t="s">
        <v>1303</v>
      </c>
      <c r="Z1093" s="25" t="s">
        <v>1307</v>
      </c>
      <c r="AB1093" s="8">
        <v>-1.1000000000000001</v>
      </c>
      <c r="AC1093" s="8">
        <v>-1</v>
      </c>
      <c r="AE1093" s="8">
        <v>-1</v>
      </c>
      <c r="AN1093" s="9">
        <f t="shared" ref="AN1093:AN1156" si="59">SUM(AB1093:AM1093)</f>
        <v>-3.1</v>
      </c>
      <c r="AP1093" s="9">
        <f>I1093-W1093-X1093-AN1093</f>
        <v>3.1</v>
      </c>
      <c r="AQ1093" t="s">
        <v>1316</v>
      </c>
      <c r="AR1093" t="s">
        <v>1603</v>
      </c>
    </row>
    <row r="1094" spans="1:44" x14ac:dyDescent="0.3">
      <c r="A1094" s="11">
        <f t="shared" si="52"/>
        <v>1092</v>
      </c>
      <c r="B1094" s="5" t="s">
        <v>1675</v>
      </c>
      <c r="C1094" t="s">
        <v>894</v>
      </c>
      <c r="D1094" t="s">
        <v>837</v>
      </c>
      <c r="E1094" s="24" t="str">
        <f>IFERROR(VLOOKUP(D1094,Dropdown!A:B,2,0),D1094)</f>
        <v>SYNTHETIC PACKERS LIMITED</v>
      </c>
      <c r="F1094" s="6">
        <v>45955</v>
      </c>
      <c r="G1094" s="6" t="str">
        <f>TEXT(F1094, "MMM-YY")</f>
        <v>Oct-25</v>
      </c>
      <c r="H1094" t="s">
        <v>1487</v>
      </c>
      <c r="I1094" s="25">
        <v>89</v>
      </c>
      <c r="J1094" s="4">
        <v>6000</v>
      </c>
      <c r="K1094" t="s">
        <v>982</v>
      </c>
      <c r="L1094" s="4" t="str">
        <f>VLOOKUP(K1094, 'Items Master'!A:E,5,0)</f>
        <v>SABIC</v>
      </c>
      <c r="M1094" s="4" t="str">
        <f>VLOOKUP(K1094, 'Items Master'!A:D,4,0)</f>
        <v>HDPE</v>
      </c>
      <c r="N1094" t="s">
        <v>24</v>
      </c>
      <c r="Q1094" s="6">
        <f t="shared" si="57"/>
        <v>45955</v>
      </c>
      <c r="R1094" s="6" t="str">
        <f t="shared" si="56"/>
        <v>Oct-25</v>
      </c>
      <c r="W1094" s="25">
        <f t="shared" ref="W1094:W1097" si="60">I1094</f>
        <v>89</v>
      </c>
      <c r="AN1094" s="9">
        <f t="shared" si="59"/>
        <v>0</v>
      </c>
      <c r="AP1094" s="9">
        <f>I1094-W1094-X1094-AN1094</f>
        <v>0</v>
      </c>
      <c r="AQ1094" t="s">
        <v>1316</v>
      </c>
    </row>
    <row r="1095" spans="1:44" x14ac:dyDescent="0.3">
      <c r="A1095" s="11">
        <f t="shared" si="52"/>
        <v>1093</v>
      </c>
      <c r="B1095" s="5" t="s">
        <v>1675</v>
      </c>
      <c r="C1095" t="s">
        <v>894</v>
      </c>
      <c r="D1095" t="s">
        <v>837</v>
      </c>
      <c r="E1095" s="24" t="str">
        <f>IFERROR(VLOOKUP(D1095,Dropdown!A:B,2,0),D1095)</f>
        <v>SYNTHETIC PACKERS LIMITED</v>
      </c>
      <c r="F1095" s="6">
        <v>45955</v>
      </c>
      <c r="G1095" s="6" t="str">
        <f>TEXT(F1095, "MMM-YY")</f>
        <v>Oct-25</v>
      </c>
      <c r="H1095" t="s">
        <v>1487</v>
      </c>
      <c r="I1095" s="25">
        <v>89</v>
      </c>
      <c r="J1095" s="4">
        <v>6000</v>
      </c>
      <c r="K1095" t="s">
        <v>982</v>
      </c>
      <c r="L1095" s="4" t="str">
        <f>VLOOKUP(K1095, 'Items Master'!A:E,5,0)</f>
        <v>SABIC</v>
      </c>
      <c r="M1095" s="4" t="str">
        <f>VLOOKUP(K1095, 'Items Master'!A:D,4,0)</f>
        <v>HDPE</v>
      </c>
      <c r="N1095" t="s">
        <v>24</v>
      </c>
      <c r="Q1095" s="6">
        <f t="shared" si="57"/>
        <v>45955</v>
      </c>
      <c r="R1095" s="6" t="str">
        <f t="shared" si="56"/>
        <v>Oct-25</v>
      </c>
      <c r="W1095" s="25">
        <f t="shared" si="60"/>
        <v>89</v>
      </c>
      <c r="AN1095" s="9">
        <f t="shared" si="59"/>
        <v>0</v>
      </c>
      <c r="AP1095" s="9">
        <f>I1095-W1095-X1095-AN1095</f>
        <v>0</v>
      </c>
      <c r="AQ1095" t="s">
        <v>1316</v>
      </c>
    </row>
    <row r="1096" spans="1:44" x14ac:dyDescent="0.3">
      <c r="A1096" s="11">
        <f t="shared" ref="A1096:A1159" si="61">A1095+1</f>
        <v>1094</v>
      </c>
      <c r="B1096" s="5" t="s">
        <v>1675</v>
      </c>
      <c r="C1096" t="s">
        <v>894</v>
      </c>
      <c r="D1096" t="s">
        <v>837</v>
      </c>
      <c r="E1096" s="24" t="str">
        <f>IFERROR(VLOOKUP(D1096,Dropdown!A:B,2,0),D1096)</f>
        <v>SYNTHETIC PACKERS LIMITED</v>
      </c>
      <c r="F1096" s="6">
        <v>45955</v>
      </c>
      <c r="G1096" s="6" t="str">
        <f>TEXT(F1096, "MMM-YY")</f>
        <v>Oct-25</v>
      </c>
      <c r="H1096" t="s">
        <v>1488</v>
      </c>
      <c r="I1096" s="25">
        <v>89</v>
      </c>
      <c r="J1096" s="4">
        <v>7500</v>
      </c>
      <c r="K1096" t="s">
        <v>982</v>
      </c>
      <c r="L1096" s="4" t="str">
        <f>VLOOKUP(K1096, 'Items Master'!A:E,5,0)</f>
        <v>SABIC</v>
      </c>
      <c r="M1096" s="4" t="str">
        <f>VLOOKUP(K1096, 'Items Master'!A:D,4,0)</f>
        <v>HDPE</v>
      </c>
      <c r="N1096" t="s">
        <v>24</v>
      </c>
      <c r="Q1096" s="6">
        <f t="shared" si="57"/>
        <v>45955</v>
      </c>
      <c r="R1096" s="6" t="str">
        <f t="shared" si="56"/>
        <v>Oct-25</v>
      </c>
      <c r="W1096" s="25">
        <f t="shared" si="60"/>
        <v>89</v>
      </c>
      <c r="AN1096" s="9">
        <f t="shared" si="59"/>
        <v>0</v>
      </c>
      <c r="AP1096" s="9">
        <f>I1096-W1096-X1096-AN1096</f>
        <v>0</v>
      </c>
      <c r="AQ1096" t="s">
        <v>1316</v>
      </c>
    </row>
    <row r="1097" spans="1:44" x14ac:dyDescent="0.3">
      <c r="A1097" s="11">
        <f t="shared" si="61"/>
        <v>1095</v>
      </c>
      <c r="B1097" s="5" t="s">
        <v>1675</v>
      </c>
      <c r="C1097" t="s">
        <v>894</v>
      </c>
      <c r="D1097" t="s">
        <v>837</v>
      </c>
      <c r="E1097" s="24" t="str">
        <f>IFERROR(VLOOKUP(D1097,Dropdown!A:B,2,0),D1097)</f>
        <v>SYNTHETIC PACKERS LIMITED</v>
      </c>
      <c r="F1097" s="6">
        <v>45955</v>
      </c>
      <c r="G1097" s="6" t="str">
        <f>TEXT(F1097, "MMM-YY")</f>
        <v>Oct-25</v>
      </c>
      <c r="H1097" t="s">
        <v>1488</v>
      </c>
      <c r="I1097" s="25">
        <v>89</v>
      </c>
      <c r="J1097" s="4">
        <v>6000</v>
      </c>
      <c r="K1097" t="s">
        <v>982</v>
      </c>
      <c r="L1097" s="4" t="str">
        <f>VLOOKUP(K1097, 'Items Master'!A:E,5,0)</f>
        <v>SABIC</v>
      </c>
      <c r="M1097" s="4" t="str">
        <f>VLOOKUP(K1097, 'Items Master'!A:D,4,0)</f>
        <v>HDPE</v>
      </c>
      <c r="N1097" t="s">
        <v>24</v>
      </c>
      <c r="Q1097" s="6">
        <f t="shared" si="57"/>
        <v>45955</v>
      </c>
      <c r="R1097" s="6" t="str">
        <f t="shared" si="56"/>
        <v>Oct-25</v>
      </c>
      <c r="W1097" s="25">
        <f t="shared" si="60"/>
        <v>89</v>
      </c>
      <c r="AN1097" s="9">
        <f t="shared" si="59"/>
        <v>0</v>
      </c>
      <c r="AP1097" s="9">
        <f>I1097-W1097-X1097-AN1097</f>
        <v>0</v>
      </c>
      <c r="AQ1097" t="s">
        <v>1316</v>
      </c>
    </row>
    <row r="1098" spans="1:44" x14ac:dyDescent="0.3">
      <c r="A1098" s="11">
        <f t="shared" si="61"/>
        <v>1096</v>
      </c>
      <c r="B1098" s="5" t="s">
        <v>1675</v>
      </c>
      <c r="C1098" t="s">
        <v>893</v>
      </c>
      <c r="D1098" t="s">
        <v>824</v>
      </c>
      <c r="E1098" s="24" t="str">
        <f>IFERROR(VLOOKUP(D1098,Dropdown!A:B,2,0),D1098)</f>
        <v>Paragon</v>
      </c>
      <c r="F1098" s="6">
        <v>45955</v>
      </c>
      <c r="G1098" s="6" t="str">
        <f>TEXT(F1098, "MMM-YY")</f>
        <v>Oct-25</v>
      </c>
      <c r="H1098" t="s">
        <v>1489</v>
      </c>
      <c r="I1098" s="25">
        <v>96.4</v>
      </c>
      <c r="J1098" s="4">
        <v>2000</v>
      </c>
      <c r="K1098" t="s">
        <v>941</v>
      </c>
      <c r="L1098" s="4" t="str">
        <f>VLOOKUP(K1098, 'Items Master'!A:E,5,0)</f>
        <v>RIL</v>
      </c>
      <c r="M1098" s="4" t="str">
        <f>VLOOKUP(K1098, 'Items Master'!A:D,4,0)</f>
        <v>LLDPE</v>
      </c>
      <c r="N1098" t="s">
        <v>49</v>
      </c>
      <c r="Q1098" s="6">
        <f t="shared" si="57"/>
        <v>45955</v>
      </c>
      <c r="R1098" s="6" t="str">
        <f t="shared" si="56"/>
        <v>Oct-25</v>
      </c>
      <c r="AN1098" s="9">
        <f t="shared" si="59"/>
        <v>0</v>
      </c>
      <c r="AP1098" s="9">
        <f>I1098-W1098-X1098-AN1098</f>
        <v>96.4</v>
      </c>
    </row>
    <row r="1099" spans="1:44" x14ac:dyDescent="0.3">
      <c r="A1099" s="11">
        <f t="shared" si="61"/>
        <v>1097</v>
      </c>
      <c r="B1099" s="5" t="s">
        <v>1675</v>
      </c>
      <c r="C1099" t="s">
        <v>893</v>
      </c>
      <c r="D1099" t="s">
        <v>48</v>
      </c>
      <c r="E1099" s="24" t="str">
        <f>IFERROR(VLOOKUP(D1099,Dropdown!A:B,2,0),D1099)</f>
        <v>CVPL</v>
      </c>
      <c r="F1099" s="6">
        <v>45955</v>
      </c>
      <c r="G1099" s="6" t="str">
        <f>TEXT(F1099, "MMM-YY")</f>
        <v>Oct-25</v>
      </c>
      <c r="H1099" t="s">
        <v>1490</v>
      </c>
      <c r="I1099" s="25">
        <v>90.8</v>
      </c>
      <c r="J1099" s="4">
        <v>2750</v>
      </c>
      <c r="K1099" t="s">
        <v>899</v>
      </c>
      <c r="L1099" s="4" t="str">
        <f>VLOOKUP(K1099, 'Items Master'!A:E,5,0)</f>
        <v>MRPL</v>
      </c>
      <c r="M1099" s="4" t="str">
        <f>VLOOKUP(K1099, 'Items Master'!A:D,4,0)</f>
        <v>PP</v>
      </c>
      <c r="N1099" t="s">
        <v>49</v>
      </c>
      <c r="Q1099" s="6">
        <f t="shared" si="57"/>
        <v>45955</v>
      </c>
      <c r="R1099" s="6" t="str">
        <f t="shared" si="56"/>
        <v>Oct-25</v>
      </c>
      <c r="AN1099" s="9">
        <f t="shared" si="59"/>
        <v>0</v>
      </c>
      <c r="AP1099" s="9">
        <f>I1099-W1099-X1099-AN1099</f>
        <v>90.8</v>
      </c>
    </row>
    <row r="1100" spans="1:44" x14ac:dyDescent="0.3">
      <c r="A1100" s="11">
        <f t="shared" si="61"/>
        <v>1098</v>
      </c>
      <c r="B1100" s="5" t="s">
        <v>1675</v>
      </c>
      <c r="C1100" t="s">
        <v>893</v>
      </c>
      <c r="D1100" t="s">
        <v>866</v>
      </c>
      <c r="E1100" s="24" t="str">
        <f>IFERROR(VLOOKUP(D1100,Dropdown!A:B,2,0),D1100)</f>
        <v>KLENE PAKS LIMITED</v>
      </c>
      <c r="F1100" s="6">
        <v>45955</v>
      </c>
      <c r="G1100" s="6" t="str">
        <f>TEXT(F1100, "MMM-YY")</f>
        <v>Oct-25</v>
      </c>
      <c r="H1100" t="s">
        <v>1491</v>
      </c>
      <c r="I1100" s="25">
        <v>84</v>
      </c>
      <c r="J1100" s="4">
        <v>12000</v>
      </c>
      <c r="K1100" t="s">
        <v>899</v>
      </c>
      <c r="L1100" s="4" t="str">
        <f>VLOOKUP(K1100, 'Items Master'!A:E,5,0)</f>
        <v>MRPL</v>
      </c>
      <c r="M1100" s="4" t="str">
        <f>VLOOKUP(K1100, 'Items Master'!A:D,4,0)</f>
        <v>PP</v>
      </c>
      <c r="N1100" t="s">
        <v>24</v>
      </c>
      <c r="Q1100" s="6">
        <f t="shared" si="57"/>
        <v>45955</v>
      </c>
      <c r="R1100" s="6" t="str">
        <f t="shared" si="56"/>
        <v>Oct-25</v>
      </c>
      <c r="W1100" s="25">
        <f>I1100</f>
        <v>84</v>
      </c>
      <c r="AN1100" s="9">
        <f t="shared" si="59"/>
        <v>0</v>
      </c>
      <c r="AP1100" s="9">
        <f>I1100-W1100-X1100-AN1100</f>
        <v>0</v>
      </c>
      <c r="AQ1100" t="s">
        <v>1316</v>
      </c>
    </row>
    <row r="1101" spans="1:44" x14ac:dyDescent="0.3">
      <c r="A1101" s="11">
        <f t="shared" si="61"/>
        <v>1099</v>
      </c>
      <c r="B1101" s="5" t="s">
        <v>1675</v>
      </c>
      <c r="C1101" t="s">
        <v>893</v>
      </c>
      <c r="D1101" t="s">
        <v>836</v>
      </c>
      <c r="E1101" s="24" t="str">
        <f>IFERROR(VLOOKUP(D1101,Dropdown!A:B,2,0),D1101)</f>
        <v>Intime</v>
      </c>
      <c r="F1101" s="6">
        <v>45955</v>
      </c>
      <c r="G1101" s="6" t="str">
        <f>TEXT(F1101, "MMM-YY")</f>
        <v>Oct-25</v>
      </c>
      <c r="H1101" t="s">
        <v>1492</v>
      </c>
      <c r="I1101" s="25">
        <v>95.433000000000007</v>
      </c>
      <c r="J1101" s="4">
        <v>30000</v>
      </c>
      <c r="K1101" t="s">
        <v>911</v>
      </c>
      <c r="L1101" s="4" t="str">
        <f>VLOOKUP(K1101, 'Items Master'!A:E,5,0)</f>
        <v>BCPL</v>
      </c>
      <c r="M1101" s="4" t="str">
        <f>VLOOKUP(K1101, 'Items Master'!A:D,4,0)</f>
        <v>LLDPE</v>
      </c>
      <c r="N1101" t="s">
        <v>49</v>
      </c>
      <c r="Q1101" s="6">
        <f t="shared" si="57"/>
        <v>45955</v>
      </c>
      <c r="R1101" s="6" t="str">
        <f t="shared" si="56"/>
        <v>Oct-25</v>
      </c>
      <c r="AN1101" s="9">
        <f t="shared" si="59"/>
        <v>0</v>
      </c>
      <c r="AP1101" s="9">
        <f>I1101-W1101-X1101-AN1101</f>
        <v>95.433000000000007</v>
      </c>
    </row>
    <row r="1102" spans="1:44" x14ac:dyDescent="0.3">
      <c r="A1102" s="11">
        <f t="shared" si="61"/>
        <v>1100</v>
      </c>
      <c r="B1102" s="5" t="s">
        <v>1675</v>
      </c>
      <c r="C1102" t="s">
        <v>893</v>
      </c>
      <c r="D1102" t="s">
        <v>824</v>
      </c>
      <c r="E1102" s="24" t="str">
        <f>IFERROR(VLOOKUP(D1102,Dropdown!A:B,2,0),D1102)</f>
        <v>Paragon</v>
      </c>
      <c r="F1102" s="6">
        <v>45955</v>
      </c>
      <c r="G1102" s="6" t="str">
        <f>TEXT(F1102, "MMM-YY")</f>
        <v>Oct-25</v>
      </c>
      <c r="H1102" t="s">
        <v>1493</v>
      </c>
      <c r="I1102" s="25">
        <v>114.03</v>
      </c>
      <c r="J1102" s="4">
        <v>1200</v>
      </c>
      <c r="K1102" t="s">
        <v>954</v>
      </c>
      <c r="L1102" s="4" t="str">
        <f>VLOOKUP(K1102, 'Items Master'!A:E,5,0)</f>
        <v>RIL</v>
      </c>
      <c r="M1102" s="4" t="str">
        <f>VLOOKUP(K1102, 'Items Master'!A:D,4,0)</f>
        <v>LDPE</v>
      </c>
      <c r="N1102" t="s">
        <v>49</v>
      </c>
      <c r="Q1102" s="6">
        <f t="shared" si="57"/>
        <v>45955</v>
      </c>
      <c r="R1102" s="6" t="str">
        <f t="shared" si="56"/>
        <v>Oct-25</v>
      </c>
      <c r="AN1102" s="9">
        <f t="shared" si="59"/>
        <v>0</v>
      </c>
      <c r="AP1102" s="9">
        <f>I1102-W1102-X1102-AN1102</f>
        <v>114.03</v>
      </c>
    </row>
    <row r="1103" spans="1:44" x14ac:dyDescent="0.3">
      <c r="A1103" s="11">
        <f t="shared" si="61"/>
        <v>1101</v>
      </c>
      <c r="B1103" s="5" t="s">
        <v>1675</v>
      </c>
      <c r="C1103" t="s">
        <v>893</v>
      </c>
      <c r="D1103" t="s">
        <v>857</v>
      </c>
      <c r="E1103" s="24" t="str">
        <f>IFERROR(VLOOKUP(D1103,Dropdown!A:B,2,0),D1103)</f>
        <v>Purav</v>
      </c>
      <c r="F1103" s="6">
        <v>45955</v>
      </c>
      <c r="G1103" s="6" t="str">
        <f>TEXT(F1103, "MMM-YY")</f>
        <v>Oct-25</v>
      </c>
      <c r="H1103" t="s">
        <v>1495</v>
      </c>
      <c r="I1103" s="25">
        <v>95.95</v>
      </c>
      <c r="J1103" s="4">
        <v>5000</v>
      </c>
      <c r="K1103" t="s">
        <v>896</v>
      </c>
      <c r="L1103" s="4" t="str">
        <f>VLOOKUP(K1103, 'Items Master'!A:E,5,0)</f>
        <v>OPAL</v>
      </c>
      <c r="M1103" s="4" t="str">
        <f>VLOOKUP(K1103, 'Items Master'!A:D,4,0)</f>
        <v>HDPE</v>
      </c>
      <c r="N1103" t="s">
        <v>49</v>
      </c>
      <c r="Q1103" s="6">
        <f t="shared" si="57"/>
        <v>45955</v>
      </c>
      <c r="R1103" s="6" t="str">
        <f t="shared" si="56"/>
        <v>Oct-25</v>
      </c>
      <c r="X1103" s="25">
        <v>96.75</v>
      </c>
      <c r="Y1103" s="25" t="s">
        <v>1303</v>
      </c>
      <c r="Z1103" s="25" t="s">
        <v>1306</v>
      </c>
      <c r="AB1103" s="8">
        <v>-0.9</v>
      </c>
      <c r="AH1103" s="8">
        <v>0.1</v>
      </c>
      <c r="AN1103" s="9">
        <f t="shared" si="59"/>
        <v>-0.8</v>
      </c>
      <c r="AP1103" s="9">
        <f>I1103-W1103-X1103-AN1103</f>
        <v>2.886579864025407E-15</v>
      </c>
      <c r="AQ1103" t="s">
        <v>1316</v>
      </c>
    </row>
    <row r="1104" spans="1:44" x14ac:dyDescent="0.3">
      <c r="A1104" s="11">
        <f t="shared" si="61"/>
        <v>1102</v>
      </c>
      <c r="B1104" s="5" t="s">
        <v>1675</v>
      </c>
      <c r="C1104" t="s">
        <v>893</v>
      </c>
      <c r="D1104" t="s">
        <v>857</v>
      </c>
      <c r="E1104" s="24" t="str">
        <f>IFERROR(VLOOKUP(D1104,Dropdown!A:B,2,0),D1104)</f>
        <v>Purav</v>
      </c>
      <c r="F1104" s="6">
        <v>45955</v>
      </c>
      <c r="G1104" s="6" t="str">
        <f>TEXT(F1104, "MMM-YY")</f>
        <v>Oct-25</v>
      </c>
      <c r="H1104" t="s">
        <v>1581</v>
      </c>
      <c r="I1104" s="25">
        <v>95</v>
      </c>
      <c r="J1104" s="4">
        <v>8000</v>
      </c>
      <c r="K1104" t="s">
        <v>17</v>
      </c>
      <c r="L1104" s="4" t="str">
        <f>VLOOKUP(K1104, 'Items Master'!A:E,5,0)</f>
        <v>OPAL</v>
      </c>
      <c r="M1104" s="4" t="str">
        <f>VLOOKUP(K1104, 'Items Master'!A:D,4,0)</f>
        <v>LLDPE</v>
      </c>
      <c r="N1104" t="s">
        <v>49</v>
      </c>
      <c r="Q1104" s="6">
        <f t="shared" si="57"/>
        <v>45955</v>
      </c>
      <c r="R1104" s="6" t="str">
        <f t="shared" si="56"/>
        <v>Oct-25</v>
      </c>
      <c r="S1104" t="s">
        <v>21</v>
      </c>
      <c r="U1104" t="s">
        <v>1605</v>
      </c>
      <c r="X1104" s="25">
        <v>95.8</v>
      </c>
      <c r="Y1104" s="25" t="s">
        <v>1303</v>
      </c>
      <c r="Z1104" s="25" t="s">
        <v>1306</v>
      </c>
      <c r="AB1104" s="8">
        <v>-0.9</v>
      </c>
      <c r="AI1104" s="8">
        <v>0.1</v>
      </c>
      <c r="AN1104" s="9">
        <f t="shared" si="59"/>
        <v>-0.8</v>
      </c>
      <c r="AP1104" s="9">
        <f>I1104-W1104-X1104-AN1104</f>
        <v>2.886579864025407E-15</v>
      </c>
      <c r="AQ1104" t="s">
        <v>1316</v>
      </c>
    </row>
    <row r="1105" spans="1:44" x14ac:dyDescent="0.3">
      <c r="A1105" s="11">
        <f t="shared" si="61"/>
        <v>1103</v>
      </c>
      <c r="B1105" s="5" t="s">
        <v>1675</v>
      </c>
      <c r="C1105" t="s">
        <v>894</v>
      </c>
      <c r="D1105" t="s">
        <v>857</v>
      </c>
      <c r="E1105" s="24" t="str">
        <f>IFERROR(VLOOKUP(D1105,Dropdown!A:B,2,0),D1105)</f>
        <v>Purav</v>
      </c>
      <c r="F1105" s="6">
        <v>45957</v>
      </c>
      <c r="G1105" s="6" t="str">
        <f>TEXT(F1105, "MMM-YY")</f>
        <v>Oct-25</v>
      </c>
      <c r="H1105" t="s">
        <v>1494</v>
      </c>
      <c r="I1105" s="25">
        <v>95.5</v>
      </c>
      <c r="J1105" s="4">
        <v>12000</v>
      </c>
      <c r="K1105" t="s">
        <v>17</v>
      </c>
      <c r="L1105" s="4" t="str">
        <f>VLOOKUP(K1105, 'Items Master'!A:E,5,0)</f>
        <v>OPAL</v>
      </c>
      <c r="M1105" s="4" t="str">
        <f>VLOOKUP(K1105, 'Items Master'!A:D,4,0)</f>
        <v>LLDPE</v>
      </c>
      <c r="N1105" t="s">
        <v>49</v>
      </c>
      <c r="Q1105" s="6">
        <f t="shared" si="57"/>
        <v>45957</v>
      </c>
      <c r="R1105" s="6" t="str">
        <f t="shared" si="56"/>
        <v>Oct-25</v>
      </c>
      <c r="S1105" t="s">
        <v>21</v>
      </c>
      <c r="U1105" t="s">
        <v>1320</v>
      </c>
      <c r="X1105" s="25">
        <v>96.3</v>
      </c>
      <c r="Y1105" s="25" t="s">
        <v>1304</v>
      </c>
      <c r="Z1105" s="25" t="s">
        <v>1306</v>
      </c>
      <c r="AB1105" s="8">
        <v>-0.9</v>
      </c>
      <c r="AI1105" s="8">
        <v>0.1</v>
      </c>
      <c r="AN1105" s="9">
        <f t="shared" si="59"/>
        <v>-0.8</v>
      </c>
      <c r="AP1105" s="9">
        <f>I1105-W1105-X1105-AN1105</f>
        <v>2.886579864025407E-15</v>
      </c>
      <c r="AQ1105" t="s">
        <v>1316</v>
      </c>
    </row>
    <row r="1106" spans="1:44" x14ac:dyDescent="0.3">
      <c r="A1106" s="11">
        <f t="shared" si="61"/>
        <v>1104</v>
      </c>
      <c r="B1106" s="5" t="s">
        <v>1675</v>
      </c>
      <c r="C1106" t="s">
        <v>893</v>
      </c>
      <c r="D1106" t="s">
        <v>48</v>
      </c>
      <c r="E1106" s="24" t="str">
        <f>IFERROR(VLOOKUP(D1106,Dropdown!A:B,2,0),D1106)</f>
        <v>CVPL</v>
      </c>
      <c r="F1106" s="6">
        <v>45957</v>
      </c>
      <c r="G1106" s="6" t="str">
        <f>TEXT(F1106, "MMM-YY")</f>
        <v>Oct-25</v>
      </c>
      <c r="H1106" t="s">
        <v>1496</v>
      </c>
      <c r="I1106" s="25">
        <v>90.25</v>
      </c>
      <c r="J1106" s="4">
        <v>5000</v>
      </c>
      <c r="K1106" t="s">
        <v>1008</v>
      </c>
      <c r="L1106" s="4" t="str">
        <f>VLOOKUP(K1106, 'Items Master'!A:E,5,0)</f>
        <v>RIL</v>
      </c>
      <c r="M1106" s="4" t="str">
        <f>VLOOKUP(K1106, 'Items Master'!A:D,4,0)</f>
        <v>PP</v>
      </c>
      <c r="N1106" t="s">
        <v>24</v>
      </c>
      <c r="Q1106" s="6">
        <f t="shared" si="57"/>
        <v>45957</v>
      </c>
      <c r="R1106" s="6" t="str">
        <f t="shared" si="56"/>
        <v>Oct-25</v>
      </c>
      <c r="W1106" s="25">
        <f t="shared" ref="W1106:W1108" si="62">I1106</f>
        <v>90.25</v>
      </c>
      <c r="AN1106" s="9">
        <f t="shared" si="59"/>
        <v>0</v>
      </c>
      <c r="AP1106" s="9">
        <f>I1106-W1106-X1106-AN1106</f>
        <v>0</v>
      </c>
      <c r="AQ1106" t="s">
        <v>1316</v>
      </c>
    </row>
    <row r="1107" spans="1:44" x14ac:dyDescent="0.3">
      <c r="A1107" s="11">
        <f t="shared" si="61"/>
        <v>1105</v>
      </c>
      <c r="B1107" s="5" t="s">
        <v>1675</v>
      </c>
      <c r="C1107" t="s">
        <v>893</v>
      </c>
      <c r="D1107" t="s">
        <v>889</v>
      </c>
      <c r="E1107" s="24" t="str">
        <f>IFERROR(VLOOKUP(D1107,Dropdown!A:B,2,0),D1107)</f>
        <v>MAYUR PLASTIC</v>
      </c>
      <c r="F1107" s="6">
        <v>45957</v>
      </c>
      <c r="G1107" s="6" t="str">
        <f>TEXT(F1107, "MMM-YY")</f>
        <v>Oct-25</v>
      </c>
      <c r="H1107" t="s">
        <v>1497</v>
      </c>
      <c r="I1107" s="25">
        <v>132</v>
      </c>
      <c r="J1107" s="4">
        <v>400</v>
      </c>
      <c r="K1107" t="s">
        <v>1108</v>
      </c>
      <c r="L1107" s="4" t="str">
        <f>VLOOKUP(K1107, 'Items Master'!A:E,5,0)</f>
        <v>SIPCHEM</v>
      </c>
      <c r="M1107" s="4" t="str">
        <f>VLOOKUP(K1107, 'Items Master'!A:D,4,0)</f>
        <v>PP ICP</v>
      </c>
      <c r="N1107" t="s">
        <v>24</v>
      </c>
      <c r="Q1107" s="6">
        <f t="shared" si="57"/>
        <v>45957</v>
      </c>
      <c r="R1107" s="6" t="str">
        <f t="shared" si="56"/>
        <v>Oct-25</v>
      </c>
      <c r="W1107" s="25">
        <f t="shared" si="62"/>
        <v>132</v>
      </c>
      <c r="AN1107" s="9">
        <f t="shared" si="59"/>
        <v>0</v>
      </c>
      <c r="AP1107" s="9">
        <f>I1107-W1107-X1107-AN1107</f>
        <v>0</v>
      </c>
      <c r="AQ1107" t="s">
        <v>1316</v>
      </c>
    </row>
    <row r="1108" spans="1:44" x14ac:dyDescent="0.3">
      <c r="A1108" s="11">
        <f t="shared" si="61"/>
        <v>1106</v>
      </c>
      <c r="B1108" s="5" t="s">
        <v>1675</v>
      </c>
      <c r="C1108" t="s">
        <v>893</v>
      </c>
      <c r="D1108" t="s">
        <v>890</v>
      </c>
      <c r="E1108" s="24" t="str">
        <f>IFERROR(VLOOKUP(D1108,Dropdown!A:B,2,0),D1108)</f>
        <v>MADHU PLASTICS (P)LTD</v>
      </c>
      <c r="F1108" s="6">
        <v>45957</v>
      </c>
      <c r="G1108" s="6" t="str">
        <f>TEXT(F1108, "MMM-YY")</f>
        <v>Oct-25</v>
      </c>
      <c r="H1108" t="s">
        <v>1498</v>
      </c>
      <c r="I1108" s="25">
        <v>87.5</v>
      </c>
      <c r="J1108" s="4">
        <v>2200</v>
      </c>
      <c r="K1108" t="s">
        <v>1016</v>
      </c>
      <c r="L1108" s="4" t="str">
        <f>VLOOKUP(K1108, 'Items Master'!A:E,5,0)</f>
        <v>WANKAI</v>
      </c>
      <c r="M1108" s="4" t="str">
        <f>VLOOKUP(K1108, 'Items Master'!A:D,4,0)</f>
        <v>PET</v>
      </c>
      <c r="N1108" t="s">
        <v>24</v>
      </c>
      <c r="Q1108" s="6">
        <f t="shared" si="57"/>
        <v>45957</v>
      </c>
      <c r="R1108" s="6" t="str">
        <f t="shared" si="56"/>
        <v>Oct-25</v>
      </c>
      <c r="W1108" s="25">
        <f t="shared" si="62"/>
        <v>87.5</v>
      </c>
      <c r="AN1108" s="9">
        <f t="shared" si="59"/>
        <v>0</v>
      </c>
      <c r="AP1108" s="9">
        <f>I1108-W1108-X1108-AN1108</f>
        <v>0</v>
      </c>
      <c r="AQ1108" t="s">
        <v>1316</v>
      </c>
    </row>
    <row r="1109" spans="1:44" x14ac:dyDescent="0.3">
      <c r="A1109" s="11">
        <f t="shared" si="61"/>
        <v>1107</v>
      </c>
      <c r="B1109" s="5" t="s">
        <v>1675</v>
      </c>
      <c r="C1109" t="s">
        <v>893</v>
      </c>
      <c r="D1109" t="s">
        <v>48</v>
      </c>
      <c r="E1109" s="24" t="str">
        <f>IFERROR(VLOOKUP(D1109,Dropdown!A:B,2,0),D1109)</f>
        <v>CVPL</v>
      </c>
      <c r="F1109" s="6">
        <v>45957</v>
      </c>
      <c r="G1109" s="6" t="str">
        <f>TEXT(F1109, "MMM-YY")</f>
        <v>Oct-25</v>
      </c>
      <c r="H1109" t="s">
        <v>1499</v>
      </c>
      <c r="I1109" s="25">
        <v>96.99</v>
      </c>
      <c r="J1109" s="4">
        <v>2000</v>
      </c>
      <c r="K1109" t="s">
        <v>903</v>
      </c>
      <c r="L1109" s="4" t="str">
        <f>VLOOKUP(K1109, 'Items Master'!A:E,5,0)</f>
        <v>GAIL</v>
      </c>
      <c r="M1109" s="4" t="str">
        <f>VLOOKUP(K1109, 'Items Master'!A:D,4,0)</f>
        <v>LLDPE</v>
      </c>
      <c r="N1109" t="s">
        <v>49</v>
      </c>
      <c r="Q1109" s="6">
        <f t="shared" si="57"/>
        <v>45957</v>
      </c>
      <c r="R1109" s="6" t="str">
        <f t="shared" si="56"/>
        <v>Oct-25</v>
      </c>
      <c r="AN1109" s="9">
        <f t="shared" si="59"/>
        <v>0</v>
      </c>
      <c r="AP1109" s="9">
        <f>I1109-W1109-X1109-AN1109</f>
        <v>96.99</v>
      </c>
    </row>
    <row r="1110" spans="1:44" x14ac:dyDescent="0.3">
      <c r="A1110" s="11">
        <f t="shared" si="61"/>
        <v>1108</v>
      </c>
      <c r="B1110" s="5" t="s">
        <v>1675</v>
      </c>
      <c r="C1110" t="s">
        <v>893</v>
      </c>
      <c r="D1110" t="s">
        <v>48</v>
      </c>
      <c r="E1110" s="24" t="str">
        <f>IFERROR(VLOOKUP(D1110,Dropdown!A:B,2,0),D1110)</f>
        <v>CVPL</v>
      </c>
      <c r="F1110" s="6">
        <v>45957</v>
      </c>
      <c r="G1110" s="6" t="str">
        <f>TEXT(F1110, "MMM-YY")</f>
        <v>Oct-25</v>
      </c>
      <c r="H1110" t="s">
        <v>1500</v>
      </c>
      <c r="I1110" s="25">
        <v>100.5</v>
      </c>
      <c r="J1110" s="4">
        <v>1000</v>
      </c>
      <c r="K1110" t="s">
        <v>1544</v>
      </c>
      <c r="L1110" s="4" t="str">
        <f>VLOOKUP(K1110, 'Items Master'!A:E,5,0)</f>
        <v>IOCL</v>
      </c>
      <c r="M1110" s="4" t="str">
        <f>VLOOKUP(K1110, 'Items Master'!A:D,4,0)</f>
        <v>LLDPE</v>
      </c>
      <c r="N1110" t="s">
        <v>24</v>
      </c>
      <c r="Q1110" s="6">
        <f t="shared" si="57"/>
        <v>45957</v>
      </c>
      <c r="R1110" s="6" t="str">
        <f t="shared" si="56"/>
        <v>Oct-25</v>
      </c>
      <c r="W1110" s="25">
        <f>I1110</f>
        <v>100.5</v>
      </c>
      <c r="AN1110" s="9">
        <f t="shared" si="59"/>
        <v>0</v>
      </c>
      <c r="AP1110" s="9">
        <f>I1110-W1110-X1110-AN1110</f>
        <v>0</v>
      </c>
      <c r="AQ1110" t="s">
        <v>1316</v>
      </c>
    </row>
    <row r="1111" spans="1:44" x14ac:dyDescent="0.3">
      <c r="A1111" s="11">
        <f t="shared" si="61"/>
        <v>1109</v>
      </c>
      <c r="B1111" s="5" t="s">
        <v>1675</v>
      </c>
      <c r="C1111" t="s">
        <v>893</v>
      </c>
      <c r="D1111" t="s">
        <v>864</v>
      </c>
      <c r="E1111" s="24" t="str">
        <f>IFERROR(VLOOKUP(D1111,Dropdown!A:B,2,0),D1111)</f>
        <v>SVP</v>
      </c>
      <c r="F1111" s="6">
        <v>45957</v>
      </c>
      <c r="G1111" s="6" t="str">
        <f>TEXT(F1111, "MMM-YY")</f>
        <v>Oct-25</v>
      </c>
      <c r="H1111" t="s">
        <v>1602</v>
      </c>
      <c r="I1111" s="25">
        <v>96.4</v>
      </c>
      <c r="J1111" s="4">
        <v>10000</v>
      </c>
      <c r="K1111" t="s">
        <v>1012</v>
      </c>
      <c r="L1111" s="4" t="str">
        <f>VLOOKUP(K1111, 'Items Master'!A:E,5,0)</f>
        <v>HMEL</v>
      </c>
      <c r="M1111" s="4" t="str">
        <f>VLOOKUP(K1111, 'Items Master'!A:D,4,0)</f>
        <v>LLDPE</v>
      </c>
      <c r="N1111" t="s">
        <v>49</v>
      </c>
      <c r="Q1111" s="6">
        <f t="shared" si="57"/>
        <v>45957</v>
      </c>
      <c r="R1111" s="6" t="str">
        <f t="shared" si="56"/>
        <v>Oct-25</v>
      </c>
      <c r="X1111" s="25">
        <v>96.4</v>
      </c>
      <c r="Y1111" s="25" t="s">
        <v>1303</v>
      </c>
      <c r="Z1111" s="25" t="s">
        <v>1305</v>
      </c>
      <c r="AB1111" s="8">
        <v>-1.1000000000000001</v>
      </c>
      <c r="AC1111" s="8">
        <v>-1</v>
      </c>
      <c r="AE1111" s="8">
        <v>-1</v>
      </c>
      <c r="AN1111" s="9">
        <f t="shared" si="59"/>
        <v>-3.1</v>
      </c>
      <c r="AP1111" s="9">
        <f>I1111-W1111-X1111-AN1111</f>
        <v>3.1</v>
      </c>
      <c r="AQ1111" t="s">
        <v>1316</v>
      </c>
      <c r="AR1111" t="s">
        <v>1603</v>
      </c>
    </row>
    <row r="1112" spans="1:44" x14ac:dyDescent="0.3">
      <c r="A1112" s="11">
        <f t="shared" si="61"/>
        <v>1110</v>
      </c>
      <c r="B1112" s="5" t="s">
        <v>1675</v>
      </c>
      <c r="C1112" t="s">
        <v>893</v>
      </c>
      <c r="D1112" t="s">
        <v>824</v>
      </c>
      <c r="E1112" s="24" t="str">
        <f>IFERROR(VLOOKUP(D1112,Dropdown!A:B,2,0),D1112)</f>
        <v>Paragon</v>
      </c>
      <c r="F1112" s="6">
        <v>45957</v>
      </c>
      <c r="G1112" s="6" t="str">
        <f>TEXT(F1112, "MMM-YY")</f>
        <v>Oct-25</v>
      </c>
      <c r="H1112" t="s">
        <v>1501</v>
      </c>
      <c r="I1112" s="25">
        <v>99.77</v>
      </c>
      <c r="J1112" s="4">
        <v>500</v>
      </c>
      <c r="K1112" t="s">
        <v>948</v>
      </c>
      <c r="L1112" s="4" t="str">
        <f>VLOOKUP(K1112, 'Items Master'!A:E,5,0)</f>
        <v>RIL</v>
      </c>
      <c r="M1112" s="4" t="str">
        <f>VLOOKUP(K1112, 'Items Master'!A:D,4,0)</f>
        <v>PP RCP</v>
      </c>
      <c r="N1112" t="s">
        <v>49</v>
      </c>
      <c r="Q1112" s="6">
        <f t="shared" si="57"/>
        <v>45957</v>
      </c>
      <c r="R1112" s="6" t="str">
        <f t="shared" si="56"/>
        <v>Oct-25</v>
      </c>
      <c r="AN1112" s="9">
        <f t="shared" si="59"/>
        <v>0</v>
      </c>
      <c r="AP1112" s="9">
        <f>I1112-W1112-X1112-AN1112</f>
        <v>99.77</v>
      </c>
    </row>
    <row r="1113" spans="1:44" x14ac:dyDescent="0.3">
      <c r="A1113" s="11">
        <f t="shared" si="61"/>
        <v>1111</v>
      </c>
      <c r="B1113" s="5" t="s">
        <v>1675</v>
      </c>
      <c r="C1113" t="s">
        <v>893</v>
      </c>
      <c r="D1113" t="s">
        <v>48</v>
      </c>
      <c r="E1113" s="24" t="str">
        <f>IFERROR(VLOOKUP(D1113,Dropdown!A:B,2,0),D1113)</f>
        <v>CVPL</v>
      </c>
      <c r="F1113" s="6">
        <v>45957</v>
      </c>
      <c r="G1113" s="6" t="str">
        <f>TEXT(F1113, "MMM-YY")</f>
        <v>Oct-25</v>
      </c>
      <c r="H1113" t="s">
        <v>1502</v>
      </c>
      <c r="I1113" s="25">
        <v>90.8</v>
      </c>
      <c r="J1113" s="4">
        <v>2500</v>
      </c>
      <c r="K1113" t="s">
        <v>899</v>
      </c>
      <c r="L1113" s="4" t="str">
        <f>VLOOKUP(K1113, 'Items Master'!A:E,5,0)</f>
        <v>MRPL</v>
      </c>
      <c r="M1113" s="4" t="str">
        <f>VLOOKUP(K1113, 'Items Master'!A:D,4,0)</f>
        <v>PP</v>
      </c>
      <c r="N1113" t="s">
        <v>49</v>
      </c>
      <c r="Q1113" s="6">
        <f t="shared" si="57"/>
        <v>45957</v>
      </c>
      <c r="R1113" s="6" t="str">
        <f t="shared" si="56"/>
        <v>Oct-25</v>
      </c>
      <c r="AN1113" s="9">
        <f t="shared" si="59"/>
        <v>0</v>
      </c>
      <c r="AP1113" s="9">
        <f>I1113-W1113-X1113-AN1113</f>
        <v>90.8</v>
      </c>
    </row>
    <row r="1114" spans="1:44" x14ac:dyDescent="0.3">
      <c r="A1114" s="11">
        <f t="shared" si="61"/>
        <v>1112</v>
      </c>
      <c r="B1114" s="5" t="s">
        <v>1675</v>
      </c>
      <c r="C1114" t="s">
        <v>894</v>
      </c>
      <c r="D1114" t="s">
        <v>874</v>
      </c>
      <c r="E1114" s="24" t="str">
        <f>IFERROR(VLOOKUP(D1114,Dropdown!A:B,2,0),D1114)</f>
        <v>RAJATH CONSUMABLES</v>
      </c>
      <c r="F1114" s="6">
        <v>45958</v>
      </c>
      <c r="G1114" s="6" t="str">
        <f>TEXT(F1114, "MMM-YY")</f>
        <v>Oct-25</v>
      </c>
      <c r="H1114" t="s">
        <v>1503</v>
      </c>
      <c r="I1114" s="25">
        <v>66.5</v>
      </c>
      <c r="J1114" s="4">
        <v>25000</v>
      </c>
      <c r="K1114" t="s">
        <v>900</v>
      </c>
      <c r="L1114" s="4" t="str">
        <f>VLOOKUP(K1114, 'Items Master'!A:E,5,0)</f>
        <v>HANWHA</v>
      </c>
      <c r="M1114" s="4" t="str">
        <f>VLOOKUP(K1114, 'Items Master'!A:D,4,0)</f>
        <v>PVC</v>
      </c>
      <c r="N1114" t="s">
        <v>24</v>
      </c>
      <c r="Q1114" s="6">
        <f t="shared" si="57"/>
        <v>45958</v>
      </c>
      <c r="R1114" s="6" t="str">
        <f t="shared" si="56"/>
        <v>Oct-25</v>
      </c>
      <c r="W1114" s="25">
        <v>66.5</v>
      </c>
      <c r="AN1114" s="9">
        <f t="shared" si="59"/>
        <v>0</v>
      </c>
      <c r="AP1114" s="9">
        <f>I1114-W1114-X1114-AN1114</f>
        <v>0</v>
      </c>
      <c r="AQ1114" t="s">
        <v>1316</v>
      </c>
    </row>
    <row r="1115" spans="1:44" x14ac:dyDescent="0.3">
      <c r="A1115" s="11">
        <f t="shared" si="61"/>
        <v>1113</v>
      </c>
      <c r="B1115" s="5" t="s">
        <v>1675</v>
      </c>
      <c r="C1115" t="s">
        <v>893</v>
      </c>
      <c r="D1115" t="s">
        <v>891</v>
      </c>
      <c r="E1115" s="24" t="str">
        <f>IFERROR(VLOOKUP(D1115,Dropdown!A:B,2,0),D1115)</f>
        <v>NAVKAR CHEMICALS</v>
      </c>
      <c r="F1115" s="6">
        <v>45958</v>
      </c>
      <c r="G1115" s="6" t="str">
        <f>TEXT(F1115, "MMM-YY")</f>
        <v>Oct-25</v>
      </c>
      <c r="H1115" t="s">
        <v>1504</v>
      </c>
      <c r="I1115" s="25">
        <v>69.75</v>
      </c>
      <c r="J1115" s="4">
        <v>3000</v>
      </c>
      <c r="K1115" t="s">
        <v>900</v>
      </c>
      <c r="L1115" s="4" t="str">
        <f>VLOOKUP(K1115, 'Items Master'!A:E,5,0)</f>
        <v>HANWHA</v>
      </c>
      <c r="M1115" s="4" t="str">
        <f>VLOOKUP(K1115, 'Items Master'!A:D,4,0)</f>
        <v>PVC</v>
      </c>
      <c r="N1115" t="s">
        <v>24</v>
      </c>
      <c r="Q1115" s="6">
        <f t="shared" si="57"/>
        <v>45958</v>
      </c>
      <c r="R1115" s="6" t="str">
        <f t="shared" si="56"/>
        <v>Oct-25</v>
      </c>
      <c r="W1115" s="25">
        <f>I1115</f>
        <v>69.75</v>
      </c>
      <c r="AN1115" s="9">
        <f t="shared" si="59"/>
        <v>0</v>
      </c>
      <c r="AP1115" s="9">
        <f>I1115-W1115-X1115-AN1115</f>
        <v>0</v>
      </c>
      <c r="AQ1115" t="s">
        <v>1316</v>
      </c>
    </row>
    <row r="1116" spans="1:44" x14ac:dyDescent="0.3">
      <c r="A1116" s="11">
        <f t="shared" si="61"/>
        <v>1114</v>
      </c>
      <c r="B1116" s="5" t="s">
        <v>1675</v>
      </c>
      <c r="C1116" t="s">
        <v>893</v>
      </c>
      <c r="D1116" t="s">
        <v>48</v>
      </c>
      <c r="E1116" s="24" t="str">
        <f>IFERROR(VLOOKUP(D1116,Dropdown!A:B,2,0),D1116)</f>
        <v>CVPL</v>
      </c>
      <c r="F1116" s="6">
        <v>45958</v>
      </c>
      <c r="G1116" s="6" t="str">
        <f>TEXT(F1116, "MMM-YY")</f>
        <v>Oct-25</v>
      </c>
      <c r="H1116" t="s">
        <v>1505</v>
      </c>
      <c r="I1116" s="25">
        <v>96.49</v>
      </c>
      <c r="J1116" s="4">
        <v>3000</v>
      </c>
      <c r="K1116" t="s">
        <v>903</v>
      </c>
      <c r="L1116" s="4" t="str">
        <f>VLOOKUP(K1116, 'Items Master'!A:E,5,0)</f>
        <v>GAIL</v>
      </c>
      <c r="M1116" s="4" t="str">
        <f>VLOOKUP(K1116, 'Items Master'!A:D,4,0)</f>
        <v>LLDPE</v>
      </c>
      <c r="N1116" t="s">
        <v>49</v>
      </c>
      <c r="Q1116" s="6">
        <f t="shared" si="57"/>
        <v>45958</v>
      </c>
      <c r="R1116" s="6" t="str">
        <f t="shared" si="56"/>
        <v>Oct-25</v>
      </c>
      <c r="AN1116" s="9">
        <f t="shared" si="59"/>
        <v>0</v>
      </c>
      <c r="AP1116" s="9">
        <f>I1116-W1116-X1116-AN1116</f>
        <v>96.49</v>
      </c>
    </row>
    <row r="1117" spans="1:44" x14ac:dyDescent="0.3">
      <c r="A1117" s="11">
        <f t="shared" si="61"/>
        <v>1115</v>
      </c>
      <c r="B1117" s="5" t="s">
        <v>1675</v>
      </c>
      <c r="C1117" t="s">
        <v>893</v>
      </c>
      <c r="D1117" t="s">
        <v>48</v>
      </c>
      <c r="E1117" s="24" t="str">
        <f>IFERROR(VLOOKUP(D1117,Dropdown!A:B,2,0),D1117)</f>
        <v>CVPL</v>
      </c>
      <c r="F1117" s="6">
        <v>45958</v>
      </c>
      <c r="G1117" s="6" t="str">
        <f>TEXT(F1117, "MMM-YY")</f>
        <v>Oct-25</v>
      </c>
      <c r="H1117" t="s">
        <v>1506</v>
      </c>
      <c r="I1117" s="25">
        <v>96.99</v>
      </c>
      <c r="J1117" s="4">
        <v>2000</v>
      </c>
      <c r="K1117" t="s">
        <v>903</v>
      </c>
      <c r="L1117" s="4" t="str">
        <f>VLOOKUP(K1117, 'Items Master'!A:E,5,0)</f>
        <v>GAIL</v>
      </c>
      <c r="M1117" s="4" t="str">
        <f>VLOOKUP(K1117, 'Items Master'!A:D,4,0)</f>
        <v>LLDPE</v>
      </c>
      <c r="N1117" t="s">
        <v>49</v>
      </c>
      <c r="Q1117" s="6">
        <f t="shared" si="57"/>
        <v>45958</v>
      </c>
      <c r="R1117" s="6" t="str">
        <f t="shared" si="56"/>
        <v>Oct-25</v>
      </c>
      <c r="AN1117" s="9">
        <f t="shared" si="59"/>
        <v>0</v>
      </c>
      <c r="AP1117" s="9">
        <f>I1117-W1117-X1117-AN1117</f>
        <v>96.99</v>
      </c>
    </row>
    <row r="1118" spans="1:44" x14ac:dyDescent="0.3">
      <c r="A1118" s="11">
        <f t="shared" si="61"/>
        <v>1116</v>
      </c>
      <c r="B1118" s="5" t="s">
        <v>1675</v>
      </c>
      <c r="C1118" t="s">
        <v>893</v>
      </c>
      <c r="D1118" t="s">
        <v>880</v>
      </c>
      <c r="E1118" s="24" t="str">
        <f>IFERROR(VLOOKUP(D1118,Dropdown!A:B,2,0),D1118)</f>
        <v>ORGANIC INDUSTRIES  PRIVATE LIMITED</v>
      </c>
      <c r="F1118" s="6">
        <v>45958</v>
      </c>
      <c r="G1118" s="6" t="str">
        <f>TEXT(F1118, "MMM-YY")</f>
        <v>Oct-25</v>
      </c>
      <c r="H1118" t="s">
        <v>1507</v>
      </c>
      <c r="I1118" s="25">
        <v>0.38</v>
      </c>
      <c r="J1118" s="4">
        <v>115000</v>
      </c>
      <c r="K1118" t="s">
        <v>1255</v>
      </c>
      <c r="L1118" s="4" t="str">
        <f>VLOOKUP(K1118, 'Items Master'!A:E,5,0)</f>
        <v>MD</v>
      </c>
      <c r="M1118" s="4" t="str">
        <f>VLOOKUP(K1118, 'Items Master'!A:D,4,0)</f>
        <v>PET Closure</v>
      </c>
      <c r="N1118" t="s">
        <v>24</v>
      </c>
      <c r="Q1118" s="6">
        <f t="shared" si="57"/>
        <v>45958</v>
      </c>
      <c r="R1118" s="6" t="str">
        <f t="shared" si="56"/>
        <v>Oct-25</v>
      </c>
      <c r="W1118" s="25">
        <f t="shared" ref="W1118:W1119" si="63">I1118</f>
        <v>0.38</v>
      </c>
      <c r="AN1118" s="9">
        <f t="shared" si="59"/>
        <v>0</v>
      </c>
      <c r="AP1118" s="9">
        <f>I1118-W1118-X1118-AN1118</f>
        <v>0</v>
      </c>
      <c r="AQ1118" t="s">
        <v>1316</v>
      </c>
    </row>
    <row r="1119" spans="1:44" x14ac:dyDescent="0.3">
      <c r="A1119" s="11">
        <f t="shared" si="61"/>
        <v>1117</v>
      </c>
      <c r="B1119" s="5" t="s">
        <v>1675</v>
      </c>
      <c r="C1119" t="s">
        <v>893</v>
      </c>
      <c r="D1119" t="s">
        <v>48</v>
      </c>
      <c r="E1119" s="24" t="str">
        <f>IFERROR(VLOOKUP(D1119,Dropdown!A:B,2,0),D1119)</f>
        <v>CVPL</v>
      </c>
      <c r="F1119" s="6">
        <v>45958</v>
      </c>
      <c r="G1119" s="6" t="str">
        <f>TEXT(F1119, "MMM-YY")</f>
        <v>Oct-25</v>
      </c>
      <c r="H1119" t="s">
        <v>1508</v>
      </c>
      <c r="I1119" s="25">
        <v>91.25</v>
      </c>
      <c r="J1119" s="4">
        <v>2500</v>
      </c>
      <c r="K1119" t="s">
        <v>925</v>
      </c>
      <c r="L1119" s="4" t="str">
        <f>VLOOKUP(K1119, 'Items Master'!A:E,5,0)</f>
        <v>RIL</v>
      </c>
      <c r="M1119" s="4" t="str">
        <f>VLOOKUP(K1119, 'Items Master'!A:D,4,0)</f>
        <v>PP ICP</v>
      </c>
      <c r="N1119" t="s">
        <v>24</v>
      </c>
      <c r="Q1119" s="6">
        <f t="shared" si="57"/>
        <v>45958</v>
      </c>
      <c r="R1119" s="6" t="str">
        <f t="shared" si="56"/>
        <v>Oct-25</v>
      </c>
      <c r="W1119" s="25">
        <f t="shared" si="63"/>
        <v>91.25</v>
      </c>
      <c r="AN1119" s="9">
        <f t="shared" si="59"/>
        <v>0</v>
      </c>
      <c r="AP1119" s="9">
        <f>I1119-W1119-X1119-AN1119</f>
        <v>0</v>
      </c>
      <c r="AQ1119" t="s">
        <v>1316</v>
      </c>
    </row>
    <row r="1120" spans="1:44" x14ac:dyDescent="0.3">
      <c r="A1120" s="11">
        <f t="shared" si="61"/>
        <v>1118</v>
      </c>
      <c r="B1120" s="5" t="s">
        <v>1675</v>
      </c>
      <c r="C1120" t="s">
        <v>893</v>
      </c>
      <c r="D1120" t="s">
        <v>48</v>
      </c>
      <c r="E1120" s="24" t="str">
        <f>IFERROR(VLOOKUP(D1120,Dropdown!A:B,2,0),D1120)</f>
        <v>CVPL</v>
      </c>
      <c r="F1120" s="6">
        <v>45958</v>
      </c>
      <c r="G1120" s="6" t="str">
        <f>TEXT(F1120, "MMM-YY")</f>
        <v>Oct-25</v>
      </c>
      <c r="H1120" t="s">
        <v>1509</v>
      </c>
      <c r="I1120" s="25">
        <v>96.49</v>
      </c>
      <c r="J1120" s="4">
        <v>5000</v>
      </c>
      <c r="K1120" t="s">
        <v>903</v>
      </c>
      <c r="L1120" s="4" t="str">
        <f>VLOOKUP(K1120, 'Items Master'!A:E,5,0)</f>
        <v>GAIL</v>
      </c>
      <c r="M1120" s="4" t="str">
        <f>VLOOKUP(K1120, 'Items Master'!A:D,4,0)</f>
        <v>LLDPE</v>
      </c>
      <c r="N1120" t="s">
        <v>49</v>
      </c>
      <c r="Q1120" s="6">
        <f t="shared" si="57"/>
        <v>45958</v>
      </c>
      <c r="R1120" s="6" t="str">
        <f t="shared" si="56"/>
        <v>Oct-25</v>
      </c>
      <c r="AN1120" s="9">
        <f t="shared" si="59"/>
        <v>0</v>
      </c>
      <c r="AP1120" s="9">
        <f>I1120-W1120-X1120-AN1120</f>
        <v>96.49</v>
      </c>
    </row>
    <row r="1121" spans="1:44" x14ac:dyDescent="0.3">
      <c r="A1121" s="11">
        <f t="shared" si="61"/>
        <v>1119</v>
      </c>
      <c r="B1121" s="5" t="s">
        <v>1675</v>
      </c>
      <c r="C1121" t="s">
        <v>893</v>
      </c>
      <c r="D1121" t="s">
        <v>48</v>
      </c>
      <c r="E1121" s="24" t="str">
        <f>IFERROR(VLOOKUP(D1121,Dropdown!A:B,2,0),D1121)</f>
        <v>CVPL</v>
      </c>
      <c r="F1121" s="6">
        <v>45958</v>
      </c>
      <c r="G1121" s="6" t="str">
        <f>TEXT(F1121, "MMM-YY")</f>
        <v>Oct-25</v>
      </c>
      <c r="H1121" t="s">
        <v>1509</v>
      </c>
      <c r="I1121" s="25">
        <v>97.19</v>
      </c>
      <c r="J1121" s="4">
        <v>5000</v>
      </c>
      <c r="K1121" t="s">
        <v>974</v>
      </c>
      <c r="L1121" s="4" t="str">
        <f>VLOOKUP(K1121, 'Items Master'!A:E,5,0)</f>
        <v>GAIL</v>
      </c>
      <c r="M1121" s="4" t="str">
        <f>VLOOKUP(K1121, 'Items Master'!A:D,4,0)</f>
        <v>LLDPE</v>
      </c>
      <c r="N1121" t="s">
        <v>49</v>
      </c>
      <c r="Q1121" s="6">
        <f t="shared" si="57"/>
        <v>45958</v>
      </c>
      <c r="R1121" s="6" t="str">
        <f t="shared" si="56"/>
        <v>Oct-25</v>
      </c>
      <c r="AN1121" s="9">
        <f t="shared" si="59"/>
        <v>0</v>
      </c>
      <c r="AP1121" s="9">
        <f>I1121-W1121-X1121-AN1121</f>
        <v>97.19</v>
      </c>
    </row>
    <row r="1122" spans="1:44" x14ac:dyDescent="0.3">
      <c r="A1122" s="11">
        <f t="shared" si="61"/>
        <v>1120</v>
      </c>
      <c r="B1122" s="5" t="s">
        <v>1675</v>
      </c>
      <c r="C1122" t="s">
        <v>894</v>
      </c>
      <c r="D1122" t="s">
        <v>837</v>
      </c>
      <c r="E1122" s="24" t="str">
        <f>IFERROR(VLOOKUP(D1122,Dropdown!A:B,2,0),D1122)</f>
        <v>SYNTHETIC PACKERS LIMITED</v>
      </c>
      <c r="F1122" s="6">
        <v>45959</v>
      </c>
      <c r="G1122" s="6" t="str">
        <f>TEXT(F1122, "MMM-YY")</f>
        <v>Oct-25</v>
      </c>
      <c r="H1122" t="s">
        <v>1510</v>
      </c>
      <c r="I1122" s="25">
        <v>90</v>
      </c>
      <c r="J1122" s="4">
        <v>24750</v>
      </c>
      <c r="K1122" t="s">
        <v>909</v>
      </c>
      <c r="L1122" s="4" t="str">
        <f>VLOOKUP(K1122, 'Items Master'!A:E,5,0)</f>
        <v>LUBAN</v>
      </c>
      <c r="M1122" s="4" t="str">
        <f>VLOOKUP(K1122, 'Items Master'!A:D,4,0)</f>
        <v>HDPE</v>
      </c>
      <c r="N1122" t="s">
        <v>24</v>
      </c>
      <c r="Q1122" s="6">
        <f t="shared" si="57"/>
        <v>45959</v>
      </c>
      <c r="R1122" s="6" t="str">
        <f t="shared" si="56"/>
        <v>Oct-25</v>
      </c>
      <c r="W1122" s="25">
        <f t="shared" ref="W1122:W1124" si="64">I1122</f>
        <v>90</v>
      </c>
      <c r="AN1122" s="9">
        <f t="shared" si="59"/>
        <v>0</v>
      </c>
      <c r="AP1122" s="9">
        <f>I1122-W1122-X1122-AN1122</f>
        <v>0</v>
      </c>
      <c r="AQ1122" t="s">
        <v>1316</v>
      </c>
    </row>
    <row r="1123" spans="1:44" x14ac:dyDescent="0.3">
      <c r="A1123" s="11">
        <f t="shared" si="61"/>
        <v>1121</v>
      </c>
      <c r="B1123" s="5" t="s">
        <v>1675</v>
      </c>
      <c r="C1123" t="s">
        <v>894</v>
      </c>
      <c r="D1123" t="s">
        <v>837</v>
      </c>
      <c r="E1123" s="24" t="str">
        <f>IFERROR(VLOOKUP(D1123,Dropdown!A:B,2,0),D1123)</f>
        <v>SYNTHETIC PACKERS LIMITED</v>
      </c>
      <c r="F1123" s="6">
        <v>45959</v>
      </c>
      <c r="G1123" s="6" t="str">
        <f>TEXT(F1123, "MMM-YY")</f>
        <v>Oct-25</v>
      </c>
      <c r="H1123" t="s">
        <v>1511</v>
      </c>
      <c r="I1123" s="25">
        <v>89</v>
      </c>
      <c r="J1123" s="4">
        <v>10500</v>
      </c>
      <c r="K1123" t="s">
        <v>982</v>
      </c>
      <c r="L1123" s="4" t="str">
        <f>VLOOKUP(K1123, 'Items Master'!A:E,5,0)</f>
        <v>SABIC</v>
      </c>
      <c r="M1123" s="4" t="str">
        <f>VLOOKUP(K1123, 'Items Master'!A:D,4,0)</f>
        <v>HDPE</v>
      </c>
      <c r="N1123" t="s">
        <v>24</v>
      </c>
      <c r="Q1123" s="6">
        <f t="shared" si="57"/>
        <v>45959</v>
      </c>
      <c r="R1123" s="6" t="str">
        <f t="shared" si="56"/>
        <v>Oct-25</v>
      </c>
      <c r="W1123" s="25">
        <f t="shared" si="64"/>
        <v>89</v>
      </c>
      <c r="AN1123" s="9">
        <f t="shared" si="59"/>
        <v>0</v>
      </c>
      <c r="AP1123" s="9">
        <f>I1123-W1123-X1123-AN1123</f>
        <v>0</v>
      </c>
      <c r="AQ1123" t="s">
        <v>1316</v>
      </c>
    </row>
    <row r="1124" spans="1:44" x14ac:dyDescent="0.3">
      <c r="A1124" s="11">
        <f t="shared" si="61"/>
        <v>1122</v>
      </c>
      <c r="B1124" s="5" t="s">
        <v>1675</v>
      </c>
      <c r="C1124" t="s">
        <v>894</v>
      </c>
      <c r="D1124" t="s">
        <v>837</v>
      </c>
      <c r="E1124" s="24" t="str">
        <f>IFERROR(VLOOKUP(D1124,Dropdown!A:B,2,0),D1124)</f>
        <v>SYNTHETIC PACKERS LIMITED</v>
      </c>
      <c r="F1124" s="6">
        <v>45959</v>
      </c>
      <c r="G1124" s="6" t="str">
        <f>TEXT(F1124, "MMM-YY")</f>
        <v>Oct-25</v>
      </c>
      <c r="H1124" t="s">
        <v>1511</v>
      </c>
      <c r="I1124" s="25">
        <v>89</v>
      </c>
      <c r="J1124" s="4">
        <v>2000</v>
      </c>
      <c r="K1124" t="s">
        <v>982</v>
      </c>
      <c r="L1124" s="4" t="str">
        <f>VLOOKUP(K1124, 'Items Master'!A:E,5,0)</f>
        <v>SABIC</v>
      </c>
      <c r="M1124" s="4" t="str">
        <f>VLOOKUP(K1124, 'Items Master'!A:D,4,0)</f>
        <v>HDPE</v>
      </c>
      <c r="N1124" t="s">
        <v>24</v>
      </c>
      <c r="Q1124" s="6">
        <f t="shared" si="57"/>
        <v>45959</v>
      </c>
      <c r="R1124" s="6" t="str">
        <f t="shared" si="56"/>
        <v>Oct-25</v>
      </c>
      <c r="W1124" s="25">
        <f t="shared" si="64"/>
        <v>89</v>
      </c>
      <c r="AN1124" s="9">
        <f t="shared" si="59"/>
        <v>0</v>
      </c>
      <c r="AP1124" s="9">
        <f>I1124-W1124-X1124-AN1124</f>
        <v>0</v>
      </c>
      <c r="AQ1124" t="s">
        <v>1316</v>
      </c>
    </row>
    <row r="1125" spans="1:44" x14ac:dyDescent="0.3">
      <c r="A1125" s="11">
        <f t="shared" si="61"/>
        <v>1123</v>
      </c>
      <c r="B1125" s="5" t="s">
        <v>1675</v>
      </c>
      <c r="C1125" t="s">
        <v>893</v>
      </c>
      <c r="D1125" t="s">
        <v>48</v>
      </c>
      <c r="E1125" s="24" t="str">
        <f>IFERROR(VLOOKUP(D1125,Dropdown!A:B,2,0),D1125)</f>
        <v>CVPL</v>
      </c>
      <c r="F1125" s="6">
        <v>45959</v>
      </c>
      <c r="G1125" s="6" t="str">
        <f>TEXT(F1125, "MMM-YY")</f>
        <v>Oct-25</v>
      </c>
      <c r="H1125" t="s">
        <v>1582</v>
      </c>
      <c r="I1125" s="25">
        <v>96.99</v>
      </c>
      <c r="J1125" s="4">
        <v>10000</v>
      </c>
      <c r="K1125" t="s">
        <v>903</v>
      </c>
      <c r="L1125" s="4" t="str">
        <f>VLOOKUP(K1125, 'Items Master'!A:E,5,0)</f>
        <v>GAIL</v>
      </c>
      <c r="M1125" s="4" t="str">
        <f>VLOOKUP(K1125, 'Items Master'!A:D,4,0)</f>
        <v>LLDPE</v>
      </c>
      <c r="N1125" t="s">
        <v>49</v>
      </c>
      <c r="Q1125" s="6">
        <f t="shared" si="57"/>
        <v>45959</v>
      </c>
      <c r="R1125" s="6" t="str">
        <f t="shared" si="56"/>
        <v>Oct-25</v>
      </c>
      <c r="AN1125" s="9">
        <f t="shared" si="59"/>
        <v>0</v>
      </c>
      <c r="AP1125" s="9">
        <f>I1125-W1125-X1125-AN1125</f>
        <v>96.99</v>
      </c>
    </row>
    <row r="1126" spans="1:44" x14ac:dyDescent="0.3">
      <c r="A1126" s="11">
        <f t="shared" si="61"/>
        <v>1124</v>
      </c>
      <c r="B1126" s="5" t="s">
        <v>1675</v>
      </c>
      <c r="C1126" t="s">
        <v>893</v>
      </c>
      <c r="D1126" t="s">
        <v>48</v>
      </c>
      <c r="E1126" s="24" t="str">
        <f>IFERROR(VLOOKUP(D1126,Dropdown!A:B,2,0),D1126)</f>
        <v>CVPL</v>
      </c>
      <c r="F1126" s="6">
        <v>45959</v>
      </c>
      <c r="G1126" s="6" t="str">
        <f>TEXT(F1126, "MMM-YY")</f>
        <v>Oct-25</v>
      </c>
      <c r="H1126" t="s">
        <v>1583</v>
      </c>
      <c r="I1126" s="25">
        <v>96.99</v>
      </c>
      <c r="J1126" s="4">
        <v>1000</v>
      </c>
      <c r="K1126" t="s">
        <v>903</v>
      </c>
      <c r="L1126" s="4" t="str">
        <f>VLOOKUP(K1126, 'Items Master'!A:E,5,0)</f>
        <v>GAIL</v>
      </c>
      <c r="M1126" s="4" t="str">
        <f>VLOOKUP(K1126, 'Items Master'!A:D,4,0)</f>
        <v>LLDPE</v>
      </c>
      <c r="N1126" t="s">
        <v>49</v>
      </c>
      <c r="Q1126" s="6">
        <f t="shared" si="57"/>
        <v>45959</v>
      </c>
      <c r="R1126" s="6" t="str">
        <f t="shared" si="56"/>
        <v>Oct-25</v>
      </c>
      <c r="AN1126" s="9">
        <f t="shared" si="59"/>
        <v>0</v>
      </c>
      <c r="AP1126" s="9">
        <f>I1126-W1126-X1126-AN1126</f>
        <v>96.99</v>
      </c>
    </row>
    <row r="1127" spans="1:44" x14ac:dyDescent="0.3">
      <c r="A1127" s="11">
        <f t="shared" si="61"/>
        <v>1125</v>
      </c>
      <c r="B1127" s="5" t="s">
        <v>1675</v>
      </c>
      <c r="C1127" t="s">
        <v>893</v>
      </c>
      <c r="D1127" t="s">
        <v>857</v>
      </c>
      <c r="E1127" s="24" t="str">
        <f>IFERROR(VLOOKUP(D1127,Dropdown!A:B,2,0),D1127)</f>
        <v>Purav</v>
      </c>
      <c r="F1127" s="6">
        <v>45959</v>
      </c>
      <c r="G1127" s="6" t="str">
        <f>TEXT(F1127, "MMM-YY")</f>
        <v>Oct-25</v>
      </c>
      <c r="H1127" t="s">
        <v>1584</v>
      </c>
      <c r="I1127" s="25">
        <v>95.95</v>
      </c>
      <c r="J1127" s="4">
        <v>10000</v>
      </c>
      <c r="K1127" t="s">
        <v>896</v>
      </c>
      <c r="L1127" s="4" t="str">
        <f>VLOOKUP(K1127, 'Items Master'!A:E,5,0)</f>
        <v>OPAL</v>
      </c>
      <c r="M1127" s="4" t="str">
        <f>VLOOKUP(K1127, 'Items Master'!A:D,4,0)</f>
        <v>HDPE</v>
      </c>
      <c r="N1127" t="s">
        <v>49</v>
      </c>
      <c r="Q1127" s="6">
        <f t="shared" si="57"/>
        <v>45959</v>
      </c>
      <c r="R1127" s="6" t="str">
        <f t="shared" si="56"/>
        <v>Oct-25</v>
      </c>
      <c r="X1127" s="25">
        <v>96.75</v>
      </c>
      <c r="Y1127" s="25" t="s">
        <v>1303</v>
      </c>
      <c r="Z1127" s="25" t="s">
        <v>1306</v>
      </c>
      <c r="AB1127" s="8">
        <v>-0.9</v>
      </c>
      <c r="AH1127" s="8">
        <v>0.1</v>
      </c>
      <c r="AN1127" s="9">
        <f t="shared" si="59"/>
        <v>-0.8</v>
      </c>
      <c r="AP1127" s="9">
        <f>I1127-W1127-X1127-AN1127</f>
        <v>2.886579864025407E-15</v>
      </c>
      <c r="AQ1127" t="s">
        <v>1316</v>
      </c>
    </row>
    <row r="1128" spans="1:44" x14ac:dyDescent="0.3">
      <c r="A1128" s="11">
        <f t="shared" si="61"/>
        <v>1126</v>
      </c>
      <c r="B1128" s="5" t="s">
        <v>1675</v>
      </c>
      <c r="C1128" t="s">
        <v>894</v>
      </c>
      <c r="D1128" t="s">
        <v>857</v>
      </c>
      <c r="E1128" s="24" t="str">
        <f>IFERROR(VLOOKUP(D1128,Dropdown!A:B,2,0),D1128)</f>
        <v>Purav</v>
      </c>
      <c r="F1128" s="6">
        <v>45960</v>
      </c>
      <c r="G1128" s="6" t="str">
        <f>TEXT(F1128, "MMM-YY")</f>
        <v>Oct-25</v>
      </c>
      <c r="H1128" t="s">
        <v>1512</v>
      </c>
      <c r="I1128" s="25">
        <v>95.95</v>
      </c>
      <c r="J1128" s="4">
        <v>6000</v>
      </c>
      <c r="K1128" t="s">
        <v>896</v>
      </c>
      <c r="L1128" s="4" t="str">
        <f>VLOOKUP(K1128, 'Items Master'!A:E,5,0)</f>
        <v>OPAL</v>
      </c>
      <c r="M1128" s="4" t="str">
        <f>VLOOKUP(K1128, 'Items Master'!A:D,4,0)</f>
        <v>HDPE</v>
      </c>
      <c r="N1128" t="s">
        <v>49</v>
      </c>
      <c r="Q1128" s="6">
        <f t="shared" si="57"/>
        <v>45960</v>
      </c>
      <c r="R1128" s="6" t="str">
        <f t="shared" si="56"/>
        <v>Oct-25</v>
      </c>
      <c r="X1128" s="25">
        <v>96.75</v>
      </c>
      <c r="Y1128" s="25" t="s">
        <v>1303</v>
      </c>
      <c r="Z1128" s="25" t="s">
        <v>1306</v>
      </c>
      <c r="AB1128" s="8">
        <v>-0.9</v>
      </c>
      <c r="AH1128" s="8">
        <v>0.1</v>
      </c>
      <c r="AN1128" s="9">
        <f t="shared" si="59"/>
        <v>-0.8</v>
      </c>
      <c r="AP1128" s="9">
        <f>I1128-W1128-X1128-AN1128</f>
        <v>2.886579864025407E-15</v>
      </c>
      <c r="AQ1128" t="s">
        <v>1316</v>
      </c>
    </row>
    <row r="1129" spans="1:44" x14ac:dyDescent="0.3">
      <c r="A1129" s="11">
        <f t="shared" si="61"/>
        <v>1127</v>
      </c>
      <c r="B1129" s="5" t="s">
        <v>1675</v>
      </c>
      <c r="C1129" t="s">
        <v>894</v>
      </c>
      <c r="D1129" t="s">
        <v>857</v>
      </c>
      <c r="E1129" s="24" t="str">
        <f>IFERROR(VLOOKUP(D1129,Dropdown!A:B,2,0),D1129)</f>
        <v>Purav</v>
      </c>
      <c r="F1129" s="6">
        <v>45960</v>
      </c>
      <c r="G1129" s="6" t="str">
        <f>TEXT(F1129, "MMM-YY")</f>
        <v>Oct-25</v>
      </c>
      <c r="H1129" t="s">
        <v>1512</v>
      </c>
      <c r="I1129" s="25">
        <v>95.95</v>
      </c>
      <c r="J1129" s="4">
        <v>5000</v>
      </c>
      <c r="K1129" t="s">
        <v>896</v>
      </c>
      <c r="L1129" s="4" t="str">
        <f>VLOOKUP(K1129, 'Items Master'!A:E,5,0)</f>
        <v>OPAL</v>
      </c>
      <c r="M1129" s="4" t="str">
        <f>VLOOKUP(K1129, 'Items Master'!A:D,4,0)</f>
        <v>HDPE</v>
      </c>
      <c r="N1129" t="s">
        <v>49</v>
      </c>
      <c r="Q1129" s="6">
        <f t="shared" si="57"/>
        <v>45960</v>
      </c>
      <c r="R1129" s="6" t="str">
        <f t="shared" si="56"/>
        <v>Oct-25</v>
      </c>
      <c r="X1129" s="25">
        <v>96.75</v>
      </c>
      <c r="Y1129" s="25" t="s">
        <v>1303</v>
      </c>
      <c r="Z1129" s="25" t="s">
        <v>1306</v>
      </c>
      <c r="AB1129" s="8">
        <v>-0.9</v>
      </c>
      <c r="AH1129" s="8">
        <v>0.1</v>
      </c>
      <c r="AN1129" s="9">
        <f t="shared" si="59"/>
        <v>-0.8</v>
      </c>
      <c r="AP1129" s="9">
        <f>I1129-W1129-X1129-AN1129</f>
        <v>2.886579864025407E-15</v>
      </c>
      <c r="AQ1129" t="s">
        <v>1316</v>
      </c>
    </row>
    <row r="1130" spans="1:44" x14ac:dyDescent="0.3">
      <c r="A1130" s="11">
        <f t="shared" si="61"/>
        <v>1128</v>
      </c>
      <c r="B1130" s="5" t="s">
        <v>1675</v>
      </c>
      <c r="C1130" t="s">
        <v>893</v>
      </c>
      <c r="D1130" t="s">
        <v>848</v>
      </c>
      <c r="E1130" s="24" t="str">
        <f>IFERROR(VLOOKUP(D1130,Dropdown!A:B,2,0),D1130)</f>
        <v>ASHOKA ENTERPRISE</v>
      </c>
      <c r="F1130" s="6">
        <v>45960</v>
      </c>
      <c r="G1130" s="6" t="str">
        <f>TEXT(F1130, "MMM-YY")</f>
        <v>Oct-25</v>
      </c>
      <c r="H1130" t="s">
        <v>1513</v>
      </c>
      <c r="I1130" s="25">
        <v>71.650000000000006</v>
      </c>
      <c r="J1130" s="4">
        <v>10000</v>
      </c>
      <c r="K1130" t="s">
        <v>936</v>
      </c>
      <c r="L1130" s="4" t="str">
        <f>VLOOKUP(K1130, 'Items Master'!A:E,5,0)</f>
        <v>FORMOSA</v>
      </c>
      <c r="M1130" s="4" t="str">
        <f>VLOOKUP(K1130, 'Items Master'!A:D,4,0)</f>
        <v>PVC</v>
      </c>
      <c r="N1130" t="s">
        <v>24</v>
      </c>
      <c r="Q1130" s="6">
        <f t="shared" si="57"/>
        <v>45960</v>
      </c>
      <c r="R1130" s="6" t="str">
        <f t="shared" si="56"/>
        <v>Oct-25</v>
      </c>
      <c r="W1130" s="25">
        <f>I1130</f>
        <v>71.650000000000006</v>
      </c>
      <c r="AN1130" s="9">
        <f t="shared" si="59"/>
        <v>0</v>
      </c>
      <c r="AP1130" s="9">
        <f>I1130-W1130-X1130-AN1130</f>
        <v>0</v>
      </c>
      <c r="AQ1130" t="s">
        <v>1316</v>
      </c>
    </row>
    <row r="1131" spans="1:44" x14ac:dyDescent="0.3">
      <c r="A1131" s="11">
        <f t="shared" si="61"/>
        <v>1129</v>
      </c>
      <c r="B1131" s="5" t="s">
        <v>1675</v>
      </c>
      <c r="C1131" t="s">
        <v>893</v>
      </c>
      <c r="D1131" t="s">
        <v>864</v>
      </c>
      <c r="E1131" s="24" t="str">
        <f>IFERROR(VLOOKUP(D1131,Dropdown!A:B,2,0),D1131)</f>
        <v>SVP</v>
      </c>
      <c r="F1131" s="6">
        <v>45960</v>
      </c>
      <c r="G1131" s="6" t="str">
        <f>TEXT(F1131, "MMM-YY")</f>
        <v>Oct-25</v>
      </c>
      <c r="H1131" t="s">
        <v>1514</v>
      </c>
      <c r="I1131" s="25">
        <v>96.41</v>
      </c>
      <c r="J1131" s="4">
        <v>3000</v>
      </c>
      <c r="K1131" t="s">
        <v>975</v>
      </c>
      <c r="L1131" s="4" t="str">
        <f>VLOOKUP(K1131, 'Items Master'!A:E,5,0)</f>
        <v>HMEL</v>
      </c>
      <c r="M1131" s="4" t="str">
        <f>VLOOKUP(K1131, 'Items Master'!A:D,4,0)</f>
        <v>LLDPE</v>
      </c>
      <c r="N1131" t="s">
        <v>49</v>
      </c>
      <c r="Q1131" s="6">
        <f t="shared" si="57"/>
        <v>45960</v>
      </c>
      <c r="R1131" s="6" t="str">
        <f t="shared" si="56"/>
        <v>Oct-25</v>
      </c>
      <c r="X1131" s="25">
        <v>96.41</v>
      </c>
      <c r="Y1131" s="25" t="s">
        <v>1303</v>
      </c>
      <c r="Z1131" s="25" t="s">
        <v>1305</v>
      </c>
      <c r="AN1131" s="9">
        <f t="shared" si="59"/>
        <v>0</v>
      </c>
      <c r="AP1131" s="9">
        <f>I1131-W1131-X1131-AN1131</f>
        <v>0</v>
      </c>
      <c r="AQ1131" t="s">
        <v>1316</v>
      </c>
    </row>
    <row r="1132" spans="1:44" x14ac:dyDescent="0.3">
      <c r="A1132" s="11">
        <f t="shared" si="61"/>
        <v>1130</v>
      </c>
      <c r="B1132" s="5" t="s">
        <v>1675</v>
      </c>
      <c r="C1132" t="s">
        <v>893</v>
      </c>
      <c r="D1132" t="s">
        <v>48</v>
      </c>
      <c r="E1132" s="24" t="str">
        <f>IFERROR(VLOOKUP(D1132,Dropdown!A:B,2,0),D1132)</f>
        <v>CVPL</v>
      </c>
      <c r="F1132" s="6">
        <v>45960</v>
      </c>
      <c r="G1132" s="6" t="str">
        <f>TEXT(F1132, "MMM-YY")</f>
        <v>Oct-25</v>
      </c>
      <c r="H1132" t="s">
        <v>1585</v>
      </c>
      <c r="I1132" s="25">
        <v>90.8</v>
      </c>
      <c r="J1132" s="4">
        <v>10000</v>
      </c>
      <c r="K1132" t="s">
        <v>899</v>
      </c>
      <c r="L1132" s="4" t="str">
        <f>VLOOKUP(K1132, 'Items Master'!A:E,5,0)</f>
        <v>MRPL</v>
      </c>
      <c r="M1132" s="4" t="str">
        <f>VLOOKUP(K1132, 'Items Master'!A:D,4,0)</f>
        <v>PP</v>
      </c>
      <c r="N1132" t="s">
        <v>49</v>
      </c>
      <c r="Q1132" s="6">
        <f t="shared" si="57"/>
        <v>45960</v>
      </c>
      <c r="R1132" s="6" t="str">
        <f t="shared" si="56"/>
        <v>Oct-25</v>
      </c>
      <c r="AN1132" s="9">
        <f t="shared" si="59"/>
        <v>0</v>
      </c>
      <c r="AP1132" s="9">
        <f>I1132-W1132-X1132-AN1132</f>
        <v>90.8</v>
      </c>
    </row>
    <row r="1133" spans="1:44" x14ac:dyDescent="0.3">
      <c r="A1133" s="11">
        <f t="shared" si="61"/>
        <v>1131</v>
      </c>
      <c r="B1133" s="5" t="s">
        <v>1675</v>
      </c>
      <c r="C1133" t="s">
        <v>894</v>
      </c>
      <c r="D1133" t="s">
        <v>857</v>
      </c>
      <c r="E1133" s="24" t="str">
        <f>IFERROR(VLOOKUP(D1133,Dropdown!A:B,2,0),D1133)</f>
        <v>Purav</v>
      </c>
      <c r="F1133" s="6">
        <v>45961</v>
      </c>
      <c r="G1133" s="6" t="str">
        <f>TEXT(F1133, "MMM-YY")</f>
        <v>Oct-25</v>
      </c>
      <c r="H1133" t="s">
        <v>1515</v>
      </c>
      <c r="I1133" s="25">
        <v>95.95</v>
      </c>
      <c r="J1133" s="4">
        <v>5000</v>
      </c>
      <c r="K1133" t="s">
        <v>896</v>
      </c>
      <c r="L1133" s="4" t="str">
        <f>VLOOKUP(K1133, 'Items Master'!A:E,5,0)</f>
        <v>OPAL</v>
      </c>
      <c r="M1133" s="4" t="str">
        <f>VLOOKUP(K1133, 'Items Master'!A:D,4,0)</f>
        <v>HDPE</v>
      </c>
      <c r="N1133" t="s">
        <v>49</v>
      </c>
      <c r="Q1133" s="6">
        <f t="shared" si="57"/>
        <v>45961</v>
      </c>
      <c r="R1133" s="6" t="str">
        <f t="shared" ref="R1133:R1196" si="65">TEXT(Q1133, "MMM-YY")</f>
        <v>Oct-25</v>
      </c>
      <c r="X1133" s="25">
        <v>96.75</v>
      </c>
      <c r="Y1133" s="25" t="s">
        <v>1303</v>
      </c>
      <c r="Z1133" s="25" t="s">
        <v>1306</v>
      </c>
      <c r="AB1133" s="8">
        <v>-0.9</v>
      </c>
      <c r="AH1133" s="8">
        <v>0.1</v>
      </c>
      <c r="AN1133" s="9">
        <f t="shared" si="59"/>
        <v>-0.8</v>
      </c>
      <c r="AP1133" s="9">
        <f>I1133-W1133-X1133-AN1133</f>
        <v>2.886579864025407E-15</v>
      </c>
      <c r="AQ1133" t="s">
        <v>1316</v>
      </c>
    </row>
    <row r="1134" spans="1:44" x14ac:dyDescent="0.3">
      <c r="A1134" s="11">
        <f t="shared" si="61"/>
        <v>1132</v>
      </c>
      <c r="B1134" s="5" t="s">
        <v>1675</v>
      </c>
      <c r="C1134" t="s">
        <v>894</v>
      </c>
      <c r="D1134" t="s">
        <v>837</v>
      </c>
      <c r="E1134" s="24" t="str">
        <f>IFERROR(VLOOKUP(D1134,Dropdown!A:B,2,0),D1134)</f>
        <v>SYNTHETIC PACKERS LIMITED</v>
      </c>
      <c r="F1134" s="6">
        <v>45961</v>
      </c>
      <c r="G1134" s="6" t="str">
        <f>TEXT(F1134, "MMM-YY")</f>
        <v>Oct-25</v>
      </c>
      <c r="H1134" t="s">
        <v>1516</v>
      </c>
      <c r="I1134" s="25">
        <v>90</v>
      </c>
      <c r="J1134" s="4">
        <v>24750</v>
      </c>
      <c r="K1134" t="s">
        <v>909</v>
      </c>
      <c r="L1134" s="4" t="str">
        <f>VLOOKUP(K1134, 'Items Master'!A:E,5,0)</f>
        <v>LUBAN</v>
      </c>
      <c r="M1134" s="4" t="str">
        <f>VLOOKUP(K1134, 'Items Master'!A:D,4,0)</f>
        <v>HDPE</v>
      </c>
      <c r="N1134" t="s">
        <v>24</v>
      </c>
      <c r="Q1134" s="6">
        <f t="shared" ref="Q1134:Q1172" si="66">F1134</f>
        <v>45961</v>
      </c>
      <c r="R1134" s="6" t="str">
        <f t="shared" si="65"/>
        <v>Oct-25</v>
      </c>
      <c r="W1134" s="25">
        <f>I1134</f>
        <v>90</v>
      </c>
      <c r="AN1134" s="9">
        <f t="shared" si="59"/>
        <v>0</v>
      </c>
      <c r="AP1134" s="9">
        <f>I1134-W1134-X1134-AN1134</f>
        <v>0</v>
      </c>
      <c r="AQ1134" t="s">
        <v>1316</v>
      </c>
    </row>
    <row r="1135" spans="1:44" x14ac:dyDescent="0.3">
      <c r="A1135" s="11">
        <f t="shared" si="61"/>
        <v>1133</v>
      </c>
      <c r="B1135" s="5" t="s">
        <v>1675</v>
      </c>
      <c r="C1135" t="s">
        <v>893</v>
      </c>
      <c r="D1135" t="s">
        <v>864</v>
      </c>
      <c r="E1135" s="24" t="str">
        <f>IFERROR(VLOOKUP(D1135,Dropdown!A:B,2,0),D1135)</f>
        <v>SVP</v>
      </c>
      <c r="F1135" s="6">
        <v>45961</v>
      </c>
      <c r="G1135" s="6" t="str">
        <f>TEXT(F1135, "MMM-YY")</f>
        <v>Oct-25</v>
      </c>
      <c r="H1135" t="s">
        <v>1517</v>
      </c>
      <c r="I1135" s="25">
        <v>96.41</v>
      </c>
      <c r="J1135" s="4">
        <v>2500</v>
      </c>
      <c r="K1135" t="s">
        <v>975</v>
      </c>
      <c r="L1135" s="4" t="str">
        <f>VLOOKUP(K1135, 'Items Master'!A:E,5,0)</f>
        <v>HMEL</v>
      </c>
      <c r="M1135" s="4" t="str">
        <f>VLOOKUP(K1135, 'Items Master'!A:D,4,0)</f>
        <v>LLDPE</v>
      </c>
      <c r="N1135" t="s">
        <v>49</v>
      </c>
      <c r="Q1135" s="6">
        <f t="shared" si="66"/>
        <v>45961</v>
      </c>
      <c r="R1135" s="6" t="str">
        <f t="shared" si="65"/>
        <v>Oct-25</v>
      </c>
      <c r="X1135" s="25">
        <v>96.41</v>
      </c>
      <c r="Y1135" s="25" t="s">
        <v>1303</v>
      </c>
      <c r="Z1135" s="25" t="s">
        <v>1305</v>
      </c>
      <c r="AN1135" s="9">
        <f t="shared" si="59"/>
        <v>0</v>
      </c>
      <c r="AP1135" s="9">
        <f>I1135-W1135-X1135-AN1135</f>
        <v>0</v>
      </c>
      <c r="AQ1135" t="s">
        <v>1316</v>
      </c>
    </row>
    <row r="1136" spans="1:44" x14ac:dyDescent="0.3">
      <c r="A1136" s="11">
        <f t="shared" si="61"/>
        <v>1134</v>
      </c>
      <c r="B1136" s="5" t="s">
        <v>1675</v>
      </c>
      <c r="C1136" t="s">
        <v>893</v>
      </c>
      <c r="D1136" t="s">
        <v>885</v>
      </c>
      <c r="E1136" s="24" t="str">
        <f>IFERROR(VLOOKUP(D1136,Dropdown!A:B,2,0),D1136)</f>
        <v>Allied</v>
      </c>
      <c r="F1136" s="6">
        <v>45961</v>
      </c>
      <c r="G1136" s="6" t="str">
        <f>TEXT(F1136, "MMM-YY")</f>
        <v>Oct-25</v>
      </c>
      <c r="H1136" t="s">
        <v>1518</v>
      </c>
      <c r="I1136" s="25">
        <v>94.72</v>
      </c>
      <c r="J1136" s="4">
        <v>12000</v>
      </c>
      <c r="K1136" t="s">
        <v>1012</v>
      </c>
      <c r="L1136" s="4" t="str">
        <f>VLOOKUP(K1136, 'Items Master'!A:E,5,0)</f>
        <v>HMEL</v>
      </c>
      <c r="M1136" s="4" t="str">
        <f>VLOOKUP(K1136, 'Items Master'!A:D,4,0)</f>
        <v>LLDPE</v>
      </c>
      <c r="N1136" t="s">
        <v>49</v>
      </c>
      <c r="Q1136" s="6">
        <f t="shared" si="66"/>
        <v>45961</v>
      </c>
      <c r="R1136" s="6" t="str">
        <f t="shared" si="65"/>
        <v>Oct-25</v>
      </c>
      <c r="X1136" s="25">
        <v>95.47</v>
      </c>
      <c r="Y1136" s="25" t="s">
        <v>1303</v>
      </c>
      <c r="Z1136" s="25" t="s">
        <v>1634</v>
      </c>
      <c r="AN1136" s="9">
        <f t="shared" si="59"/>
        <v>0</v>
      </c>
      <c r="AP1136" s="9">
        <f>I1136-W1136-X1136-AN1136</f>
        <v>-0.75</v>
      </c>
      <c r="AQ1136" t="s">
        <v>1324</v>
      </c>
      <c r="AR1136" t="s">
        <v>1643</v>
      </c>
    </row>
    <row r="1137" spans="1:43" x14ac:dyDescent="0.3">
      <c r="A1137" s="11">
        <f t="shared" si="61"/>
        <v>1135</v>
      </c>
      <c r="B1137" s="5" t="s">
        <v>1675</v>
      </c>
      <c r="C1137" t="s">
        <v>893</v>
      </c>
      <c r="D1137" t="s">
        <v>824</v>
      </c>
      <c r="E1137" s="24" t="str">
        <f>IFERROR(VLOOKUP(D1137,Dropdown!A:B,2,0),D1137)</f>
        <v>Paragon</v>
      </c>
      <c r="F1137" s="6">
        <v>45961</v>
      </c>
      <c r="G1137" s="6" t="str">
        <f>TEXT(F1137, "MMM-YY")</f>
        <v>Oct-25</v>
      </c>
      <c r="H1137" t="s">
        <v>1586</v>
      </c>
      <c r="I1137" s="25">
        <v>96.15</v>
      </c>
      <c r="J1137" s="4">
        <v>10000</v>
      </c>
      <c r="K1137" t="s">
        <v>947</v>
      </c>
      <c r="L1137" s="4" t="str">
        <f>VLOOKUP(K1137, 'Items Master'!A:E,5,0)</f>
        <v>RIL</v>
      </c>
      <c r="M1137" s="4" t="str">
        <f>VLOOKUP(K1137, 'Items Master'!A:D,4,0)</f>
        <v>LLDPE</v>
      </c>
      <c r="N1137" t="s">
        <v>49</v>
      </c>
      <c r="Q1137" s="6">
        <f t="shared" si="66"/>
        <v>45961</v>
      </c>
      <c r="R1137" s="6" t="str">
        <f t="shared" si="65"/>
        <v>Oct-25</v>
      </c>
      <c r="S1137" t="s">
        <v>21</v>
      </c>
      <c r="AN1137" s="9">
        <f t="shared" si="59"/>
        <v>0</v>
      </c>
      <c r="AP1137" s="9">
        <f>I1137-W1137-X1137-AN1137</f>
        <v>96.15</v>
      </c>
    </row>
    <row r="1138" spans="1:43" x14ac:dyDescent="0.3">
      <c r="A1138" s="11">
        <f t="shared" si="61"/>
        <v>1136</v>
      </c>
      <c r="B1138" s="5" t="s">
        <v>1675</v>
      </c>
      <c r="C1138" t="s">
        <v>893</v>
      </c>
      <c r="D1138" t="s">
        <v>866</v>
      </c>
      <c r="E1138" s="24" t="str">
        <f>IFERROR(VLOOKUP(D1138,Dropdown!A:B,2,0),D1138)</f>
        <v>KLENE PAKS LIMITED</v>
      </c>
      <c r="F1138" s="6">
        <v>45962</v>
      </c>
      <c r="G1138" s="6" t="str">
        <f>TEXT(F1138, "MMM-YY")</f>
        <v>Nov-25</v>
      </c>
      <c r="H1138" t="s">
        <v>1519</v>
      </c>
      <c r="I1138" s="25">
        <v>84</v>
      </c>
      <c r="J1138" s="4">
        <v>25000</v>
      </c>
      <c r="K1138" t="s">
        <v>899</v>
      </c>
      <c r="L1138" s="4" t="str">
        <f>VLOOKUP(K1138, 'Items Master'!A:E,5,0)</f>
        <v>MRPL</v>
      </c>
      <c r="M1138" s="4" t="str">
        <f>VLOOKUP(K1138, 'Items Master'!A:D,4,0)</f>
        <v>PP</v>
      </c>
      <c r="N1138" t="s">
        <v>24</v>
      </c>
      <c r="Q1138" s="6">
        <f t="shared" si="66"/>
        <v>45962</v>
      </c>
      <c r="R1138" s="6" t="str">
        <f t="shared" si="65"/>
        <v>Nov-25</v>
      </c>
      <c r="W1138" s="25">
        <f t="shared" ref="W1138:W1143" si="67">I1138</f>
        <v>84</v>
      </c>
      <c r="AN1138" s="9">
        <f t="shared" si="59"/>
        <v>0</v>
      </c>
      <c r="AP1138" s="9">
        <f>I1138-W1138-X1138-AN1138</f>
        <v>0</v>
      </c>
      <c r="AQ1138" t="s">
        <v>1316</v>
      </c>
    </row>
    <row r="1139" spans="1:43" x14ac:dyDescent="0.3">
      <c r="A1139" s="11">
        <f t="shared" si="61"/>
        <v>1137</v>
      </c>
      <c r="B1139" s="5" t="s">
        <v>1675</v>
      </c>
      <c r="C1139" t="s">
        <v>893</v>
      </c>
      <c r="D1139" t="s">
        <v>848</v>
      </c>
      <c r="E1139" s="24" t="str">
        <f>IFERROR(VLOOKUP(D1139,Dropdown!A:B,2,0),D1139)</f>
        <v>ASHOKA ENTERPRISE</v>
      </c>
      <c r="F1139" s="6">
        <v>45962</v>
      </c>
      <c r="G1139" s="6" t="str">
        <f>TEXT(F1139, "MMM-YY")</f>
        <v>Nov-25</v>
      </c>
      <c r="H1139" t="s">
        <v>1587</v>
      </c>
      <c r="I1139" s="25">
        <v>71.650000000000006</v>
      </c>
      <c r="J1139" s="4">
        <v>10000</v>
      </c>
      <c r="K1139" t="s">
        <v>1599</v>
      </c>
      <c r="L1139" s="4" t="str">
        <f>VLOOKUP(K1139, 'Items Master'!A:E,5,0)</f>
        <v>FORMOSA</v>
      </c>
      <c r="M1139" s="4" t="str">
        <f>VLOOKUP(K1139, 'Items Master'!A:D,4,0)</f>
        <v>PVC</v>
      </c>
      <c r="N1139" t="s">
        <v>24</v>
      </c>
      <c r="Q1139" s="6">
        <f t="shared" si="66"/>
        <v>45962</v>
      </c>
      <c r="R1139" s="6" t="str">
        <f t="shared" si="65"/>
        <v>Nov-25</v>
      </c>
      <c r="W1139" s="25">
        <f t="shared" si="67"/>
        <v>71.650000000000006</v>
      </c>
      <c r="AN1139" s="9">
        <f t="shared" si="59"/>
        <v>0</v>
      </c>
      <c r="AP1139" s="9">
        <f>I1139-W1139-X1139-AN1139</f>
        <v>0</v>
      </c>
      <c r="AQ1139" t="s">
        <v>1316</v>
      </c>
    </row>
    <row r="1140" spans="1:43" x14ac:dyDescent="0.3">
      <c r="A1140" s="11">
        <f t="shared" si="61"/>
        <v>1138</v>
      </c>
      <c r="B1140" s="5" t="s">
        <v>1675</v>
      </c>
      <c r="C1140" t="s">
        <v>894</v>
      </c>
      <c r="D1140" t="s">
        <v>837</v>
      </c>
      <c r="E1140" s="24" t="str">
        <f>IFERROR(VLOOKUP(D1140,Dropdown!A:B,2,0),D1140)</f>
        <v>SYNTHETIC PACKERS LIMITED</v>
      </c>
      <c r="F1140" s="6">
        <v>45964</v>
      </c>
      <c r="G1140" s="6" t="str">
        <f>TEXT(F1140, "MMM-YY")</f>
        <v>Nov-25</v>
      </c>
      <c r="H1140" t="s">
        <v>1520</v>
      </c>
      <c r="I1140" s="25">
        <v>91</v>
      </c>
      <c r="J1140" s="4">
        <v>12000</v>
      </c>
      <c r="K1140" t="s">
        <v>909</v>
      </c>
      <c r="L1140" s="4" t="str">
        <f>VLOOKUP(K1140, 'Items Master'!A:E,5,0)</f>
        <v>LUBAN</v>
      </c>
      <c r="M1140" s="4" t="str">
        <f>VLOOKUP(K1140, 'Items Master'!A:D,4,0)</f>
        <v>HDPE</v>
      </c>
      <c r="N1140" t="s">
        <v>24</v>
      </c>
      <c r="Q1140" s="6">
        <f t="shared" si="66"/>
        <v>45964</v>
      </c>
      <c r="R1140" s="6" t="str">
        <f t="shared" si="65"/>
        <v>Nov-25</v>
      </c>
      <c r="W1140" s="25">
        <f t="shared" si="67"/>
        <v>91</v>
      </c>
      <c r="AN1140" s="9">
        <f t="shared" si="59"/>
        <v>0</v>
      </c>
      <c r="AP1140" s="9">
        <f>I1140-W1140-X1140-AN1140</f>
        <v>0</v>
      </c>
      <c r="AQ1140" t="s">
        <v>1316</v>
      </c>
    </row>
    <row r="1141" spans="1:43" x14ac:dyDescent="0.3">
      <c r="A1141" s="11">
        <f t="shared" si="61"/>
        <v>1139</v>
      </c>
      <c r="B1141" s="5" t="s">
        <v>1675</v>
      </c>
      <c r="C1141" t="s">
        <v>894</v>
      </c>
      <c r="D1141" t="s">
        <v>837</v>
      </c>
      <c r="E1141" s="24" t="str">
        <f>IFERROR(VLOOKUP(D1141,Dropdown!A:B,2,0),D1141)</f>
        <v>SYNTHETIC PACKERS LIMITED</v>
      </c>
      <c r="F1141" s="6">
        <v>45964</v>
      </c>
      <c r="G1141" s="6" t="str">
        <f>TEXT(F1141, "MMM-YY")</f>
        <v>Nov-25</v>
      </c>
      <c r="H1141" t="s">
        <v>1521</v>
      </c>
      <c r="I1141" s="25">
        <v>91</v>
      </c>
      <c r="J1141" s="4">
        <v>12750</v>
      </c>
      <c r="K1141" t="s">
        <v>909</v>
      </c>
      <c r="L1141" s="4" t="str">
        <f>VLOOKUP(K1141, 'Items Master'!A:E,5,0)</f>
        <v>LUBAN</v>
      </c>
      <c r="M1141" s="4" t="str">
        <f>VLOOKUP(K1141, 'Items Master'!A:D,4,0)</f>
        <v>HDPE</v>
      </c>
      <c r="N1141" t="s">
        <v>24</v>
      </c>
      <c r="Q1141" s="6">
        <f t="shared" si="66"/>
        <v>45964</v>
      </c>
      <c r="R1141" s="6" t="str">
        <f t="shared" si="65"/>
        <v>Nov-25</v>
      </c>
      <c r="W1141" s="25">
        <f t="shared" si="67"/>
        <v>91</v>
      </c>
      <c r="AN1141" s="9">
        <f t="shared" si="59"/>
        <v>0</v>
      </c>
      <c r="AP1141" s="9">
        <f>I1141-W1141-X1141-AN1141</f>
        <v>0</v>
      </c>
      <c r="AQ1141" t="s">
        <v>1316</v>
      </c>
    </row>
    <row r="1142" spans="1:43" x14ac:dyDescent="0.3">
      <c r="A1142" s="11">
        <f t="shared" si="61"/>
        <v>1140</v>
      </c>
      <c r="B1142" s="5" t="s">
        <v>1675</v>
      </c>
      <c r="C1142" t="s">
        <v>893</v>
      </c>
      <c r="D1142" t="s">
        <v>48</v>
      </c>
      <c r="E1142" s="24" t="str">
        <f>IFERROR(VLOOKUP(D1142,Dropdown!A:B,2,0),D1142)</f>
        <v>CVPL</v>
      </c>
      <c r="F1142" s="6">
        <v>45964</v>
      </c>
      <c r="G1142" s="6" t="str">
        <f>TEXT(F1142, "MMM-YY")</f>
        <v>Nov-25</v>
      </c>
      <c r="H1142" t="s">
        <v>1522</v>
      </c>
      <c r="I1142" s="25">
        <v>79</v>
      </c>
      <c r="J1142" s="4">
        <v>2825</v>
      </c>
      <c r="K1142" t="s">
        <v>1538</v>
      </c>
      <c r="L1142" s="4" t="str">
        <f>VLOOKUP(K1142, 'Items Master'!A:E,5,0)</f>
        <v>OPAL</v>
      </c>
      <c r="M1142" s="4" t="str">
        <f>VLOOKUP(K1142, 'Items Master'!A:D,4,0)</f>
        <v>PPHP</v>
      </c>
      <c r="N1142" t="s">
        <v>24</v>
      </c>
      <c r="Q1142" s="6">
        <f t="shared" si="66"/>
        <v>45964</v>
      </c>
      <c r="R1142" s="6" t="str">
        <f t="shared" si="65"/>
        <v>Nov-25</v>
      </c>
      <c r="W1142" s="25">
        <f t="shared" si="67"/>
        <v>79</v>
      </c>
      <c r="AN1142" s="9">
        <f t="shared" si="59"/>
        <v>0</v>
      </c>
      <c r="AP1142" s="9">
        <f>I1142-W1142-X1142-AN1142</f>
        <v>0</v>
      </c>
      <c r="AQ1142" t="s">
        <v>1316</v>
      </c>
    </row>
    <row r="1143" spans="1:43" x14ac:dyDescent="0.3">
      <c r="A1143" s="11">
        <f t="shared" si="61"/>
        <v>1141</v>
      </c>
      <c r="B1143" s="5" t="s">
        <v>1675</v>
      </c>
      <c r="C1143" t="s">
        <v>893</v>
      </c>
      <c r="D1143" t="s">
        <v>843</v>
      </c>
      <c r="E1143" s="24" t="str">
        <f>IFERROR(VLOOKUP(D1143,Dropdown!A:B,2,0),D1143)</f>
        <v>SIGMA CHEMTRADE PRIVATE LIMITED</v>
      </c>
      <c r="F1143" s="6">
        <v>45964</v>
      </c>
      <c r="G1143" s="6" t="str">
        <f>TEXT(F1143, "MMM-YY")</f>
        <v>Nov-25</v>
      </c>
      <c r="H1143" t="s">
        <v>1531</v>
      </c>
      <c r="I1143" s="25">
        <v>94.5</v>
      </c>
      <c r="J1143" s="4">
        <v>13000</v>
      </c>
      <c r="K1143" t="s">
        <v>1014</v>
      </c>
      <c r="L1143" s="4" t="str">
        <f>VLOOKUP(K1143, 'Items Master'!A:E,5,0)</f>
        <v>BOROUGE</v>
      </c>
      <c r="M1143" s="4" t="str">
        <f>VLOOKUP(K1143, 'Items Master'!A:D,4,0)</f>
        <v>PP</v>
      </c>
      <c r="N1143" t="s">
        <v>24</v>
      </c>
      <c r="Q1143" s="6">
        <f t="shared" si="66"/>
        <v>45964</v>
      </c>
      <c r="R1143" s="6" t="str">
        <f t="shared" si="65"/>
        <v>Nov-25</v>
      </c>
      <c r="W1143" s="25">
        <f t="shared" si="67"/>
        <v>94.5</v>
      </c>
      <c r="AN1143" s="9">
        <f t="shared" si="59"/>
        <v>0</v>
      </c>
      <c r="AP1143" s="9">
        <f>I1143-W1143-X1143-AN1143</f>
        <v>0</v>
      </c>
      <c r="AQ1143" t="s">
        <v>1316</v>
      </c>
    </row>
    <row r="1144" spans="1:43" x14ac:dyDescent="0.3">
      <c r="A1144" s="11">
        <f t="shared" si="61"/>
        <v>1142</v>
      </c>
      <c r="B1144" s="5" t="s">
        <v>1675</v>
      </c>
      <c r="C1144" t="s">
        <v>893</v>
      </c>
      <c r="D1144" t="s">
        <v>48</v>
      </c>
      <c r="E1144" s="24" t="str">
        <f>IFERROR(VLOOKUP(D1144,Dropdown!A:B,2,0),D1144)</f>
        <v>CVPL</v>
      </c>
      <c r="F1144" s="6">
        <v>45964</v>
      </c>
      <c r="G1144" s="6" t="str">
        <f>TEXT(F1144, "MMM-YY")</f>
        <v>Nov-25</v>
      </c>
      <c r="H1144" t="s">
        <v>1588</v>
      </c>
      <c r="I1144" s="25">
        <v>95.57</v>
      </c>
      <c r="J1144" s="4">
        <v>3000</v>
      </c>
      <c r="K1144" t="s">
        <v>942</v>
      </c>
      <c r="L1144" s="4" t="str">
        <f>VLOOKUP(K1144, 'Items Master'!A:E,5,0)</f>
        <v>GAIL</v>
      </c>
      <c r="M1144" s="4" t="str">
        <f>VLOOKUP(K1144, 'Items Master'!A:D,4,0)</f>
        <v>HDPE</v>
      </c>
      <c r="N1144" t="s">
        <v>49</v>
      </c>
      <c r="Q1144" s="6">
        <f t="shared" si="66"/>
        <v>45964</v>
      </c>
      <c r="R1144" s="6" t="str">
        <f t="shared" si="65"/>
        <v>Nov-25</v>
      </c>
      <c r="AN1144" s="9">
        <f t="shared" si="59"/>
        <v>0</v>
      </c>
      <c r="AP1144" s="9">
        <f>I1144-W1144-X1144-AN1144</f>
        <v>95.57</v>
      </c>
    </row>
    <row r="1145" spans="1:43" x14ac:dyDescent="0.3">
      <c r="A1145" s="11">
        <f t="shared" si="61"/>
        <v>1143</v>
      </c>
      <c r="B1145" s="5" t="s">
        <v>1675</v>
      </c>
      <c r="C1145" t="s">
        <v>894</v>
      </c>
      <c r="D1145" t="s">
        <v>837</v>
      </c>
      <c r="E1145" s="24" t="str">
        <f>IFERROR(VLOOKUP(D1145,Dropdown!A:B,2,0),D1145)</f>
        <v>SYNTHETIC PACKERS LIMITED</v>
      </c>
      <c r="F1145" s="6">
        <v>45965</v>
      </c>
      <c r="G1145" s="6" t="str">
        <f>TEXT(F1145, "MMM-YY")</f>
        <v>Nov-25</v>
      </c>
      <c r="H1145" t="s">
        <v>1523</v>
      </c>
      <c r="I1145" s="25">
        <v>110.5</v>
      </c>
      <c r="J1145" s="4">
        <v>25500</v>
      </c>
      <c r="K1145" t="s">
        <v>1038</v>
      </c>
      <c r="L1145" s="4" t="str">
        <f>VLOOKUP(K1145, 'Items Master'!A:E,5,0)</f>
        <v>LOTRENE</v>
      </c>
      <c r="M1145" s="4" t="str">
        <f>VLOOKUP(K1145, 'Items Master'!A:D,4,0)</f>
        <v>LDPE</v>
      </c>
      <c r="N1145" t="s">
        <v>24</v>
      </c>
      <c r="Q1145" s="6">
        <f t="shared" si="66"/>
        <v>45965</v>
      </c>
      <c r="R1145" s="6" t="str">
        <f t="shared" si="65"/>
        <v>Nov-25</v>
      </c>
      <c r="W1145" s="25">
        <f>I1145</f>
        <v>110.5</v>
      </c>
      <c r="AN1145" s="9">
        <f t="shared" si="59"/>
        <v>0</v>
      </c>
      <c r="AP1145" s="9">
        <f>I1145-W1145-X1145-AN1145</f>
        <v>0</v>
      </c>
      <c r="AQ1145" t="s">
        <v>1316</v>
      </c>
    </row>
    <row r="1146" spans="1:43" x14ac:dyDescent="0.3">
      <c r="A1146" s="11">
        <f t="shared" si="61"/>
        <v>1144</v>
      </c>
      <c r="B1146" s="5" t="s">
        <v>1675</v>
      </c>
      <c r="C1146" t="s">
        <v>893</v>
      </c>
      <c r="D1146" t="s">
        <v>864</v>
      </c>
      <c r="E1146" s="24" t="str">
        <f>IFERROR(VLOOKUP(D1146,Dropdown!A:B,2,0),D1146)</f>
        <v>SVP</v>
      </c>
      <c r="F1146" s="6">
        <v>45965</v>
      </c>
      <c r="G1146" s="6" t="str">
        <f>TEXT(F1146, "MMM-YY")</f>
        <v>Nov-25</v>
      </c>
      <c r="H1146" t="s">
        <v>1524</v>
      </c>
      <c r="I1146" s="25">
        <v>96.4</v>
      </c>
      <c r="J1146" s="4">
        <v>2500</v>
      </c>
      <c r="K1146" t="s">
        <v>1012</v>
      </c>
      <c r="L1146" s="4" t="str">
        <f>VLOOKUP(K1146, 'Items Master'!A:E,5,0)</f>
        <v>HMEL</v>
      </c>
      <c r="M1146" s="4" t="str">
        <f>VLOOKUP(K1146, 'Items Master'!A:D,4,0)</f>
        <v>LLDPE</v>
      </c>
      <c r="N1146" t="s">
        <v>49</v>
      </c>
      <c r="Q1146" s="6">
        <f t="shared" si="66"/>
        <v>45965</v>
      </c>
      <c r="R1146" s="6" t="str">
        <f t="shared" si="65"/>
        <v>Nov-25</v>
      </c>
      <c r="X1146" s="25">
        <v>96.4</v>
      </c>
      <c r="Y1146" s="25" t="s">
        <v>1303</v>
      </c>
      <c r="Z1146" s="25" t="s">
        <v>1305</v>
      </c>
      <c r="AN1146" s="9">
        <f t="shared" si="59"/>
        <v>0</v>
      </c>
      <c r="AP1146" s="9">
        <f>I1146-W1146-X1146-AN1146</f>
        <v>0</v>
      </c>
      <c r="AQ1146" t="s">
        <v>1316</v>
      </c>
    </row>
    <row r="1147" spans="1:43" x14ac:dyDescent="0.3">
      <c r="A1147" s="11">
        <f t="shared" si="61"/>
        <v>1145</v>
      </c>
      <c r="B1147" s="5" t="s">
        <v>1675</v>
      </c>
      <c r="C1147" t="s">
        <v>893</v>
      </c>
      <c r="D1147" t="s">
        <v>864</v>
      </c>
      <c r="E1147" s="24" t="str">
        <f>IFERROR(VLOOKUP(D1147,Dropdown!A:B,2,0),D1147)</f>
        <v>SVP</v>
      </c>
      <c r="F1147" s="6">
        <v>45965</v>
      </c>
      <c r="G1147" s="6" t="str">
        <f>TEXT(F1147, "MMM-YY")</f>
        <v>Nov-25</v>
      </c>
      <c r="H1147" t="s">
        <v>1525</v>
      </c>
      <c r="I1147" s="25">
        <v>96.4</v>
      </c>
      <c r="J1147" s="4">
        <v>2500</v>
      </c>
      <c r="K1147" t="s">
        <v>1012</v>
      </c>
      <c r="L1147" s="4" t="str">
        <f>VLOOKUP(K1147, 'Items Master'!A:E,5,0)</f>
        <v>HMEL</v>
      </c>
      <c r="M1147" s="4" t="str">
        <f>VLOOKUP(K1147, 'Items Master'!A:D,4,0)</f>
        <v>LLDPE</v>
      </c>
      <c r="N1147" t="s">
        <v>49</v>
      </c>
      <c r="Q1147" s="6">
        <f t="shared" si="66"/>
        <v>45965</v>
      </c>
      <c r="R1147" s="6" t="str">
        <f t="shared" si="65"/>
        <v>Nov-25</v>
      </c>
      <c r="X1147" s="25">
        <v>96.4</v>
      </c>
      <c r="Y1147" s="25" t="s">
        <v>1303</v>
      </c>
      <c r="Z1147" s="25" t="s">
        <v>1305</v>
      </c>
      <c r="AN1147" s="9">
        <f t="shared" si="59"/>
        <v>0</v>
      </c>
      <c r="AP1147" s="9">
        <f>I1147-W1147-X1147-AN1147</f>
        <v>0</v>
      </c>
      <c r="AQ1147" t="s">
        <v>1316</v>
      </c>
    </row>
    <row r="1148" spans="1:43" x14ac:dyDescent="0.3">
      <c r="A1148" s="11">
        <f t="shared" si="61"/>
        <v>1146</v>
      </c>
      <c r="B1148" s="5" t="s">
        <v>1675</v>
      </c>
      <c r="C1148" t="s">
        <v>893</v>
      </c>
      <c r="D1148" t="s">
        <v>1357</v>
      </c>
      <c r="E1148" s="24" t="str">
        <f>IFERROR(VLOOKUP(D1148,Dropdown!A:B,2,0),D1148)</f>
        <v>YASHIKA PETROCHEM PRIVATE LIMITED</v>
      </c>
      <c r="F1148" s="6">
        <v>45965</v>
      </c>
      <c r="G1148" s="6" t="str">
        <f>TEXT(F1148, "MMM-YY")</f>
        <v>Nov-25</v>
      </c>
      <c r="H1148" t="s">
        <v>1526</v>
      </c>
      <c r="I1148" s="25">
        <v>67</v>
      </c>
      <c r="J1148" s="4">
        <v>15000</v>
      </c>
      <c r="K1148" t="s">
        <v>1545</v>
      </c>
      <c r="L1148" s="4" t="str">
        <f>VLOOKUP(K1148, 'Items Master'!A:E,5,0)</f>
        <v>ZHONGTAI</v>
      </c>
      <c r="M1148" s="4" t="str">
        <f>VLOOKUP(K1148, 'Items Master'!A:D,4,0)</f>
        <v>PVC</v>
      </c>
      <c r="N1148" t="s">
        <v>24</v>
      </c>
      <c r="Q1148" s="6">
        <f t="shared" si="66"/>
        <v>45965</v>
      </c>
      <c r="R1148" s="6" t="str">
        <f t="shared" si="65"/>
        <v>Nov-25</v>
      </c>
      <c r="W1148" s="25">
        <v>67</v>
      </c>
      <c r="AN1148" s="9">
        <f t="shared" si="59"/>
        <v>0</v>
      </c>
      <c r="AP1148" s="9">
        <f>I1148-W1148-X1148-AN1148</f>
        <v>0</v>
      </c>
      <c r="AQ1148" t="s">
        <v>1316</v>
      </c>
    </row>
    <row r="1149" spans="1:43" x14ac:dyDescent="0.3">
      <c r="A1149" s="11">
        <f t="shared" si="61"/>
        <v>1147</v>
      </c>
      <c r="B1149" s="5" t="s">
        <v>1675</v>
      </c>
      <c r="C1149" t="s">
        <v>893</v>
      </c>
      <c r="D1149" t="s">
        <v>1358</v>
      </c>
      <c r="E1149" s="24" t="str">
        <f>IFERROR(VLOOKUP(D1149,Dropdown!A:B,2,0),D1149)</f>
        <v>AKJ INDIA</v>
      </c>
      <c r="F1149" s="6">
        <v>45965</v>
      </c>
      <c r="G1149" s="6" t="str">
        <f>TEXT(F1149, "MMM-YY")</f>
        <v>Nov-25</v>
      </c>
      <c r="H1149" t="s">
        <v>1529</v>
      </c>
      <c r="I1149" s="25">
        <v>112.5</v>
      </c>
      <c r="J1149" s="4">
        <v>12000</v>
      </c>
      <c r="K1149" t="s">
        <v>1261</v>
      </c>
      <c r="L1149" s="4" t="str">
        <f>VLOOKUP(K1149, 'Items Master'!A:E,5,0)</f>
        <v>HENGLI</v>
      </c>
      <c r="M1149" s="4" t="str">
        <f>VLOOKUP(K1149, 'Items Master'!A:D,4,0)</f>
        <v>POM</v>
      </c>
      <c r="N1149" t="s">
        <v>24</v>
      </c>
      <c r="Q1149" s="6">
        <f t="shared" si="66"/>
        <v>45965</v>
      </c>
      <c r="R1149" s="6" t="str">
        <f t="shared" si="65"/>
        <v>Nov-25</v>
      </c>
      <c r="W1149" s="25">
        <f>I1149</f>
        <v>112.5</v>
      </c>
      <c r="AN1149" s="9">
        <f t="shared" si="59"/>
        <v>0</v>
      </c>
      <c r="AP1149" s="9">
        <f>I1149-W1149-X1149-AN1149</f>
        <v>0</v>
      </c>
      <c r="AQ1149" t="s">
        <v>1316</v>
      </c>
    </row>
    <row r="1150" spans="1:43" x14ac:dyDescent="0.3">
      <c r="A1150" s="11">
        <f t="shared" si="61"/>
        <v>1148</v>
      </c>
      <c r="B1150" s="5" t="s">
        <v>1675</v>
      </c>
      <c r="C1150" t="s">
        <v>893</v>
      </c>
      <c r="D1150" t="s">
        <v>879</v>
      </c>
      <c r="E1150" s="24" t="str">
        <f>IFERROR(VLOOKUP(D1150,Dropdown!A:B,2,0),D1150)</f>
        <v>RAM-NATH AND COMPANY PRIVATE LIMITED</v>
      </c>
      <c r="F1150" s="6">
        <v>45965</v>
      </c>
      <c r="G1150" s="6" t="str">
        <f>TEXT(F1150, "MMM-YY")</f>
        <v>Nov-25</v>
      </c>
      <c r="H1150" t="s">
        <v>1589</v>
      </c>
      <c r="I1150" s="25">
        <v>67.25</v>
      </c>
      <c r="J1150" s="4">
        <v>28000</v>
      </c>
      <c r="K1150" t="s">
        <v>900</v>
      </c>
      <c r="L1150" s="4" t="str">
        <f>VLOOKUP(K1150, 'Items Master'!A:E,5,0)</f>
        <v>HANWHA</v>
      </c>
      <c r="M1150" s="4" t="str">
        <f>VLOOKUP(K1150, 'Items Master'!A:D,4,0)</f>
        <v>PVC</v>
      </c>
      <c r="N1150" t="s">
        <v>24</v>
      </c>
      <c r="Q1150" s="6">
        <f t="shared" si="66"/>
        <v>45965</v>
      </c>
      <c r="R1150" s="6" t="str">
        <f t="shared" si="65"/>
        <v>Nov-25</v>
      </c>
      <c r="W1150" s="25">
        <v>67.25</v>
      </c>
      <c r="AN1150" s="9">
        <f t="shared" si="59"/>
        <v>0</v>
      </c>
      <c r="AP1150" s="9">
        <f>I1150-W1150-X1150-AN1150</f>
        <v>0</v>
      </c>
      <c r="AQ1150" t="s">
        <v>1316</v>
      </c>
    </row>
    <row r="1151" spans="1:43" x14ac:dyDescent="0.3">
      <c r="A1151" s="11">
        <f t="shared" si="61"/>
        <v>1149</v>
      </c>
      <c r="B1151" s="5" t="s">
        <v>1675</v>
      </c>
      <c r="C1151" t="s">
        <v>893</v>
      </c>
      <c r="D1151" t="s">
        <v>1547</v>
      </c>
      <c r="E1151" s="24" t="str">
        <f>IFERROR(VLOOKUP(D1151,Dropdown!A:B,2,0),D1151)</f>
        <v>PRIME POLYCHEM PRIVATE LIMITED</v>
      </c>
      <c r="F1151" s="6">
        <v>45965</v>
      </c>
      <c r="G1151" s="6" t="str">
        <f>TEXT(F1151, "MMM-YY")</f>
        <v>Nov-25</v>
      </c>
      <c r="H1151" t="s">
        <v>1590</v>
      </c>
      <c r="I1151" s="25">
        <v>98</v>
      </c>
      <c r="J1151" s="4">
        <v>25000</v>
      </c>
      <c r="K1151" t="s">
        <v>988</v>
      </c>
      <c r="L1151" s="4" t="str">
        <f>VLOOKUP(K1151, 'Items Master'!A:E,5,0)</f>
        <v>BOROUGE</v>
      </c>
      <c r="M1151" s="4" t="str">
        <f>VLOOKUP(K1151, 'Items Master'!A:D,4,0)</f>
        <v>LLDPE</v>
      </c>
      <c r="N1151" t="s">
        <v>24</v>
      </c>
      <c r="Q1151" s="6">
        <f t="shared" si="66"/>
        <v>45965</v>
      </c>
      <c r="R1151" s="6" t="str">
        <f t="shared" si="65"/>
        <v>Nov-25</v>
      </c>
      <c r="W1151" s="25">
        <f>I1151</f>
        <v>98</v>
      </c>
      <c r="AN1151" s="9">
        <f t="shared" si="59"/>
        <v>0</v>
      </c>
      <c r="AP1151" s="9">
        <f>I1151-W1151-X1151-AN1151</f>
        <v>0</v>
      </c>
      <c r="AQ1151" t="s">
        <v>1316</v>
      </c>
    </row>
    <row r="1152" spans="1:43" x14ac:dyDescent="0.3">
      <c r="A1152" s="11">
        <f t="shared" si="61"/>
        <v>1150</v>
      </c>
      <c r="B1152" s="5" t="s">
        <v>1675</v>
      </c>
      <c r="C1152" t="s">
        <v>893</v>
      </c>
      <c r="D1152" t="s">
        <v>824</v>
      </c>
      <c r="E1152" s="24" t="str">
        <f>IFERROR(VLOOKUP(D1152,Dropdown!A:B,2,0),D1152)</f>
        <v>Paragon</v>
      </c>
      <c r="F1152" s="6">
        <v>45965</v>
      </c>
      <c r="G1152" s="6" t="str">
        <f>TEXT(F1152, "MMM-YY")</f>
        <v>Nov-25</v>
      </c>
      <c r="H1152" t="s">
        <v>1591</v>
      </c>
      <c r="I1152" s="25">
        <v>99.77</v>
      </c>
      <c r="J1152" s="4">
        <v>2500</v>
      </c>
      <c r="K1152" t="s">
        <v>948</v>
      </c>
      <c r="L1152" s="4" t="str">
        <f>VLOOKUP(K1152, 'Items Master'!A:E,5,0)</f>
        <v>RIL</v>
      </c>
      <c r="M1152" s="4" t="str">
        <f>VLOOKUP(K1152, 'Items Master'!A:D,4,0)</f>
        <v>PP RCP</v>
      </c>
      <c r="N1152" t="s">
        <v>49</v>
      </c>
      <c r="Q1152" s="6">
        <f t="shared" si="66"/>
        <v>45965</v>
      </c>
      <c r="R1152" s="6" t="str">
        <f t="shared" si="65"/>
        <v>Nov-25</v>
      </c>
      <c r="AN1152" s="9">
        <f t="shared" si="59"/>
        <v>0</v>
      </c>
      <c r="AP1152" s="9">
        <f>I1152-W1152-X1152-AN1152</f>
        <v>99.77</v>
      </c>
    </row>
    <row r="1153" spans="1:43" x14ac:dyDescent="0.3">
      <c r="A1153" s="11">
        <f t="shared" si="61"/>
        <v>1151</v>
      </c>
      <c r="B1153" s="5" t="s">
        <v>1675</v>
      </c>
      <c r="C1153" t="s">
        <v>893</v>
      </c>
      <c r="D1153" t="s">
        <v>1357</v>
      </c>
      <c r="E1153" s="24" t="str">
        <f>IFERROR(VLOOKUP(D1153,Dropdown!A:B,2,0),D1153)</f>
        <v>YASHIKA PETROCHEM PRIVATE LIMITED</v>
      </c>
      <c r="F1153" s="6">
        <v>45965</v>
      </c>
      <c r="G1153" s="6" t="str">
        <f>TEXT(F1153, "MMM-YY")</f>
        <v>Nov-25</v>
      </c>
      <c r="H1153" t="s">
        <v>1526</v>
      </c>
      <c r="I1153" s="25">
        <v>67</v>
      </c>
      <c r="J1153" s="4">
        <v>10000</v>
      </c>
      <c r="K1153" t="s">
        <v>1545</v>
      </c>
      <c r="L1153" s="4" t="str">
        <f>VLOOKUP(K1153, 'Items Master'!A:E,5,0)</f>
        <v>ZHONGTAI</v>
      </c>
      <c r="M1153" s="4" t="str">
        <f>VLOOKUP(K1153, 'Items Master'!A:D,4,0)</f>
        <v>PVC</v>
      </c>
      <c r="N1153" t="s">
        <v>24</v>
      </c>
      <c r="Q1153" s="6">
        <f t="shared" si="66"/>
        <v>45965</v>
      </c>
      <c r="R1153" s="6" t="str">
        <f t="shared" si="65"/>
        <v>Nov-25</v>
      </c>
      <c r="W1153" s="25">
        <v>67</v>
      </c>
      <c r="AN1153" s="9">
        <f t="shared" si="59"/>
        <v>0</v>
      </c>
      <c r="AP1153" s="9">
        <f>I1153-W1153-X1153-AN1153</f>
        <v>0</v>
      </c>
      <c r="AQ1153" t="s">
        <v>1316</v>
      </c>
    </row>
    <row r="1154" spans="1:43" x14ac:dyDescent="0.3">
      <c r="A1154" s="11">
        <f t="shared" si="61"/>
        <v>1152</v>
      </c>
      <c r="B1154" s="5" t="s">
        <v>1675</v>
      </c>
      <c r="C1154" t="s">
        <v>893</v>
      </c>
      <c r="D1154" t="s">
        <v>48</v>
      </c>
      <c r="E1154" s="24" t="str">
        <f>IFERROR(VLOOKUP(D1154,Dropdown!A:B,2,0),D1154)</f>
        <v>CVPL</v>
      </c>
      <c r="F1154" s="6">
        <v>45966</v>
      </c>
      <c r="G1154" s="6" t="str">
        <f>TEXT(F1154, "MMM-YY")</f>
        <v>Nov-25</v>
      </c>
      <c r="H1154" t="s">
        <v>1527</v>
      </c>
      <c r="I1154" s="25">
        <v>89</v>
      </c>
      <c r="J1154" s="4">
        <v>2500</v>
      </c>
      <c r="K1154" t="s">
        <v>922</v>
      </c>
      <c r="L1154" s="4" t="str">
        <f>VLOOKUP(K1154, 'Items Master'!A:E,5,0)</f>
        <v>RIL</v>
      </c>
      <c r="M1154" s="4" t="str">
        <f>VLOOKUP(K1154, 'Items Master'!A:D,4,0)</f>
        <v>LLDPE</v>
      </c>
      <c r="N1154" t="s">
        <v>24</v>
      </c>
      <c r="Q1154" s="6">
        <f t="shared" si="66"/>
        <v>45966</v>
      </c>
      <c r="R1154" s="6" t="str">
        <f t="shared" si="65"/>
        <v>Nov-25</v>
      </c>
      <c r="W1154" s="25">
        <f>I1154</f>
        <v>89</v>
      </c>
      <c r="AN1154" s="9">
        <f t="shared" si="59"/>
        <v>0</v>
      </c>
      <c r="AP1154" s="9">
        <f>I1154-W1154-X1154-AN1154</f>
        <v>0</v>
      </c>
      <c r="AQ1154" t="s">
        <v>1316</v>
      </c>
    </row>
    <row r="1155" spans="1:43" x14ac:dyDescent="0.3">
      <c r="A1155" s="11">
        <f t="shared" si="61"/>
        <v>1153</v>
      </c>
      <c r="B1155" s="5" t="s">
        <v>1675</v>
      </c>
      <c r="C1155" t="s">
        <v>893</v>
      </c>
      <c r="D1155" t="s">
        <v>824</v>
      </c>
      <c r="E1155" s="24" t="str">
        <f>IFERROR(VLOOKUP(D1155,Dropdown!A:B,2,0),D1155)</f>
        <v>Paragon</v>
      </c>
      <c r="F1155" s="6">
        <v>45966</v>
      </c>
      <c r="G1155" s="6" t="str">
        <f>TEXT(F1155, "MMM-YY")</f>
        <v>Nov-25</v>
      </c>
      <c r="H1155" t="s">
        <v>1528</v>
      </c>
      <c r="I1155" s="25">
        <v>112.04</v>
      </c>
      <c r="J1155" s="4">
        <v>1000</v>
      </c>
      <c r="K1155" t="s">
        <v>954</v>
      </c>
      <c r="L1155" s="4" t="str">
        <f>VLOOKUP(K1155, 'Items Master'!A:E,5,0)</f>
        <v>RIL</v>
      </c>
      <c r="M1155" s="4" t="str">
        <f>VLOOKUP(K1155, 'Items Master'!A:D,4,0)</f>
        <v>LDPE</v>
      </c>
      <c r="N1155" t="s">
        <v>49</v>
      </c>
      <c r="Q1155" s="6">
        <f t="shared" si="66"/>
        <v>45966</v>
      </c>
      <c r="R1155" s="6" t="str">
        <f t="shared" si="65"/>
        <v>Nov-25</v>
      </c>
      <c r="AN1155" s="9">
        <f t="shared" si="59"/>
        <v>0</v>
      </c>
      <c r="AP1155" s="9">
        <f>I1155-W1155-X1155-AN1155</f>
        <v>112.04</v>
      </c>
    </row>
    <row r="1156" spans="1:43" x14ac:dyDescent="0.3">
      <c r="A1156" s="11">
        <f t="shared" si="61"/>
        <v>1154</v>
      </c>
      <c r="B1156" s="5" t="s">
        <v>1675</v>
      </c>
      <c r="C1156" t="s">
        <v>893</v>
      </c>
      <c r="D1156" t="s">
        <v>48</v>
      </c>
      <c r="E1156" s="24" t="str">
        <f>IFERROR(VLOOKUP(D1156,Dropdown!A:B,2,0),D1156)</f>
        <v>CVPL</v>
      </c>
      <c r="F1156" s="6">
        <v>45966</v>
      </c>
      <c r="G1156" s="6" t="str">
        <f>TEXT(F1156, "MMM-YY")</f>
        <v>Nov-25</v>
      </c>
      <c r="H1156" t="s">
        <v>1592</v>
      </c>
      <c r="I1156" s="25">
        <v>90.8</v>
      </c>
      <c r="J1156" s="4">
        <v>5000</v>
      </c>
      <c r="K1156" t="s">
        <v>899</v>
      </c>
      <c r="L1156" s="4" t="str">
        <f>VLOOKUP(K1156, 'Items Master'!A:E,5,0)</f>
        <v>MRPL</v>
      </c>
      <c r="M1156" s="4" t="str">
        <f>VLOOKUP(K1156, 'Items Master'!A:D,4,0)</f>
        <v>PP</v>
      </c>
      <c r="N1156" t="s">
        <v>49</v>
      </c>
      <c r="Q1156" s="6">
        <v>45961</v>
      </c>
      <c r="R1156" s="6" t="str">
        <f t="shared" si="65"/>
        <v>Oct-25</v>
      </c>
      <c r="AN1156" s="9">
        <f t="shared" si="59"/>
        <v>0</v>
      </c>
      <c r="AP1156" s="9">
        <f>I1156-W1156-X1156-AN1156</f>
        <v>90.8</v>
      </c>
    </row>
    <row r="1157" spans="1:43" x14ac:dyDescent="0.3">
      <c r="A1157" s="11">
        <f t="shared" si="61"/>
        <v>1155</v>
      </c>
      <c r="B1157" s="5" t="s">
        <v>1675</v>
      </c>
      <c r="C1157" t="s">
        <v>893</v>
      </c>
      <c r="D1157" t="s">
        <v>48</v>
      </c>
      <c r="E1157" s="24" t="str">
        <f>IFERROR(VLOOKUP(D1157,Dropdown!A:B,2,0),D1157)</f>
        <v>CVPL</v>
      </c>
      <c r="F1157" s="6">
        <v>45966</v>
      </c>
      <c r="G1157" s="6" t="str">
        <f>TEXT(F1157, "MMM-YY")</f>
        <v>Nov-25</v>
      </c>
      <c r="H1157" t="s">
        <v>1593</v>
      </c>
      <c r="I1157" s="25">
        <v>90.65</v>
      </c>
      <c r="J1157" s="4">
        <v>3000</v>
      </c>
      <c r="K1157" t="s">
        <v>937</v>
      </c>
      <c r="L1157" s="4" t="str">
        <f>VLOOKUP(K1157, 'Items Master'!A:E,5,0)</f>
        <v>MRPL</v>
      </c>
      <c r="M1157" s="4" t="str">
        <f>VLOOKUP(K1157, 'Items Master'!A:D,4,0)</f>
        <v>PP</v>
      </c>
      <c r="N1157" t="s">
        <v>49</v>
      </c>
      <c r="Q1157" s="6">
        <v>45961</v>
      </c>
      <c r="R1157" s="6" t="str">
        <f t="shared" si="65"/>
        <v>Oct-25</v>
      </c>
      <c r="AN1157" s="9">
        <f t="shared" ref="AN1157:AN1220" si="68">SUM(AB1157:AM1157)</f>
        <v>0</v>
      </c>
      <c r="AP1157" s="9">
        <f>I1157-W1157-X1157-AN1157</f>
        <v>90.65</v>
      </c>
    </row>
    <row r="1158" spans="1:43" x14ac:dyDescent="0.3">
      <c r="A1158" s="11">
        <f t="shared" si="61"/>
        <v>1156</v>
      </c>
      <c r="B1158" s="5" t="s">
        <v>1675</v>
      </c>
      <c r="C1158" t="s">
        <v>894</v>
      </c>
      <c r="D1158" t="s">
        <v>857</v>
      </c>
      <c r="E1158" s="24" t="str">
        <f>IFERROR(VLOOKUP(D1158,Dropdown!A:B,2,0),D1158)</f>
        <v>Purav</v>
      </c>
      <c r="F1158" s="6">
        <v>45967</v>
      </c>
      <c r="G1158" s="6" t="str">
        <f>TEXT(F1158, "MMM-YY")</f>
        <v>Nov-25</v>
      </c>
      <c r="H1158" t="s">
        <v>1530</v>
      </c>
      <c r="I1158" s="25">
        <v>95.95</v>
      </c>
      <c r="J1158" s="4">
        <v>7000</v>
      </c>
      <c r="K1158" t="s">
        <v>896</v>
      </c>
      <c r="L1158" s="4" t="str">
        <f>VLOOKUP(K1158, 'Items Master'!A:E,5,0)</f>
        <v>OPAL</v>
      </c>
      <c r="M1158" s="4" t="str">
        <f>VLOOKUP(K1158, 'Items Master'!A:D,4,0)</f>
        <v>HDPE</v>
      </c>
      <c r="N1158" t="s">
        <v>49</v>
      </c>
      <c r="Q1158" s="6">
        <v>45961</v>
      </c>
      <c r="R1158" s="6" t="str">
        <f t="shared" si="65"/>
        <v>Oct-25</v>
      </c>
      <c r="X1158" s="25">
        <v>96.75</v>
      </c>
      <c r="Y1158" s="25" t="s">
        <v>1303</v>
      </c>
      <c r="Z1158" s="25" t="s">
        <v>1306</v>
      </c>
      <c r="AB1158" s="8">
        <v>-0.9</v>
      </c>
      <c r="AH1158" s="8">
        <v>0.1</v>
      </c>
      <c r="AN1158" s="9">
        <f t="shared" si="68"/>
        <v>-0.8</v>
      </c>
      <c r="AP1158" s="9">
        <f>I1158-W1158-X1158-AN1158</f>
        <v>2.886579864025407E-15</v>
      </c>
      <c r="AQ1158" t="s">
        <v>1316</v>
      </c>
    </row>
    <row r="1159" spans="1:43" x14ac:dyDescent="0.3">
      <c r="A1159" s="11">
        <f t="shared" si="61"/>
        <v>1157</v>
      </c>
      <c r="B1159" s="5" t="s">
        <v>1675</v>
      </c>
      <c r="C1159" t="s">
        <v>894</v>
      </c>
      <c r="D1159" t="s">
        <v>857</v>
      </c>
      <c r="E1159" s="24" t="str">
        <f>IFERROR(VLOOKUP(D1159,Dropdown!A:B,2,0),D1159)</f>
        <v>Purav</v>
      </c>
      <c r="F1159" s="6">
        <v>45967</v>
      </c>
      <c r="G1159" s="6" t="str">
        <f>TEXT(F1159, "MMM-YY")</f>
        <v>Nov-25</v>
      </c>
      <c r="H1159" t="s">
        <v>1530</v>
      </c>
      <c r="I1159" s="25">
        <v>95.95</v>
      </c>
      <c r="J1159" s="4">
        <v>3000</v>
      </c>
      <c r="K1159" t="s">
        <v>896</v>
      </c>
      <c r="L1159" s="4" t="str">
        <f>VLOOKUP(K1159, 'Items Master'!A:E,5,0)</f>
        <v>OPAL</v>
      </c>
      <c r="M1159" s="4" t="str">
        <f>VLOOKUP(K1159, 'Items Master'!A:D,4,0)</f>
        <v>HDPE</v>
      </c>
      <c r="N1159" t="s">
        <v>49</v>
      </c>
      <c r="Q1159" s="6">
        <v>45961</v>
      </c>
      <c r="R1159" s="6" t="str">
        <f t="shared" si="65"/>
        <v>Oct-25</v>
      </c>
      <c r="X1159" s="25">
        <v>96.75</v>
      </c>
      <c r="Y1159" s="25" t="s">
        <v>1303</v>
      </c>
      <c r="Z1159" s="25" t="s">
        <v>1306</v>
      </c>
      <c r="AB1159" s="8">
        <v>-0.9</v>
      </c>
      <c r="AH1159" s="8">
        <v>0.1</v>
      </c>
      <c r="AN1159" s="9">
        <f t="shared" si="68"/>
        <v>-0.8</v>
      </c>
      <c r="AP1159" s="9">
        <f>I1159-W1159-X1159-AN1159</f>
        <v>2.886579864025407E-15</v>
      </c>
      <c r="AQ1159" t="s">
        <v>1316</v>
      </c>
    </row>
    <row r="1160" spans="1:43" x14ac:dyDescent="0.3">
      <c r="A1160" s="11">
        <f t="shared" ref="A1160:A1223" si="69">A1159+1</f>
        <v>1158</v>
      </c>
      <c r="B1160" s="5" t="s">
        <v>1675</v>
      </c>
      <c r="C1160" t="s">
        <v>893</v>
      </c>
      <c r="D1160" t="s">
        <v>835</v>
      </c>
      <c r="E1160" s="24" t="str">
        <f>IFERROR(VLOOKUP(D1160,Dropdown!A:B,2,0),D1160)</f>
        <v>IVORY POLYMERS</v>
      </c>
      <c r="F1160" s="6">
        <v>45967</v>
      </c>
      <c r="G1160" s="6" t="str">
        <f>TEXT(F1160, "MMM-YY")</f>
        <v>Nov-25</v>
      </c>
      <c r="H1160" t="s">
        <v>1532</v>
      </c>
      <c r="I1160" s="25">
        <v>93.5</v>
      </c>
      <c r="J1160" s="4">
        <v>2500</v>
      </c>
      <c r="K1160" t="s">
        <v>904</v>
      </c>
      <c r="L1160" s="4" t="str">
        <f>VLOOKUP(K1160, 'Items Master'!A:E,5,0)</f>
        <v>BOROUGE</v>
      </c>
      <c r="M1160" s="4" t="str">
        <f>VLOOKUP(K1160, 'Items Master'!A:D,4,0)</f>
        <v>PP RCP</v>
      </c>
      <c r="N1160" t="s">
        <v>24</v>
      </c>
      <c r="Q1160" s="6">
        <f t="shared" si="66"/>
        <v>45967</v>
      </c>
      <c r="R1160" s="6" t="str">
        <f t="shared" si="65"/>
        <v>Nov-25</v>
      </c>
      <c r="W1160" s="25">
        <f t="shared" ref="W1160:W1165" si="70">I1160</f>
        <v>93.5</v>
      </c>
      <c r="AN1160" s="9">
        <f t="shared" si="68"/>
        <v>0</v>
      </c>
      <c r="AP1160" s="9">
        <f>I1160-W1160-X1160-AN1160</f>
        <v>0</v>
      </c>
      <c r="AQ1160" t="s">
        <v>1316</v>
      </c>
    </row>
    <row r="1161" spans="1:43" x14ac:dyDescent="0.3">
      <c r="A1161" s="11">
        <f t="shared" si="69"/>
        <v>1159</v>
      </c>
      <c r="B1161" s="5" t="s">
        <v>1675</v>
      </c>
      <c r="C1161" t="s">
        <v>893</v>
      </c>
      <c r="D1161" t="s">
        <v>48</v>
      </c>
      <c r="E1161" s="24" t="str">
        <f>IFERROR(VLOOKUP(D1161,Dropdown!A:B,2,0),D1161)</f>
        <v>CVPL</v>
      </c>
      <c r="F1161" s="6">
        <v>45967</v>
      </c>
      <c r="G1161" s="6" t="str">
        <f>TEXT(F1161, "MMM-YY")</f>
        <v>Nov-25</v>
      </c>
      <c r="H1161" t="s">
        <v>1533</v>
      </c>
      <c r="I1161" s="25">
        <v>95.25</v>
      </c>
      <c r="J1161" s="4">
        <v>1500</v>
      </c>
      <c r="K1161" t="s">
        <v>934</v>
      </c>
      <c r="L1161" s="4" t="str">
        <f>VLOOKUP(K1161, 'Items Master'!A:E,5,0)</f>
        <v>RIL</v>
      </c>
      <c r="M1161" s="4" t="str">
        <f>VLOOKUP(K1161, 'Items Master'!A:D,4,0)</f>
        <v>PP RCP</v>
      </c>
      <c r="N1161" t="s">
        <v>24</v>
      </c>
      <c r="Q1161" s="6">
        <f t="shared" si="66"/>
        <v>45967</v>
      </c>
      <c r="R1161" s="6" t="str">
        <f t="shared" si="65"/>
        <v>Nov-25</v>
      </c>
      <c r="W1161" s="25">
        <f t="shared" si="70"/>
        <v>95.25</v>
      </c>
      <c r="AN1161" s="9">
        <f t="shared" si="68"/>
        <v>0</v>
      </c>
      <c r="AP1161" s="9">
        <f>I1161-W1161-X1161-AN1161</f>
        <v>0</v>
      </c>
      <c r="AQ1161" t="s">
        <v>1316</v>
      </c>
    </row>
    <row r="1162" spans="1:43" x14ac:dyDescent="0.3">
      <c r="A1162" s="11">
        <f t="shared" si="69"/>
        <v>1160</v>
      </c>
      <c r="B1162" s="5" t="s">
        <v>1675</v>
      </c>
      <c r="C1162" t="s">
        <v>893</v>
      </c>
      <c r="D1162" t="s">
        <v>48</v>
      </c>
      <c r="E1162" s="24" t="str">
        <f>IFERROR(VLOOKUP(D1162,Dropdown!A:B,2,0),D1162)</f>
        <v>CVPL</v>
      </c>
      <c r="F1162" s="6">
        <v>45967</v>
      </c>
      <c r="G1162" s="6" t="str">
        <f>TEXT(F1162, "MMM-YY")</f>
        <v>Nov-25</v>
      </c>
      <c r="H1162" t="s">
        <v>1533</v>
      </c>
      <c r="I1162" s="25">
        <v>87</v>
      </c>
      <c r="J1162" s="4">
        <v>500</v>
      </c>
      <c r="K1162" t="s">
        <v>1155</v>
      </c>
      <c r="L1162" s="4" t="str">
        <f>VLOOKUP(K1162, 'Items Master'!A:E,5,0)</f>
        <v>RIL</v>
      </c>
      <c r="M1162" s="4" t="str">
        <f>VLOOKUP(K1162, 'Items Master'!A:D,4,0)</f>
        <v>HDPE</v>
      </c>
      <c r="N1162" t="s">
        <v>24</v>
      </c>
      <c r="Q1162" s="6">
        <f t="shared" si="66"/>
        <v>45967</v>
      </c>
      <c r="R1162" s="6" t="str">
        <f t="shared" si="65"/>
        <v>Nov-25</v>
      </c>
      <c r="W1162" s="25">
        <f t="shared" si="70"/>
        <v>87</v>
      </c>
      <c r="AN1162" s="9">
        <f t="shared" si="68"/>
        <v>0</v>
      </c>
      <c r="AP1162" s="9">
        <f>I1162-W1162-X1162-AN1162</f>
        <v>0</v>
      </c>
      <c r="AQ1162" t="s">
        <v>1316</v>
      </c>
    </row>
    <row r="1163" spans="1:43" x14ac:dyDescent="0.3">
      <c r="A1163" s="11">
        <f t="shared" si="69"/>
        <v>1161</v>
      </c>
      <c r="B1163" s="5" t="s">
        <v>1675</v>
      </c>
      <c r="C1163" t="s">
        <v>893</v>
      </c>
      <c r="D1163" t="s">
        <v>48</v>
      </c>
      <c r="E1163" s="24" t="str">
        <f>IFERROR(VLOOKUP(D1163,Dropdown!A:B,2,0),D1163)</f>
        <v>CVPL</v>
      </c>
      <c r="F1163" s="6">
        <v>45967</v>
      </c>
      <c r="G1163" s="6" t="str">
        <f>TEXT(F1163, "MMM-YY")</f>
        <v>Nov-25</v>
      </c>
      <c r="H1163" t="s">
        <v>1533</v>
      </c>
      <c r="I1163" s="25">
        <v>89.5</v>
      </c>
      <c r="J1163" s="4">
        <v>500</v>
      </c>
      <c r="K1163" t="s">
        <v>950</v>
      </c>
      <c r="L1163" s="4" t="str">
        <f>VLOOKUP(K1163, 'Items Master'!A:E,5,0)</f>
        <v>RIL</v>
      </c>
      <c r="M1163" s="4" t="str">
        <f>VLOOKUP(K1163, 'Items Master'!A:D,4,0)</f>
        <v>PP</v>
      </c>
      <c r="N1163" t="s">
        <v>24</v>
      </c>
      <c r="Q1163" s="6">
        <f t="shared" si="66"/>
        <v>45967</v>
      </c>
      <c r="R1163" s="6" t="str">
        <f t="shared" si="65"/>
        <v>Nov-25</v>
      </c>
      <c r="W1163" s="25">
        <f t="shared" si="70"/>
        <v>89.5</v>
      </c>
      <c r="AN1163" s="9">
        <f t="shared" si="68"/>
        <v>0</v>
      </c>
      <c r="AP1163" s="9">
        <f>I1163-W1163-X1163-AN1163</f>
        <v>0</v>
      </c>
      <c r="AQ1163" t="s">
        <v>1316</v>
      </c>
    </row>
    <row r="1164" spans="1:43" x14ac:dyDescent="0.3">
      <c r="A1164" s="11">
        <f t="shared" si="69"/>
        <v>1162</v>
      </c>
      <c r="B1164" s="5" t="s">
        <v>1675</v>
      </c>
      <c r="C1164" t="s">
        <v>893</v>
      </c>
      <c r="D1164" t="s">
        <v>48</v>
      </c>
      <c r="E1164" s="24" t="str">
        <f>IFERROR(VLOOKUP(D1164,Dropdown!A:B,2,0),D1164)</f>
        <v>CVPL</v>
      </c>
      <c r="F1164" s="6">
        <v>45967</v>
      </c>
      <c r="G1164" s="6" t="str">
        <f>TEXT(F1164, "MMM-YY")</f>
        <v>Nov-25</v>
      </c>
      <c r="H1164" t="s">
        <v>1533</v>
      </c>
      <c r="I1164" s="25">
        <v>95.25</v>
      </c>
      <c r="J1164" s="4">
        <v>-100</v>
      </c>
      <c r="K1164" t="s">
        <v>934</v>
      </c>
      <c r="L1164" s="4" t="str">
        <f>VLOOKUP(K1164, 'Items Master'!A:E,5,0)</f>
        <v>RIL</v>
      </c>
      <c r="M1164" s="4" t="str">
        <f>VLOOKUP(K1164, 'Items Master'!A:D,4,0)</f>
        <v>PP RCP</v>
      </c>
      <c r="N1164" t="s">
        <v>24</v>
      </c>
      <c r="Q1164" s="6">
        <f t="shared" si="66"/>
        <v>45967</v>
      </c>
      <c r="R1164" s="6" t="str">
        <f t="shared" si="65"/>
        <v>Nov-25</v>
      </c>
      <c r="W1164" s="25">
        <f t="shared" si="70"/>
        <v>95.25</v>
      </c>
      <c r="AN1164" s="9">
        <f t="shared" si="68"/>
        <v>0</v>
      </c>
      <c r="AP1164" s="9">
        <f>I1164-W1164-X1164-AN1164</f>
        <v>0</v>
      </c>
      <c r="AQ1164" t="s">
        <v>1316</v>
      </c>
    </row>
    <row r="1165" spans="1:43" x14ac:dyDescent="0.3">
      <c r="A1165" s="11">
        <f t="shared" si="69"/>
        <v>1163</v>
      </c>
      <c r="B1165" s="5" t="s">
        <v>1675</v>
      </c>
      <c r="C1165" t="s">
        <v>893</v>
      </c>
      <c r="D1165" t="s">
        <v>835</v>
      </c>
      <c r="E1165" s="24" t="str">
        <f>IFERROR(VLOOKUP(D1165,Dropdown!A:B,2,0),D1165)</f>
        <v>IVORY POLYMERS</v>
      </c>
      <c r="F1165" s="6">
        <v>45967</v>
      </c>
      <c r="G1165" s="6" t="str">
        <f>TEXT(F1165, "MMM-YY")</f>
        <v>Nov-25</v>
      </c>
      <c r="H1165" s="28" t="s">
        <v>1537</v>
      </c>
      <c r="I1165" s="25">
        <v>93.5</v>
      </c>
      <c r="J1165" s="4">
        <v>1950</v>
      </c>
      <c r="K1165" t="s">
        <v>904</v>
      </c>
      <c r="L1165" s="4" t="str">
        <f>VLOOKUP(K1165, 'Items Master'!A:E,5,0)</f>
        <v>BOROUGE</v>
      </c>
      <c r="M1165" s="4" t="str">
        <f>VLOOKUP(K1165, 'Items Master'!A:D,4,0)</f>
        <v>PP RCP</v>
      </c>
      <c r="N1165" t="s">
        <v>24</v>
      </c>
      <c r="Q1165" s="6">
        <f t="shared" si="66"/>
        <v>45967</v>
      </c>
      <c r="R1165" s="6" t="str">
        <f t="shared" si="65"/>
        <v>Nov-25</v>
      </c>
      <c r="W1165" s="25">
        <f t="shared" si="70"/>
        <v>93.5</v>
      </c>
      <c r="AN1165" s="9">
        <f t="shared" si="68"/>
        <v>0</v>
      </c>
      <c r="AP1165" s="9">
        <f>I1165-W1165-X1165-AN1165</f>
        <v>0</v>
      </c>
      <c r="AQ1165" t="s">
        <v>1316</v>
      </c>
    </row>
    <row r="1166" spans="1:43" x14ac:dyDescent="0.3">
      <c r="A1166" s="11">
        <f t="shared" si="69"/>
        <v>1164</v>
      </c>
      <c r="B1166" s="5" t="s">
        <v>1675</v>
      </c>
      <c r="C1166" t="s">
        <v>894</v>
      </c>
      <c r="D1166" t="s">
        <v>857</v>
      </c>
      <c r="E1166" s="24" t="str">
        <f>IFERROR(VLOOKUP(D1166,Dropdown!A:B,2,0),D1166)</f>
        <v>Purav</v>
      </c>
      <c r="F1166" s="6">
        <v>45968</v>
      </c>
      <c r="G1166" s="6" t="str">
        <f>TEXT(F1166, "MMM-YY")</f>
        <v>Nov-25</v>
      </c>
      <c r="H1166" t="s">
        <v>1534</v>
      </c>
      <c r="I1166" s="25">
        <v>95.95</v>
      </c>
      <c r="J1166" s="4">
        <v>4000</v>
      </c>
      <c r="K1166" t="s">
        <v>896</v>
      </c>
      <c r="L1166" s="4" t="str">
        <f>VLOOKUP(K1166, 'Items Master'!A:E,5,0)</f>
        <v>OPAL</v>
      </c>
      <c r="M1166" s="4" t="str">
        <f>VLOOKUP(K1166, 'Items Master'!A:D,4,0)</f>
        <v>HDPE</v>
      </c>
      <c r="N1166" t="s">
        <v>49</v>
      </c>
      <c r="Q1166" s="6">
        <v>45961</v>
      </c>
      <c r="R1166" s="6" t="str">
        <f t="shared" si="65"/>
        <v>Oct-25</v>
      </c>
      <c r="X1166" s="25">
        <v>96.75</v>
      </c>
      <c r="Y1166" s="25" t="s">
        <v>1303</v>
      </c>
      <c r="Z1166" s="25" t="s">
        <v>1306</v>
      </c>
      <c r="AB1166" s="8">
        <v>-0.9</v>
      </c>
      <c r="AH1166" s="8">
        <v>0.1</v>
      </c>
      <c r="AN1166" s="9">
        <f t="shared" si="68"/>
        <v>-0.8</v>
      </c>
      <c r="AP1166" s="9">
        <f>I1166-W1166-X1166-AN1166</f>
        <v>2.886579864025407E-15</v>
      </c>
      <c r="AQ1166" t="s">
        <v>1316</v>
      </c>
    </row>
    <row r="1167" spans="1:43" x14ac:dyDescent="0.3">
      <c r="A1167" s="11">
        <f t="shared" si="69"/>
        <v>1165</v>
      </c>
      <c r="B1167" s="5" t="s">
        <v>1675</v>
      </c>
      <c r="C1167" t="s">
        <v>893</v>
      </c>
      <c r="D1167" t="s">
        <v>836</v>
      </c>
      <c r="E1167" s="24" t="str">
        <f>IFERROR(VLOOKUP(D1167,Dropdown!A:B,2,0),D1167)</f>
        <v>Intime</v>
      </c>
      <c r="F1167" s="6">
        <v>45968</v>
      </c>
      <c r="G1167" s="6" t="str">
        <f>TEXT(F1167, "MMM-YY")</f>
        <v>Nov-25</v>
      </c>
      <c r="H1167" t="s">
        <v>1535</v>
      </c>
      <c r="I1167" s="25">
        <v>93.933000000000007</v>
      </c>
      <c r="J1167" s="4">
        <v>4000</v>
      </c>
      <c r="K1167" t="s">
        <v>911</v>
      </c>
      <c r="L1167" s="4" t="str">
        <f>VLOOKUP(K1167, 'Items Master'!A:E,5,0)</f>
        <v>BCPL</v>
      </c>
      <c r="M1167" s="4" t="str">
        <f>VLOOKUP(K1167, 'Items Master'!A:D,4,0)</f>
        <v>LLDPE</v>
      </c>
      <c r="N1167" t="s">
        <v>49</v>
      </c>
      <c r="Q1167" s="6">
        <f t="shared" si="66"/>
        <v>45968</v>
      </c>
      <c r="R1167" s="6" t="str">
        <f t="shared" si="65"/>
        <v>Nov-25</v>
      </c>
      <c r="AN1167" s="9">
        <f t="shared" si="68"/>
        <v>0</v>
      </c>
      <c r="AP1167" s="9">
        <f>I1167-W1167-X1167-AN1167</f>
        <v>93.933000000000007</v>
      </c>
    </row>
    <row r="1168" spans="1:43" x14ac:dyDescent="0.3">
      <c r="A1168" s="11">
        <f t="shared" si="69"/>
        <v>1166</v>
      </c>
      <c r="B1168" s="5" t="s">
        <v>1675</v>
      </c>
      <c r="C1168" t="s">
        <v>893</v>
      </c>
      <c r="D1168" t="s">
        <v>836</v>
      </c>
      <c r="E1168" s="24" t="str">
        <f>IFERROR(VLOOKUP(D1168,Dropdown!A:B,2,0),D1168)</f>
        <v>Intime</v>
      </c>
      <c r="F1168" s="6">
        <v>45968</v>
      </c>
      <c r="G1168" s="6" t="str">
        <f>TEXT(F1168, "MMM-YY")</f>
        <v>Nov-25</v>
      </c>
      <c r="H1168" t="s">
        <v>1535</v>
      </c>
      <c r="I1168" s="25">
        <v>93.933000000000007</v>
      </c>
      <c r="J1168" s="4">
        <v>11000</v>
      </c>
      <c r="K1168" t="s">
        <v>911</v>
      </c>
      <c r="L1168" s="4" t="str">
        <f>VLOOKUP(K1168, 'Items Master'!A:E,5,0)</f>
        <v>BCPL</v>
      </c>
      <c r="M1168" s="4" t="str">
        <f>VLOOKUP(K1168, 'Items Master'!A:D,4,0)</f>
        <v>LLDPE</v>
      </c>
      <c r="N1168" t="s">
        <v>49</v>
      </c>
      <c r="Q1168" s="6">
        <f t="shared" si="66"/>
        <v>45968</v>
      </c>
      <c r="R1168" s="6" t="str">
        <f t="shared" si="65"/>
        <v>Nov-25</v>
      </c>
      <c r="AN1168" s="9">
        <f t="shared" si="68"/>
        <v>0</v>
      </c>
      <c r="AP1168" s="9">
        <f>I1168-W1168-X1168-AN1168</f>
        <v>93.933000000000007</v>
      </c>
    </row>
    <row r="1169" spans="1:44" x14ac:dyDescent="0.3">
      <c r="A1169" s="11">
        <f t="shared" si="69"/>
        <v>1167</v>
      </c>
      <c r="B1169" s="5" t="s">
        <v>1675</v>
      </c>
      <c r="C1169" t="s">
        <v>893</v>
      </c>
      <c r="D1169" t="s">
        <v>824</v>
      </c>
      <c r="E1169" s="24" t="str">
        <f>IFERROR(VLOOKUP(D1169,Dropdown!A:B,2,0),D1169)</f>
        <v>Paragon</v>
      </c>
      <c r="F1169" s="6">
        <v>45969</v>
      </c>
      <c r="G1169" s="6" t="str">
        <f>TEXT(F1169, "MMM-YY")</f>
        <v>Nov-25</v>
      </c>
      <c r="H1169" t="s">
        <v>1536</v>
      </c>
      <c r="I1169" s="25">
        <v>94.9</v>
      </c>
      <c r="J1169" s="4">
        <v>1500</v>
      </c>
      <c r="K1169" t="s">
        <v>941</v>
      </c>
      <c r="L1169" s="4" t="str">
        <f>VLOOKUP(K1169, 'Items Master'!A:E,5,0)</f>
        <v>RIL</v>
      </c>
      <c r="M1169" s="4" t="str">
        <f>VLOOKUP(K1169, 'Items Master'!A:D,4,0)</f>
        <v>LLDPE</v>
      </c>
      <c r="N1169" t="s">
        <v>49</v>
      </c>
      <c r="Q1169" s="6">
        <f t="shared" si="66"/>
        <v>45969</v>
      </c>
      <c r="R1169" s="6" t="str">
        <f t="shared" si="65"/>
        <v>Nov-25</v>
      </c>
      <c r="AN1169" s="9">
        <f t="shared" si="68"/>
        <v>0</v>
      </c>
      <c r="AP1169" s="9">
        <f>I1169-W1169-X1169-AN1169</f>
        <v>94.9</v>
      </c>
    </row>
    <row r="1170" spans="1:44" x14ac:dyDescent="0.3">
      <c r="A1170" s="11">
        <f t="shared" si="69"/>
        <v>1168</v>
      </c>
      <c r="B1170" s="5" t="s">
        <v>1675</v>
      </c>
      <c r="C1170" t="s">
        <v>893</v>
      </c>
      <c r="D1170" t="s">
        <v>857</v>
      </c>
      <c r="E1170" s="24" t="str">
        <f>IFERROR(VLOOKUP(D1170,Dropdown!A:B,2,0),D1170)</f>
        <v>Purav</v>
      </c>
      <c r="F1170" s="6">
        <v>45969</v>
      </c>
      <c r="G1170" s="6" t="str">
        <f>TEXT(F1170, "MMM-YY")</f>
        <v>Nov-25</v>
      </c>
      <c r="H1170" t="s">
        <v>1594</v>
      </c>
      <c r="I1170" s="25">
        <v>93.75</v>
      </c>
      <c r="J1170" s="4">
        <v>5000</v>
      </c>
      <c r="K1170" t="s">
        <v>898</v>
      </c>
      <c r="L1170" s="4" t="str">
        <f>VLOOKUP(K1170, 'Items Master'!A:E,5,0)</f>
        <v>OPAL</v>
      </c>
      <c r="M1170" s="4" t="str">
        <f>VLOOKUP(K1170, 'Items Master'!A:D,4,0)</f>
        <v>LLDPE</v>
      </c>
      <c r="N1170" t="s">
        <v>49</v>
      </c>
      <c r="Q1170" s="6">
        <f t="shared" si="66"/>
        <v>45969</v>
      </c>
      <c r="R1170" s="6" t="str">
        <f t="shared" si="65"/>
        <v>Nov-25</v>
      </c>
      <c r="X1170" s="25">
        <v>94.55</v>
      </c>
      <c r="Y1170" s="25" t="s">
        <v>1303</v>
      </c>
      <c r="Z1170" s="25" t="s">
        <v>1306</v>
      </c>
      <c r="AB1170" s="8">
        <v>-0.9</v>
      </c>
      <c r="AH1170" s="8">
        <v>0.1</v>
      </c>
      <c r="AN1170" s="9">
        <f t="shared" si="68"/>
        <v>-0.8</v>
      </c>
      <c r="AP1170" s="9">
        <f>I1170-W1170-X1170-AN1170</f>
        <v>2.886579864025407E-15</v>
      </c>
      <c r="AQ1170" t="s">
        <v>1316</v>
      </c>
    </row>
    <row r="1171" spans="1:44" x14ac:dyDescent="0.3">
      <c r="A1171" s="11">
        <f t="shared" si="69"/>
        <v>1169</v>
      </c>
      <c r="B1171" s="5" t="s">
        <v>1675</v>
      </c>
      <c r="C1171" t="s">
        <v>893</v>
      </c>
      <c r="D1171" t="s">
        <v>857</v>
      </c>
      <c r="E1171" s="24" t="str">
        <f>IFERROR(VLOOKUP(D1171,Dropdown!A:B,2,0),D1171)</f>
        <v>Purav</v>
      </c>
      <c r="F1171" s="6">
        <v>45969</v>
      </c>
      <c r="G1171" s="6" t="str">
        <f>TEXT(F1171, "MMM-YY")</f>
        <v>Nov-25</v>
      </c>
      <c r="H1171" t="s">
        <v>1595</v>
      </c>
      <c r="I1171" s="25">
        <v>95</v>
      </c>
      <c r="J1171" s="4">
        <v>8000</v>
      </c>
      <c r="K1171" t="s">
        <v>17</v>
      </c>
      <c r="L1171" s="4" t="str">
        <f>VLOOKUP(K1171, 'Items Master'!A:E,5,0)</f>
        <v>OPAL</v>
      </c>
      <c r="M1171" s="4" t="str">
        <f>VLOOKUP(K1171, 'Items Master'!A:D,4,0)</f>
        <v>LLDPE</v>
      </c>
      <c r="N1171" t="s">
        <v>49</v>
      </c>
      <c r="Q1171" s="6">
        <v>45961</v>
      </c>
      <c r="R1171" s="6" t="str">
        <f t="shared" si="65"/>
        <v>Oct-25</v>
      </c>
      <c r="U1171" t="s">
        <v>1605</v>
      </c>
      <c r="X1171" s="25">
        <v>95.8</v>
      </c>
      <c r="Y1171" s="25" t="s">
        <v>1303</v>
      </c>
      <c r="Z1171" s="25" t="s">
        <v>1306</v>
      </c>
      <c r="AB1171" s="8">
        <v>-0.9</v>
      </c>
      <c r="AI1171" s="8">
        <v>0.1</v>
      </c>
      <c r="AN1171" s="9">
        <f t="shared" si="68"/>
        <v>-0.8</v>
      </c>
      <c r="AP1171" s="9">
        <f>I1171-W1171-X1171-AN1171</f>
        <v>2.886579864025407E-15</v>
      </c>
      <c r="AQ1171" t="s">
        <v>1316</v>
      </c>
    </row>
    <row r="1172" spans="1:44" x14ac:dyDescent="0.3">
      <c r="A1172" s="11">
        <f t="shared" si="69"/>
        <v>1170</v>
      </c>
      <c r="B1172" s="5" t="s">
        <v>1675</v>
      </c>
      <c r="C1172" t="s">
        <v>893</v>
      </c>
      <c r="D1172" t="s">
        <v>836</v>
      </c>
      <c r="E1172" s="24" t="str">
        <f>IFERROR(VLOOKUP(D1172,Dropdown!A:B,2,0),D1172)</f>
        <v>Intime</v>
      </c>
      <c r="F1172" s="6">
        <v>45969</v>
      </c>
      <c r="G1172" s="6" t="str">
        <f>TEXT(F1172, "MMM-YY")</f>
        <v>Nov-25</v>
      </c>
      <c r="H1172" t="s">
        <v>1596</v>
      </c>
      <c r="I1172" s="25">
        <v>93.933000000000007</v>
      </c>
      <c r="J1172" s="4">
        <v>10000</v>
      </c>
      <c r="K1172" t="s">
        <v>911</v>
      </c>
      <c r="L1172" s="4" t="str">
        <f>VLOOKUP(K1172, 'Items Master'!A:E,5,0)</f>
        <v>BCPL</v>
      </c>
      <c r="M1172" s="4" t="str">
        <f>VLOOKUP(K1172, 'Items Master'!A:D,4,0)</f>
        <v>LLDPE</v>
      </c>
      <c r="N1172" t="s">
        <v>49</v>
      </c>
      <c r="Q1172" s="6">
        <f t="shared" si="66"/>
        <v>45969</v>
      </c>
      <c r="R1172" s="6" t="str">
        <f t="shared" si="65"/>
        <v>Nov-25</v>
      </c>
      <c r="AN1172" s="9">
        <f t="shared" si="68"/>
        <v>0</v>
      </c>
      <c r="AP1172" s="9">
        <f>I1172-W1172-X1172-AN1172</f>
        <v>93.933000000000007</v>
      </c>
    </row>
    <row r="1173" spans="1:44" x14ac:dyDescent="0.3">
      <c r="A1173" s="11">
        <f t="shared" si="69"/>
        <v>1171</v>
      </c>
      <c r="B1173" s="5" t="s">
        <v>1675</v>
      </c>
      <c r="C1173" t="s">
        <v>893</v>
      </c>
      <c r="D1173" t="s">
        <v>48</v>
      </c>
      <c r="E1173" s="24" t="str">
        <f>IFERROR(VLOOKUP(D1173,Dropdown!A:B,2,0),D1173)</f>
        <v>CVPL</v>
      </c>
      <c r="F1173" s="6">
        <v>45971</v>
      </c>
      <c r="G1173" s="6" t="str">
        <f t="shared" ref="G1173:G1234" si="71">TEXT(F1173, "MMM-YY")</f>
        <v>Nov-25</v>
      </c>
      <c r="H1173" t="s">
        <v>1609</v>
      </c>
      <c r="I1173" s="25">
        <v>89.8</v>
      </c>
      <c r="J1173" s="4">
        <v>11000</v>
      </c>
      <c r="K1173" t="s">
        <v>899</v>
      </c>
      <c r="L1173" s="4" t="str">
        <f>VLOOKUP(K1173, 'Items Master'!A:E,5,0)</f>
        <v>MRPL</v>
      </c>
      <c r="M1173" s="4" t="str">
        <f>VLOOKUP(K1173, 'Items Master'!A:D,4,0)</f>
        <v>PP</v>
      </c>
      <c r="N1173" t="s">
        <v>49</v>
      </c>
      <c r="Q1173" s="6">
        <f>F1173</f>
        <v>45971</v>
      </c>
      <c r="R1173" s="6" t="str">
        <f t="shared" si="65"/>
        <v>Nov-25</v>
      </c>
      <c r="AN1173" s="9">
        <f t="shared" si="68"/>
        <v>0</v>
      </c>
      <c r="AP1173" s="9">
        <f t="shared" ref="AP1173:AP1234" si="72">I1173-W1173-X1173-AN1173</f>
        <v>89.8</v>
      </c>
    </row>
    <row r="1174" spans="1:44" x14ac:dyDescent="0.3">
      <c r="A1174" s="11">
        <f t="shared" si="69"/>
        <v>1172</v>
      </c>
      <c r="B1174" s="5" t="s">
        <v>1675</v>
      </c>
      <c r="C1174" t="s">
        <v>893</v>
      </c>
      <c r="D1174" t="s">
        <v>48</v>
      </c>
      <c r="E1174" s="24" t="str">
        <f>IFERROR(VLOOKUP(D1174,Dropdown!A:B,2,0),D1174)</f>
        <v>CVPL</v>
      </c>
      <c r="F1174" s="6">
        <v>45972</v>
      </c>
      <c r="G1174" s="6" t="str">
        <f t="shared" si="71"/>
        <v>Nov-25</v>
      </c>
      <c r="H1174" t="s">
        <v>1610</v>
      </c>
      <c r="I1174" s="25">
        <v>95.5</v>
      </c>
      <c r="J1174" s="4">
        <v>3000</v>
      </c>
      <c r="K1174" t="s">
        <v>934</v>
      </c>
      <c r="L1174" s="4" t="str">
        <f>VLOOKUP(K1174, 'Items Master'!A:E,5,0)</f>
        <v>RIL</v>
      </c>
      <c r="M1174" s="4" t="str">
        <f>VLOOKUP(K1174, 'Items Master'!A:D,4,0)</f>
        <v>PP RCP</v>
      </c>
      <c r="N1174" t="s">
        <v>24</v>
      </c>
      <c r="Q1174" s="6">
        <f t="shared" ref="Q1174:Q1204" si="73">F1174</f>
        <v>45972</v>
      </c>
      <c r="R1174" s="6" t="str">
        <f t="shared" si="65"/>
        <v>Nov-25</v>
      </c>
      <c r="W1174" s="25">
        <v>95.5</v>
      </c>
      <c r="AN1174" s="9">
        <f t="shared" si="68"/>
        <v>0</v>
      </c>
      <c r="AP1174" s="9">
        <f t="shared" si="72"/>
        <v>0</v>
      </c>
      <c r="AQ1174" t="s">
        <v>1316</v>
      </c>
    </row>
    <row r="1175" spans="1:44" x14ac:dyDescent="0.3">
      <c r="A1175" s="11">
        <f t="shared" si="69"/>
        <v>1173</v>
      </c>
      <c r="B1175" s="5" t="s">
        <v>1675</v>
      </c>
      <c r="C1175" t="s">
        <v>893</v>
      </c>
      <c r="D1175" t="s">
        <v>824</v>
      </c>
      <c r="E1175" s="24" t="str">
        <f>IFERROR(VLOOKUP(D1175,Dropdown!A:B,2,0),D1175)</f>
        <v>Paragon</v>
      </c>
      <c r="F1175" s="6">
        <v>45972</v>
      </c>
      <c r="G1175" s="6" t="str">
        <f t="shared" si="71"/>
        <v>Nov-25</v>
      </c>
      <c r="H1175" t="s">
        <v>1611</v>
      </c>
      <c r="I1175" s="25">
        <v>90</v>
      </c>
      <c r="J1175" s="4">
        <v>725</v>
      </c>
      <c r="K1175" t="s">
        <v>910</v>
      </c>
      <c r="L1175" s="4" t="str">
        <f>VLOOKUP(K1175, 'Items Master'!A:E,5,0)</f>
        <v>RIL</v>
      </c>
      <c r="M1175" s="4" t="str">
        <f>VLOOKUP(K1175, 'Items Master'!A:D,4,0)</f>
        <v>PP</v>
      </c>
      <c r="N1175" t="s">
        <v>49</v>
      </c>
      <c r="Q1175" s="6">
        <f t="shared" si="73"/>
        <v>45972</v>
      </c>
      <c r="R1175" s="6" t="str">
        <f t="shared" si="65"/>
        <v>Nov-25</v>
      </c>
      <c r="AN1175" s="9">
        <f t="shared" si="68"/>
        <v>0</v>
      </c>
      <c r="AP1175" s="9">
        <f t="shared" si="72"/>
        <v>90</v>
      </c>
    </row>
    <row r="1176" spans="1:44" x14ac:dyDescent="0.3">
      <c r="A1176" s="11">
        <f t="shared" si="69"/>
        <v>1174</v>
      </c>
      <c r="B1176" s="5" t="s">
        <v>1675</v>
      </c>
      <c r="C1176" t="s">
        <v>893</v>
      </c>
      <c r="D1176" t="s">
        <v>836</v>
      </c>
      <c r="E1176" s="24" t="str">
        <f>IFERROR(VLOOKUP(D1176,Dropdown!A:B,2,0),D1176)</f>
        <v>Intime</v>
      </c>
      <c r="F1176" s="6">
        <v>45972</v>
      </c>
      <c r="G1176" s="6" t="str">
        <f t="shared" si="71"/>
        <v>Nov-25</v>
      </c>
      <c r="H1176" t="s">
        <v>1612</v>
      </c>
      <c r="I1176" s="25">
        <v>93.933000000000007</v>
      </c>
      <c r="J1176" s="4">
        <v>25000</v>
      </c>
      <c r="K1176" t="s">
        <v>911</v>
      </c>
      <c r="L1176" s="4" t="str">
        <f>VLOOKUP(K1176, 'Items Master'!A:E,5,0)</f>
        <v>BCPL</v>
      </c>
      <c r="M1176" s="4" t="str">
        <f>VLOOKUP(K1176, 'Items Master'!A:D,4,0)</f>
        <v>LLDPE</v>
      </c>
      <c r="N1176" t="s">
        <v>49</v>
      </c>
      <c r="Q1176" s="6">
        <f t="shared" si="73"/>
        <v>45972</v>
      </c>
      <c r="R1176" s="6" t="str">
        <f t="shared" si="65"/>
        <v>Nov-25</v>
      </c>
      <c r="AN1176" s="9">
        <f t="shared" si="68"/>
        <v>0</v>
      </c>
      <c r="AP1176" s="9">
        <f t="shared" si="72"/>
        <v>93.933000000000007</v>
      </c>
    </row>
    <row r="1177" spans="1:44" x14ac:dyDescent="0.3">
      <c r="A1177" s="11">
        <f t="shared" si="69"/>
        <v>1175</v>
      </c>
      <c r="B1177" s="5" t="s">
        <v>1675</v>
      </c>
      <c r="C1177" t="s">
        <v>893</v>
      </c>
      <c r="D1177" t="s">
        <v>48</v>
      </c>
      <c r="E1177" s="24" t="str">
        <f>IFERROR(VLOOKUP(D1177,Dropdown!A:B,2,0),D1177)</f>
        <v>CVPL</v>
      </c>
      <c r="F1177" s="6">
        <v>45973</v>
      </c>
      <c r="G1177" s="6" t="str">
        <f t="shared" si="71"/>
        <v>Nov-25</v>
      </c>
      <c r="H1177" t="s">
        <v>1613</v>
      </c>
      <c r="I1177" s="25">
        <v>89.8</v>
      </c>
      <c r="J1177" s="4">
        <v>3000</v>
      </c>
      <c r="K1177" t="s">
        <v>899</v>
      </c>
      <c r="L1177" s="4" t="str">
        <f>VLOOKUP(K1177, 'Items Master'!A:E,5,0)</f>
        <v>MRPL</v>
      </c>
      <c r="M1177" s="4" t="str">
        <f>VLOOKUP(K1177, 'Items Master'!A:D,4,0)</f>
        <v>PP</v>
      </c>
      <c r="N1177" t="s">
        <v>49</v>
      </c>
      <c r="Q1177" s="6">
        <f t="shared" si="73"/>
        <v>45973</v>
      </c>
      <c r="R1177" s="6" t="str">
        <f t="shared" si="65"/>
        <v>Nov-25</v>
      </c>
      <c r="AN1177" s="9">
        <f t="shared" si="68"/>
        <v>0</v>
      </c>
      <c r="AP1177" s="9">
        <f t="shared" si="72"/>
        <v>89.8</v>
      </c>
    </row>
    <row r="1178" spans="1:44" x14ac:dyDescent="0.3">
      <c r="A1178" s="11">
        <f t="shared" si="69"/>
        <v>1176</v>
      </c>
      <c r="B1178" s="5" t="s">
        <v>1675</v>
      </c>
      <c r="C1178" t="s">
        <v>893</v>
      </c>
      <c r="D1178" t="s">
        <v>48</v>
      </c>
      <c r="E1178" s="24" t="str">
        <f>IFERROR(VLOOKUP(D1178,Dropdown!A:B,2,0),D1178)</f>
        <v>CVPL</v>
      </c>
      <c r="F1178" s="6">
        <v>45973</v>
      </c>
      <c r="G1178" s="6" t="str">
        <f t="shared" si="71"/>
        <v>Nov-25</v>
      </c>
      <c r="H1178" t="s">
        <v>1614</v>
      </c>
      <c r="I1178" s="25">
        <v>91.45</v>
      </c>
      <c r="J1178" s="4">
        <v>1000</v>
      </c>
      <c r="K1178" t="s">
        <v>901</v>
      </c>
      <c r="L1178" s="4" t="str">
        <f>VLOOKUP(K1178, 'Items Master'!A:E,5,0)</f>
        <v>MRPL</v>
      </c>
      <c r="M1178" s="4" t="str">
        <f>VLOOKUP(K1178, 'Items Master'!A:D,4,0)</f>
        <v>PP</v>
      </c>
      <c r="N1178" t="s">
        <v>49</v>
      </c>
      <c r="Q1178" s="6">
        <f t="shared" si="73"/>
        <v>45973</v>
      </c>
      <c r="R1178" s="6" t="str">
        <f t="shared" si="65"/>
        <v>Nov-25</v>
      </c>
      <c r="AN1178" s="9">
        <f t="shared" si="68"/>
        <v>0</v>
      </c>
      <c r="AP1178" s="9">
        <f t="shared" si="72"/>
        <v>91.45</v>
      </c>
    </row>
    <row r="1179" spans="1:44" x14ac:dyDescent="0.3">
      <c r="A1179" s="11">
        <f t="shared" si="69"/>
        <v>1177</v>
      </c>
      <c r="B1179" s="5" t="s">
        <v>1675</v>
      </c>
      <c r="C1179" t="s">
        <v>893</v>
      </c>
      <c r="D1179" t="s">
        <v>48</v>
      </c>
      <c r="E1179" s="24" t="str">
        <f>IFERROR(VLOOKUP(D1179,Dropdown!A:B,2,0),D1179)</f>
        <v>CVPL</v>
      </c>
      <c r="F1179" s="6">
        <v>45973</v>
      </c>
      <c r="G1179" s="6" t="str">
        <f t="shared" si="71"/>
        <v>Nov-25</v>
      </c>
      <c r="H1179" t="s">
        <v>1615</v>
      </c>
      <c r="I1179" s="25">
        <v>96.19</v>
      </c>
      <c r="J1179" s="4">
        <v>2000</v>
      </c>
      <c r="K1179" t="s">
        <v>974</v>
      </c>
      <c r="L1179" s="4" t="str">
        <f>VLOOKUP(K1179, 'Items Master'!A:E,5,0)</f>
        <v>GAIL</v>
      </c>
      <c r="M1179" s="4" t="str">
        <f>VLOOKUP(K1179, 'Items Master'!A:D,4,0)</f>
        <v>LLDPE</v>
      </c>
      <c r="N1179" t="s">
        <v>49</v>
      </c>
      <c r="Q1179" s="6">
        <f t="shared" si="73"/>
        <v>45973</v>
      </c>
      <c r="R1179" s="6" t="str">
        <f t="shared" si="65"/>
        <v>Nov-25</v>
      </c>
      <c r="X1179" s="25">
        <v>96.186679999999996</v>
      </c>
      <c r="Y1179" s="25" t="s">
        <v>1304</v>
      </c>
      <c r="Z1179" s="25" t="s">
        <v>1305</v>
      </c>
      <c r="AN1179" s="9">
        <f t="shared" si="68"/>
        <v>0</v>
      </c>
      <c r="AP1179" s="9">
        <f t="shared" si="72"/>
        <v>3.3200000000022101E-3</v>
      </c>
    </row>
    <row r="1180" spans="1:44" x14ac:dyDescent="0.3">
      <c r="A1180" s="11">
        <f t="shared" si="69"/>
        <v>1178</v>
      </c>
      <c r="B1180" s="5" t="s">
        <v>1675</v>
      </c>
      <c r="C1180" t="s">
        <v>893</v>
      </c>
      <c r="D1180" t="s">
        <v>48</v>
      </c>
      <c r="E1180" s="24" t="str">
        <f>IFERROR(VLOOKUP(D1180,Dropdown!A:B,2,0),D1180)</f>
        <v>CVPL</v>
      </c>
      <c r="F1180" s="6">
        <v>45973</v>
      </c>
      <c r="G1180" s="6" t="str">
        <f t="shared" si="71"/>
        <v>Nov-25</v>
      </c>
      <c r="H1180" t="s">
        <v>1615</v>
      </c>
      <c r="I1180" s="25">
        <v>94.07</v>
      </c>
      <c r="J1180" s="4">
        <v>1000</v>
      </c>
      <c r="K1180" t="s">
        <v>942</v>
      </c>
      <c r="L1180" s="4" t="str">
        <f>VLOOKUP(K1180, 'Items Master'!A:E,5,0)</f>
        <v>GAIL</v>
      </c>
      <c r="M1180" s="4" t="str">
        <f>VLOOKUP(K1180, 'Items Master'!A:D,4,0)</f>
        <v>HDPE</v>
      </c>
      <c r="N1180" t="s">
        <v>49</v>
      </c>
      <c r="Q1180" s="6">
        <f t="shared" si="73"/>
        <v>45973</v>
      </c>
      <c r="R1180" s="6" t="str">
        <f t="shared" si="65"/>
        <v>Nov-25</v>
      </c>
      <c r="X1180" s="25">
        <v>94.066680000000005</v>
      </c>
      <c r="Y1180" s="25" t="s">
        <v>1304</v>
      </c>
      <c r="Z1180" s="25" t="s">
        <v>1305</v>
      </c>
      <c r="AN1180" s="9">
        <f t="shared" si="68"/>
        <v>0</v>
      </c>
      <c r="AP1180" s="9">
        <f t="shared" si="72"/>
        <v>3.3199999999879992E-3</v>
      </c>
    </row>
    <row r="1181" spans="1:44" x14ac:dyDescent="0.3">
      <c r="A1181" s="11">
        <f t="shared" si="69"/>
        <v>1179</v>
      </c>
      <c r="B1181" s="5" t="s">
        <v>1675</v>
      </c>
      <c r="C1181" t="s">
        <v>893</v>
      </c>
      <c r="D1181" t="s">
        <v>48</v>
      </c>
      <c r="E1181" s="24" t="str">
        <f>IFERROR(VLOOKUP(D1181,Dropdown!A:B,2,0),D1181)</f>
        <v>CVPL</v>
      </c>
      <c r="F1181" s="6">
        <v>45974</v>
      </c>
      <c r="G1181" s="6" t="str">
        <f t="shared" si="71"/>
        <v>Nov-25</v>
      </c>
      <c r="H1181" t="s">
        <v>1616</v>
      </c>
      <c r="I1181" s="25">
        <v>95.49</v>
      </c>
      <c r="J1181" s="4">
        <v>2000</v>
      </c>
      <c r="K1181" t="s">
        <v>903</v>
      </c>
      <c r="L1181" s="4" t="str">
        <f>VLOOKUP(K1181, 'Items Master'!A:E,5,0)</f>
        <v>GAIL</v>
      </c>
      <c r="M1181" s="4" t="str">
        <f>VLOOKUP(K1181, 'Items Master'!A:D,4,0)</f>
        <v>LLDPE</v>
      </c>
      <c r="N1181" t="s">
        <v>49</v>
      </c>
      <c r="Q1181" s="6">
        <f t="shared" si="73"/>
        <v>45974</v>
      </c>
      <c r="R1181" s="6" t="str">
        <f t="shared" si="65"/>
        <v>Nov-25</v>
      </c>
      <c r="AN1181" s="9">
        <f t="shared" si="68"/>
        <v>0</v>
      </c>
      <c r="AP1181" s="9">
        <f t="shared" si="72"/>
        <v>95.49</v>
      </c>
    </row>
    <row r="1182" spans="1:44" x14ac:dyDescent="0.3">
      <c r="A1182" s="11">
        <f t="shared" si="69"/>
        <v>1180</v>
      </c>
      <c r="B1182" s="5" t="s">
        <v>1675</v>
      </c>
      <c r="C1182" t="s">
        <v>893</v>
      </c>
      <c r="D1182" t="s">
        <v>48</v>
      </c>
      <c r="E1182" s="24" t="str">
        <f>IFERROR(VLOOKUP(D1182,Dropdown!A:B,2,0),D1182)</f>
        <v>CVPL</v>
      </c>
      <c r="F1182" s="6">
        <v>45974</v>
      </c>
      <c r="G1182" s="6" t="str">
        <f t="shared" si="71"/>
        <v>Nov-25</v>
      </c>
      <c r="H1182" t="s">
        <v>1616</v>
      </c>
      <c r="I1182" s="25">
        <v>96.87</v>
      </c>
      <c r="J1182" s="4">
        <v>500</v>
      </c>
      <c r="K1182" t="s">
        <v>952</v>
      </c>
      <c r="L1182" s="4" t="str">
        <f>VLOOKUP(K1182, 'Items Master'!A:E,5,0)</f>
        <v>GAIL</v>
      </c>
      <c r="M1182" s="4" t="str">
        <f>VLOOKUP(K1182, 'Items Master'!A:D,4,0)</f>
        <v>HDPE</v>
      </c>
      <c r="N1182" t="s">
        <v>49</v>
      </c>
      <c r="Q1182" s="6">
        <f t="shared" si="73"/>
        <v>45974</v>
      </c>
      <c r="R1182" s="6" t="str">
        <f t="shared" si="65"/>
        <v>Nov-25</v>
      </c>
      <c r="AN1182" s="9">
        <f t="shared" si="68"/>
        <v>0</v>
      </c>
      <c r="AP1182" s="9">
        <f t="shared" si="72"/>
        <v>96.87</v>
      </c>
    </row>
    <row r="1183" spans="1:44" x14ac:dyDescent="0.3">
      <c r="A1183" s="11">
        <f t="shared" si="69"/>
        <v>1181</v>
      </c>
      <c r="B1183" s="5" t="s">
        <v>1675</v>
      </c>
      <c r="C1183" t="s">
        <v>894</v>
      </c>
      <c r="D1183" t="s">
        <v>885</v>
      </c>
      <c r="E1183" s="24" t="str">
        <f>IFERROR(VLOOKUP(D1183,Dropdown!A:B,2,0),D1183)</f>
        <v>Allied</v>
      </c>
      <c r="F1183" s="6">
        <v>45974</v>
      </c>
      <c r="G1183" s="6" t="str">
        <f t="shared" si="71"/>
        <v>Nov-25</v>
      </c>
      <c r="H1183" t="s">
        <v>1617</v>
      </c>
      <c r="I1183" s="25">
        <v>93.22</v>
      </c>
      <c r="J1183" s="4">
        <v>12000</v>
      </c>
      <c r="K1183" t="s">
        <v>1012</v>
      </c>
      <c r="L1183" s="4" t="str">
        <f>VLOOKUP(K1183, 'Items Master'!A:E,5,0)</f>
        <v>HMEL</v>
      </c>
      <c r="M1183" s="4" t="str">
        <f>VLOOKUP(K1183, 'Items Master'!A:D,4,0)</f>
        <v>LLDPE</v>
      </c>
      <c r="N1183" t="s">
        <v>49</v>
      </c>
      <c r="Q1183" s="6">
        <f t="shared" si="73"/>
        <v>45974</v>
      </c>
      <c r="R1183" s="6" t="str">
        <f t="shared" si="65"/>
        <v>Nov-25</v>
      </c>
      <c r="X1183" s="25">
        <v>93.47</v>
      </c>
      <c r="Y1183" s="25" t="s">
        <v>1303</v>
      </c>
      <c r="Z1183" s="25" t="s">
        <v>1634</v>
      </c>
      <c r="AN1183" s="9">
        <f t="shared" si="68"/>
        <v>0</v>
      </c>
      <c r="AP1183" s="9">
        <f t="shared" si="72"/>
        <v>-0.25</v>
      </c>
      <c r="AQ1183" t="s">
        <v>1324</v>
      </c>
      <c r="AR1183" t="s">
        <v>1635</v>
      </c>
    </row>
    <row r="1184" spans="1:44" x14ac:dyDescent="0.3">
      <c r="A1184" s="11">
        <f t="shared" si="69"/>
        <v>1182</v>
      </c>
      <c r="B1184" s="5" t="s">
        <v>1675</v>
      </c>
      <c r="C1184" t="s">
        <v>894</v>
      </c>
      <c r="D1184" t="s">
        <v>837</v>
      </c>
      <c r="E1184" s="24" t="str">
        <f>IFERROR(VLOOKUP(D1184,Dropdown!A:B,2,0),D1184)</f>
        <v>SYNTHETIC PACKERS LIMITED</v>
      </c>
      <c r="F1184" s="6">
        <v>45974</v>
      </c>
      <c r="G1184" s="6" t="str">
        <f t="shared" si="71"/>
        <v>Nov-25</v>
      </c>
      <c r="H1184" t="s">
        <v>1618</v>
      </c>
      <c r="I1184" s="25">
        <v>89.75</v>
      </c>
      <c r="J1184" s="4">
        <v>24750</v>
      </c>
      <c r="K1184" t="s">
        <v>909</v>
      </c>
      <c r="L1184" s="4" t="str">
        <f>VLOOKUP(K1184, 'Items Master'!A:E,5,0)</f>
        <v>LUBAN</v>
      </c>
      <c r="M1184" s="4" t="str">
        <f>VLOOKUP(K1184, 'Items Master'!A:D,4,0)</f>
        <v>HDPE</v>
      </c>
      <c r="N1184" t="s">
        <v>24</v>
      </c>
      <c r="Q1184" s="6">
        <f t="shared" si="73"/>
        <v>45974</v>
      </c>
      <c r="R1184" s="6" t="str">
        <f t="shared" si="65"/>
        <v>Nov-25</v>
      </c>
      <c r="W1184" s="25">
        <v>89.75</v>
      </c>
      <c r="AN1184" s="9">
        <f t="shared" si="68"/>
        <v>0</v>
      </c>
      <c r="AP1184" s="9">
        <f t="shared" si="72"/>
        <v>0</v>
      </c>
      <c r="AQ1184" t="s">
        <v>1316</v>
      </c>
    </row>
    <row r="1185" spans="1:43" x14ac:dyDescent="0.3">
      <c r="A1185" s="11">
        <f t="shared" si="69"/>
        <v>1183</v>
      </c>
      <c r="B1185" s="5" t="s">
        <v>1675</v>
      </c>
      <c r="C1185" t="s">
        <v>893</v>
      </c>
      <c r="D1185" t="s">
        <v>48</v>
      </c>
      <c r="E1185" s="24" t="str">
        <f>IFERROR(VLOOKUP(D1185,Dropdown!A:B,2,0),D1185)</f>
        <v>CVPL</v>
      </c>
      <c r="F1185" s="6">
        <v>45974</v>
      </c>
      <c r="G1185" s="6" t="str">
        <f t="shared" si="71"/>
        <v>Nov-25</v>
      </c>
      <c r="H1185" t="s">
        <v>1619</v>
      </c>
      <c r="I1185" s="25">
        <v>95.49</v>
      </c>
      <c r="J1185" s="4">
        <v>1000</v>
      </c>
      <c r="K1185" t="s">
        <v>911</v>
      </c>
      <c r="L1185" s="4" t="str">
        <f>VLOOKUP(K1185, 'Items Master'!A:E,5,0)</f>
        <v>BCPL</v>
      </c>
      <c r="M1185" s="4" t="str">
        <f>VLOOKUP(K1185, 'Items Master'!A:D,4,0)</f>
        <v>LLDPE</v>
      </c>
      <c r="N1185" t="s">
        <v>49</v>
      </c>
      <c r="Q1185" s="6">
        <f t="shared" si="73"/>
        <v>45974</v>
      </c>
      <c r="R1185" s="6" t="str">
        <f t="shared" si="65"/>
        <v>Nov-25</v>
      </c>
      <c r="AN1185" s="9">
        <f t="shared" si="68"/>
        <v>0</v>
      </c>
      <c r="AP1185" s="9">
        <f t="shared" si="72"/>
        <v>95.49</v>
      </c>
    </row>
    <row r="1186" spans="1:43" x14ac:dyDescent="0.3">
      <c r="A1186" s="11">
        <f t="shared" si="69"/>
        <v>1184</v>
      </c>
      <c r="B1186" s="5" t="s">
        <v>1675</v>
      </c>
      <c r="C1186" t="s">
        <v>893</v>
      </c>
      <c r="D1186" t="s">
        <v>48</v>
      </c>
      <c r="E1186" s="24" t="str">
        <f>IFERROR(VLOOKUP(D1186,Dropdown!A:B,2,0),D1186)</f>
        <v>CVPL</v>
      </c>
      <c r="F1186" s="6">
        <v>45974</v>
      </c>
      <c r="G1186" s="6" t="str">
        <f t="shared" si="71"/>
        <v>Nov-25</v>
      </c>
      <c r="H1186" t="s">
        <v>1619</v>
      </c>
      <c r="I1186" s="25">
        <v>109.25</v>
      </c>
      <c r="J1186" s="4">
        <v>100</v>
      </c>
      <c r="K1186" t="s">
        <v>953</v>
      </c>
      <c r="L1186" s="4" t="str">
        <f>VLOOKUP(K1186, 'Items Master'!A:E,5,0)</f>
        <v>LOTRENE</v>
      </c>
      <c r="M1186" s="4" t="str">
        <f>VLOOKUP(K1186, 'Items Master'!A:D,4,0)</f>
        <v>LDPE</v>
      </c>
      <c r="N1186" t="s">
        <v>24</v>
      </c>
      <c r="Q1186" s="6">
        <f t="shared" si="73"/>
        <v>45974</v>
      </c>
      <c r="R1186" s="6" t="str">
        <f t="shared" si="65"/>
        <v>Nov-25</v>
      </c>
      <c r="W1186" s="25">
        <v>109.25</v>
      </c>
      <c r="AN1186" s="9">
        <f t="shared" si="68"/>
        <v>0</v>
      </c>
      <c r="AP1186" s="9">
        <f t="shared" si="72"/>
        <v>0</v>
      </c>
      <c r="AQ1186" t="s">
        <v>1316</v>
      </c>
    </row>
    <row r="1187" spans="1:43" x14ac:dyDescent="0.3">
      <c r="A1187" s="11">
        <f t="shared" si="69"/>
        <v>1185</v>
      </c>
      <c r="B1187" s="5" t="s">
        <v>1675</v>
      </c>
      <c r="C1187" t="s">
        <v>893</v>
      </c>
      <c r="D1187" t="s">
        <v>48</v>
      </c>
      <c r="E1187" s="24" t="str">
        <f>IFERROR(VLOOKUP(D1187,Dropdown!A:B,2,0),D1187)</f>
        <v>CVPL</v>
      </c>
      <c r="F1187" s="6">
        <v>45974</v>
      </c>
      <c r="G1187" s="6" t="str">
        <f t="shared" si="71"/>
        <v>Nov-25</v>
      </c>
      <c r="H1187" t="s">
        <v>1620</v>
      </c>
      <c r="I1187" s="25">
        <v>91.45</v>
      </c>
      <c r="J1187" s="4">
        <v>2000</v>
      </c>
      <c r="K1187" t="s">
        <v>901</v>
      </c>
      <c r="L1187" s="4" t="str">
        <f>VLOOKUP(K1187, 'Items Master'!A:E,5,0)</f>
        <v>MRPL</v>
      </c>
      <c r="M1187" s="4" t="str">
        <f>VLOOKUP(K1187, 'Items Master'!A:D,4,0)</f>
        <v>PP</v>
      </c>
      <c r="N1187" t="s">
        <v>49</v>
      </c>
      <c r="Q1187" s="6">
        <f t="shared" si="73"/>
        <v>45974</v>
      </c>
      <c r="R1187" s="6" t="str">
        <f t="shared" si="65"/>
        <v>Nov-25</v>
      </c>
      <c r="AN1187" s="9">
        <f t="shared" si="68"/>
        <v>0</v>
      </c>
      <c r="AP1187" s="9">
        <f t="shared" si="72"/>
        <v>91.45</v>
      </c>
    </row>
    <row r="1188" spans="1:43" x14ac:dyDescent="0.3">
      <c r="A1188" s="11">
        <f t="shared" si="69"/>
        <v>1186</v>
      </c>
      <c r="B1188" s="5" t="s">
        <v>1675</v>
      </c>
      <c r="C1188" t="s">
        <v>893</v>
      </c>
      <c r="D1188" t="s">
        <v>48</v>
      </c>
      <c r="E1188" s="24" t="str">
        <f>IFERROR(VLOOKUP(D1188,Dropdown!A:B,2,0),D1188)</f>
        <v>CVPL</v>
      </c>
      <c r="F1188" s="6">
        <v>45974</v>
      </c>
      <c r="G1188" s="6" t="str">
        <f t="shared" si="71"/>
        <v>Nov-25</v>
      </c>
      <c r="H1188" t="s">
        <v>1620</v>
      </c>
      <c r="I1188" s="25">
        <v>96.19</v>
      </c>
      <c r="J1188" s="4">
        <v>1000</v>
      </c>
      <c r="K1188" t="s">
        <v>974</v>
      </c>
      <c r="L1188" s="4" t="str">
        <f>VLOOKUP(K1188, 'Items Master'!A:E,5,0)</f>
        <v>GAIL</v>
      </c>
      <c r="M1188" s="4" t="str">
        <f>VLOOKUP(K1188, 'Items Master'!A:D,4,0)</f>
        <v>LLDPE</v>
      </c>
      <c r="N1188" t="s">
        <v>49</v>
      </c>
      <c r="Q1188" s="6">
        <f t="shared" si="73"/>
        <v>45974</v>
      </c>
      <c r="R1188" s="6" t="str">
        <f t="shared" si="65"/>
        <v>Nov-25</v>
      </c>
      <c r="AN1188" s="9">
        <f t="shared" si="68"/>
        <v>0</v>
      </c>
      <c r="AP1188" s="9">
        <f t="shared" si="72"/>
        <v>96.19</v>
      </c>
    </row>
    <row r="1189" spans="1:43" x14ac:dyDescent="0.3">
      <c r="A1189" s="11">
        <f t="shared" si="69"/>
        <v>1187</v>
      </c>
      <c r="B1189" s="5" t="s">
        <v>1675</v>
      </c>
      <c r="C1189" t="s">
        <v>894</v>
      </c>
      <c r="D1189" t="s">
        <v>883</v>
      </c>
      <c r="E1189" s="24" t="str">
        <f>IFERROR(VLOOKUP(D1189,Dropdown!A:B,2,0),D1189)</f>
        <v>VIDHI PETRO PRODUCTS PRIVATE LIMITED</v>
      </c>
      <c r="F1189" s="6">
        <v>45975</v>
      </c>
      <c r="G1189" s="6" t="str">
        <f t="shared" si="71"/>
        <v>Nov-25</v>
      </c>
      <c r="H1189" t="s">
        <v>1621</v>
      </c>
      <c r="I1189" s="25">
        <v>100</v>
      </c>
      <c r="J1189" s="4">
        <v>5000</v>
      </c>
      <c r="K1189" t="s">
        <v>1138</v>
      </c>
      <c r="L1189" s="4" t="str">
        <f>VLOOKUP(K1189, 'Items Master'!A:E,5,0)</f>
        <v>EXXON</v>
      </c>
      <c r="M1189" s="4" t="str">
        <f>VLOOKUP(K1189, 'Items Master'!A:D,4,0)</f>
        <v>Metallocene</v>
      </c>
      <c r="N1189" t="s">
        <v>24</v>
      </c>
      <c r="Q1189" s="6">
        <f t="shared" si="73"/>
        <v>45975</v>
      </c>
      <c r="R1189" s="6" t="str">
        <f t="shared" si="65"/>
        <v>Nov-25</v>
      </c>
      <c r="W1189" s="25">
        <v>100</v>
      </c>
      <c r="AN1189" s="9">
        <f t="shared" si="68"/>
        <v>0</v>
      </c>
      <c r="AP1189" s="9">
        <f t="shared" si="72"/>
        <v>0</v>
      </c>
      <c r="AQ1189" t="s">
        <v>1316</v>
      </c>
    </row>
    <row r="1190" spans="1:43" x14ac:dyDescent="0.3">
      <c r="A1190" s="11">
        <f t="shared" si="69"/>
        <v>1188</v>
      </c>
      <c r="B1190" s="5" t="s">
        <v>1675</v>
      </c>
      <c r="C1190" t="s">
        <v>893</v>
      </c>
      <c r="D1190" t="s">
        <v>48</v>
      </c>
      <c r="E1190" s="24" t="str">
        <f>IFERROR(VLOOKUP(D1190,Dropdown!A:B,2,0),D1190)</f>
        <v>CVPL</v>
      </c>
      <c r="F1190" s="6">
        <v>45975</v>
      </c>
      <c r="G1190" s="6" t="str">
        <f t="shared" si="71"/>
        <v>Nov-25</v>
      </c>
      <c r="H1190" t="s">
        <v>1622</v>
      </c>
      <c r="I1190" s="25">
        <v>89.8</v>
      </c>
      <c r="J1190" s="4">
        <v>10000</v>
      </c>
      <c r="K1190" t="s">
        <v>899</v>
      </c>
      <c r="L1190" s="4" t="str">
        <f>VLOOKUP(K1190, 'Items Master'!A:E,5,0)</f>
        <v>MRPL</v>
      </c>
      <c r="M1190" s="4" t="str">
        <f>VLOOKUP(K1190, 'Items Master'!A:D,4,0)</f>
        <v>PP</v>
      </c>
      <c r="N1190" t="s">
        <v>49</v>
      </c>
      <c r="Q1190" s="6">
        <f t="shared" si="73"/>
        <v>45975</v>
      </c>
      <c r="R1190" s="6" t="str">
        <f t="shared" si="65"/>
        <v>Nov-25</v>
      </c>
      <c r="AN1190" s="9">
        <f t="shared" si="68"/>
        <v>0</v>
      </c>
      <c r="AP1190" s="9">
        <f t="shared" si="72"/>
        <v>89.8</v>
      </c>
    </row>
    <row r="1191" spans="1:43" x14ac:dyDescent="0.3">
      <c r="A1191" s="11">
        <f t="shared" si="69"/>
        <v>1189</v>
      </c>
      <c r="B1191" s="5" t="s">
        <v>1675</v>
      </c>
      <c r="C1191" t="s">
        <v>894</v>
      </c>
      <c r="D1191" t="s">
        <v>883</v>
      </c>
      <c r="E1191" s="24" t="str">
        <f>IFERROR(VLOOKUP(D1191,Dropdown!A:B,2,0),D1191)</f>
        <v>VIDHI PETRO PRODUCTS PRIVATE LIMITED</v>
      </c>
      <c r="F1191" s="6">
        <v>45975</v>
      </c>
      <c r="G1191" s="6" t="str">
        <f t="shared" si="71"/>
        <v>Nov-25</v>
      </c>
      <c r="H1191" t="s">
        <v>1623</v>
      </c>
      <c r="I1191" s="25">
        <v>100</v>
      </c>
      <c r="J1191" s="4">
        <v>12000</v>
      </c>
      <c r="K1191" t="s">
        <v>1128</v>
      </c>
      <c r="L1191" s="4" t="str">
        <f>VLOOKUP(K1191, 'Items Master'!A:E,5,0)</f>
        <v>EXXON</v>
      </c>
      <c r="M1191" s="4" t="str">
        <f>VLOOKUP(K1191, 'Items Master'!A:D,4,0)</f>
        <v>Metallocene</v>
      </c>
      <c r="N1191" t="s">
        <v>24</v>
      </c>
      <c r="Q1191" s="6">
        <f t="shared" si="73"/>
        <v>45975</v>
      </c>
      <c r="R1191" s="6" t="str">
        <f t="shared" si="65"/>
        <v>Nov-25</v>
      </c>
      <c r="W1191" s="25">
        <v>100</v>
      </c>
      <c r="AN1191" s="9">
        <f t="shared" si="68"/>
        <v>0</v>
      </c>
      <c r="AP1191" s="9">
        <f t="shared" si="72"/>
        <v>0</v>
      </c>
      <c r="AQ1191" t="s">
        <v>1316</v>
      </c>
    </row>
    <row r="1192" spans="1:43" x14ac:dyDescent="0.3">
      <c r="A1192" s="11">
        <f t="shared" si="69"/>
        <v>1190</v>
      </c>
      <c r="B1192" s="5" t="s">
        <v>1675</v>
      </c>
      <c r="C1192" t="s">
        <v>893</v>
      </c>
      <c r="D1192" t="s">
        <v>872</v>
      </c>
      <c r="E1192" s="24" t="str">
        <f>IFERROR(VLOOKUP(D1192,Dropdown!A:B,2,0),D1192)</f>
        <v>Value</v>
      </c>
      <c r="F1192" s="6">
        <v>45975</v>
      </c>
      <c r="G1192" s="6" t="str">
        <f t="shared" si="71"/>
        <v>Nov-25</v>
      </c>
      <c r="H1192" t="s">
        <v>1624</v>
      </c>
      <c r="I1192" s="25">
        <v>89.04</v>
      </c>
      <c r="J1192" s="4">
        <v>5000</v>
      </c>
      <c r="K1192" t="s">
        <v>950</v>
      </c>
      <c r="L1192" s="4" t="str">
        <f>VLOOKUP(K1192, 'Items Master'!A:E,5,0)</f>
        <v>RIL</v>
      </c>
      <c r="M1192" s="4" t="str">
        <f>VLOOKUP(K1192, 'Items Master'!A:D,4,0)</f>
        <v>PP</v>
      </c>
      <c r="N1192" t="s">
        <v>49</v>
      </c>
      <c r="Q1192" s="6">
        <f t="shared" si="73"/>
        <v>45975</v>
      </c>
      <c r="R1192" s="6" t="str">
        <f t="shared" si="65"/>
        <v>Nov-25</v>
      </c>
      <c r="S1192" t="s">
        <v>21</v>
      </c>
      <c r="X1192" s="25">
        <v>89.04</v>
      </c>
      <c r="Y1192" s="25" t="s">
        <v>1310</v>
      </c>
      <c r="Z1192" s="25" t="s">
        <v>1307</v>
      </c>
      <c r="AN1192" s="9">
        <f t="shared" si="68"/>
        <v>0</v>
      </c>
      <c r="AP1192" s="9">
        <f t="shared" si="72"/>
        <v>0</v>
      </c>
      <c r="AQ1192" t="s">
        <v>1316</v>
      </c>
    </row>
    <row r="1193" spans="1:43" x14ac:dyDescent="0.3">
      <c r="A1193" s="11">
        <f t="shared" si="69"/>
        <v>1191</v>
      </c>
      <c r="B1193" s="5" t="s">
        <v>1675</v>
      </c>
      <c r="C1193" t="s">
        <v>893</v>
      </c>
      <c r="D1193" t="s">
        <v>872</v>
      </c>
      <c r="E1193" s="24" t="str">
        <f>IFERROR(VLOOKUP(D1193,Dropdown!A:B,2,0),D1193)</f>
        <v>Value</v>
      </c>
      <c r="F1193" s="6">
        <v>45975</v>
      </c>
      <c r="G1193" s="6" t="str">
        <f t="shared" si="71"/>
        <v>Nov-25</v>
      </c>
      <c r="H1193" t="s">
        <v>1624</v>
      </c>
      <c r="I1193" s="25">
        <v>93.07</v>
      </c>
      <c r="J1193" s="4">
        <v>5000</v>
      </c>
      <c r="K1193" t="s">
        <v>925</v>
      </c>
      <c r="L1193" s="4" t="str">
        <f>VLOOKUP(K1193, 'Items Master'!A:E,5,0)</f>
        <v>RIL</v>
      </c>
      <c r="M1193" s="4" t="str">
        <f>VLOOKUP(K1193, 'Items Master'!A:D,4,0)</f>
        <v>PP ICP</v>
      </c>
      <c r="N1193" t="s">
        <v>49</v>
      </c>
      <c r="Q1193" s="6">
        <f t="shared" si="73"/>
        <v>45975</v>
      </c>
      <c r="R1193" s="6" t="str">
        <f t="shared" si="65"/>
        <v>Nov-25</v>
      </c>
      <c r="S1193" t="s">
        <v>21</v>
      </c>
      <c r="X1193" s="25">
        <v>93.07</v>
      </c>
      <c r="Y1193" s="25" t="s">
        <v>1310</v>
      </c>
      <c r="Z1193" s="25" t="s">
        <v>1307</v>
      </c>
      <c r="AN1193" s="9">
        <f t="shared" si="68"/>
        <v>0</v>
      </c>
      <c r="AP1193" s="9">
        <f t="shared" si="72"/>
        <v>0</v>
      </c>
      <c r="AQ1193" t="s">
        <v>1316</v>
      </c>
    </row>
    <row r="1194" spans="1:43" x14ac:dyDescent="0.3">
      <c r="A1194" s="11">
        <f t="shared" si="69"/>
        <v>1192</v>
      </c>
      <c r="B1194" s="5" t="s">
        <v>1675</v>
      </c>
      <c r="C1194" t="s">
        <v>893</v>
      </c>
      <c r="D1194" t="s">
        <v>824</v>
      </c>
      <c r="E1194" s="24" t="str">
        <f>IFERROR(VLOOKUP(D1194,Dropdown!A:B,2,0),D1194)</f>
        <v>Paragon</v>
      </c>
      <c r="F1194" s="6">
        <v>45975</v>
      </c>
      <c r="G1194" s="6" t="str">
        <f t="shared" si="71"/>
        <v>Nov-25</v>
      </c>
      <c r="H1194" t="s">
        <v>1625</v>
      </c>
      <c r="I1194" s="25">
        <v>94.4</v>
      </c>
      <c r="J1194" s="4">
        <v>9425</v>
      </c>
      <c r="K1194" t="s">
        <v>915</v>
      </c>
      <c r="L1194" s="4" t="str">
        <f>VLOOKUP(K1194, 'Items Master'!A:E,5,0)</f>
        <v>RIL</v>
      </c>
      <c r="M1194" s="4" t="str">
        <f>VLOOKUP(K1194, 'Items Master'!A:D,4,0)</f>
        <v>LLDPE</v>
      </c>
      <c r="N1194" t="s">
        <v>49</v>
      </c>
      <c r="Q1194" s="6">
        <f t="shared" si="73"/>
        <v>45975</v>
      </c>
      <c r="R1194" s="6" t="str">
        <f t="shared" si="65"/>
        <v>Nov-25</v>
      </c>
      <c r="AN1194" s="9">
        <f t="shared" si="68"/>
        <v>0</v>
      </c>
      <c r="AP1194" s="9">
        <f t="shared" si="72"/>
        <v>94.4</v>
      </c>
    </row>
    <row r="1195" spans="1:43" x14ac:dyDescent="0.3">
      <c r="A1195" s="11">
        <f t="shared" si="69"/>
        <v>1193</v>
      </c>
      <c r="B1195" s="5" t="s">
        <v>1675</v>
      </c>
      <c r="C1195" t="s">
        <v>893</v>
      </c>
      <c r="D1195" t="s">
        <v>824</v>
      </c>
      <c r="E1195" s="24" t="str">
        <f>IFERROR(VLOOKUP(D1195,Dropdown!A:B,2,0),D1195)</f>
        <v>Paragon</v>
      </c>
      <c r="F1195" s="6">
        <v>45975</v>
      </c>
      <c r="G1195" s="6" t="str">
        <f t="shared" si="71"/>
        <v>Nov-25</v>
      </c>
      <c r="H1195" t="s">
        <v>1625</v>
      </c>
      <c r="I1195" s="25">
        <v>94.4</v>
      </c>
      <c r="J1195" s="4">
        <v>1425</v>
      </c>
      <c r="K1195" t="s">
        <v>947</v>
      </c>
      <c r="L1195" s="4" t="str">
        <f>VLOOKUP(K1195, 'Items Master'!A:E,5,0)</f>
        <v>RIL</v>
      </c>
      <c r="M1195" s="4" t="str">
        <f>VLOOKUP(K1195, 'Items Master'!A:D,4,0)</f>
        <v>LLDPE</v>
      </c>
      <c r="N1195" t="s">
        <v>49</v>
      </c>
      <c r="Q1195" s="6">
        <f t="shared" si="73"/>
        <v>45975</v>
      </c>
      <c r="R1195" s="6" t="str">
        <f t="shared" si="65"/>
        <v>Nov-25</v>
      </c>
      <c r="AN1195" s="9">
        <f t="shared" si="68"/>
        <v>0</v>
      </c>
      <c r="AP1195" s="9">
        <f t="shared" si="72"/>
        <v>94.4</v>
      </c>
    </row>
    <row r="1196" spans="1:43" x14ac:dyDescent="0.3">
      <c r="A1196" s="11">
        <f t="shared" si="69"/>
        <v>1194</v>
      </c>
      <c r="B1196" s="5" t="s">
        <v>1675</v>
      </c>
      <c r="C1196" t="s">
        <v>893</v>
      </c>
      <c r="D1196" t="s">
        <v>48</v>
      </c>
      <c r="E1196" s="24" t="str">
        <f>IFERROR(VLOOKUP(D1196,Dropdown!A:B,2,0),D1196)</f>
        <v>CVPL</v>
      </c>
      <c r="F1196" s="6">
        <v>45975</v>
      </c>
      <c r="G1196" s="6" t="str">
        <f t="shared" si="71"/>
        <v>Nov-25</v>
      </c>
      <c r="H1196" t="s">
        <v>1626</v>
      </c>
      <c r="I1196" s="25">
        <v>91.45</v>
      </c>
      <c r="J1196" s="4">
        <v>10000</v>
      </c>
      <c r="K1196" t="s">
        <v>901</v>
      </c>
      <c r="L1196" s="4" t="str">
        <f>VLOOKUP(K1196, 'Items Master'!A:E,5,0)</f>
        <v>MRPL</v>
      </c>
      <c r="M1196" s="4" t="str">
        <f>VLOOKUP(K1196, 'Items Master'!A:D,4,0)</f>
        <v>PP</v>
      </c>
      <c r="N1196" t="s">
        <v>49</v>
      </c>
      <c r="Q1196" s="6">
        <f t="shared" si="73"/>
        <v>45975</v>
      </c>
      <c r="R1196" s="6" t="str">
        <f t="shared" si="65"/>
        <v>Nov-25</v>
      </c>
      <c r="AN1196" s="9">
        <f t="shared" si="68"/>
        <v>0</v>
      </c>
      <c r="AP1196" s="9">
        <f t="shared" si="72"/>
        <v>91.45</v>
      </c>
    </row>
    <row r="1197" spans="1:43" x14ac:dyDescent="0.3">
      <c r="A1197" s="11">
        <f t="shared" si="69"/>
        <v>1195</v>
      </c>
      <c r="B1197" s="5" t="s">
        <v>1675</v>
      </c>
      <c r="C1197" t="s">
        <v>893</v>
      </c>
      <c r="D1197" t="s">
        <v>838</v>
      </c>
      <c r="E1197" s="24" t="str">
        <f>IFERROR(VLOOKUP(D1197,Dropdown!A:B,2,0),D1197)</f>
        <v>Treenity</v>
      </c>
      <c r="F1197" s="6">
        <v>45976</v>
      </c>
      <c r="G1197" s="6" t="str">
        <f t="shared" si="71"/>
        <v>Nov-25</v>
      </c>
      <c r="H1197" t="s">
        <v>1627</v>
      </c>
      <c r="I1197" s="25">
        <v>89.75</v>
      </c>
      <c r="J1197" s="4">
        <v>10000</v>
      </c>
      <c r="K1197" t="s">
        <v>899</v>
      </c>
      <c r="L1197" s="4" t="str">
        <f>VLOOKUP(K1197, 'Items Master'!A:E,5,0)</f>
        <v>MRPL</v>
      </c>
      <c r="M1197" s="4" t="str">
        <f>VLOOKUP(K1197, 'Items Master'!A:D,4,0)</f>
        <v>PP</v>
      </c>
      <c r="N1197" t="s">
        <v>49</v>
      </c>
      <c r="Q1197" s="6">
        <f t="shared" si="73"/>
        <v>45976</v>
      </c>
      <c r="R1197" s="6" t="str">
        <f t="shared" ref="R1197:R1234" si="74">TEXT(Q1197, "MMM-YY")</f>
        <v>Nov-25</v>
      </c>
      <c r="X1197" s="25">
        <v>88</v>
      </c>
      <c r="Y1197" s="25" t="s">
        <v>1304</v>
      </c>
      <c r="Z1197" s="25" t="s">
        <v>1305</v>
      </c>
      <c r="AI1197" s="8">
        <v>1.75</v>
      </c>
      <c r="AN1197" s="9">
        <f t="shared" si="68"/>
        <v>1.75</v>
      </c>
      <c r="AP1197" s="9">
        <f t="shared" si="72"/>
        <v>0</v>
      </c>
      <c r="AQ1197" t="s">
        <v>1316</v>
      </c>
    </row>
    <row r="1198" spans="1:43" x14ac:dyDescent="0.3">
      <c r="A1198" s="11">
        <f t="shared" si="69"/>
        <v>1196</v>
      </c>
      <c r="B1198" s="5" t="s">
        <v>1675</v>
      </c>
      <c r="C1198" t="s">
        <v>893</v>
      </c>
      <c r="D1198" t="s">
        <v>838</v>
      </c>
      <c r="E1198" s="24" t="str">
        <f>IFERROR(VLOOKUP(D1198,Dropdown!A:B,2,0),D1198)</f>
        <v>Treenity</v>
      </c>
      <c r="F1198" s="6">
        <v>45976</v>
      </c>
      <c r="G1198" s="6" t="str">
        <f t="shared" si="71"/>
        <v>Nov-25</v>
      </c>
      <c r="H1198" t="s">
        <v>1627</v>
      </c>
      <c r="I1198" s="25">
        <v>91.4</v>
      </c>
      <c r="J1198" s="4">
        <v>15000</v>
      </c>
      <c r="K1198" t="s">
        <v>901</v>
      </c>
      <c r="L1198" s="4" t="str">
        <f>VLOOKUP(K1198, 'Items Master'!A:E,5,0)</f>
        <v>MRPL</v>
      </c>
      <c r="M1198" s="4" t="str">
        <f>VLOOKUP(K1198, 'Items Master'!A:D,4,0)</f>
        <v>PP</v>
      </c>
      <c r="N1198" t="s">
        <v>49</v>
      </c>
      <c r="Q1198" s="6">
        <f t="shared" si="73"/>
        <v>45976</v>
      </c>
      <c r="R1198" s="6" t="str">
        <f t="shared" si="74"/>
        <v>Nov-25</v>
      </c>
      <c r="X1198" s="25">
        <v>89.65</v>
      </c>
      <c r="Y1198" s="25" t="s">
        <v>1304</v>
      </c>
      <c r="Z1198" s="25" t="s">
        <v>1305</v>
      </c>
      <c r="AI1198" s="8">
        <v>1.75</v>
      </c>
      <c r="AN1198" s="9">
        <f t="shared" si="68"/>
        <v>1.75</v>
      </c>
      <c r="AP1198" s="9">
        <f t="shared" si="72"/>
        <v>0</v>
      </c>
      <c r="AQ1198" t="s">
        <v>1316</v>
      </c>
    </row>
    <row r="1199" spans="1:43" x14ac:dyDescent="0.3">
      <c r="A1199" s="11">
        <f t="shared" si="69"/>
        <v>1197</v>
      </c>
      <c r="B1199" s="5" t="s">
        <v>1675</v>
      </c>
      <c r="C1199" t="s">
        <v>893</v>
      </c>
      <c r="D1199" t="s">
        <v>48</v>
      </c>
      <c r="E1199" s="24" t="str">
        <f>IFERROR(VLOOKUP(D1199,Dropdown!A:B,2,0),D1199)</f>
        <v>CVPL</v>
      </c>
      <c r="F1199" s="6">
        <v>45976</v>
      </c>
      <c r="G1199" s="6" t="str">
        <f t="shared" si="71"/>
        <v>Nov-25</v>
      </c>
      <c r="H1199" t="s">
        <v>1628</v>
      </c>
      <c r="I1199" s="25">
        <v>96.87</v>
      </c>
      <c r="J1199" s="4">
        <v>1250</v>
      </c>
      <c r="K1199" t="s">
        <v>952</v>
      </c>
      <c r="L1199" s="4" t="str">
        <f>VLOOKUP(K1199, 'Items Master'!A:E,5,0)</f>
        <v>GAIL</v>
      </c>
      <c r="M1199" s="4" t="str">
        <f>VLOOKUP(K1199, 'Items Master'!A:D,4,0)</f>
        <v>HDPE</v>
      </c>
      <c r="N1199" t="s">
        <v>49</v>
      </c>
      <c r="Q1199" s="6">
        <f t="shared" si="73"/>
        <v>45976</v>
      </c>
      <c r="R1199" s="6" t="str">
        <f t="shared" si="74"/>
        <v>Nov-25</v>
      </c>
      <c r="AN1199" s="9">
        <f t="shared" si="68"/>
        <v>0</v>
      </c>
      <c r="AP1199" s="9">
        <f t="shared" si="72"/>
        <v>96.87</v>
      </c>
    </row>
    <row r="1200" spans="1:43" x14ac:dyDescent="0.3">
      <c r="A1200" s="11">
        <f t="shared" si="69"/>
        <v>1198</v>
      </c>
      <c r="B1200" s="5" t="s">
        <v>1675</v>
      </c>
      <c r="C1200" t="s">
        <v>893</v>
      </c>
      <c r="D1200" t="s">
        <v>48</v>
      </c>
      <c r="E1200" s="24" t="str">
        <f>IFERROR(VLOOKUP(D1200,Dropdown!A:B,2,0),D1200)</f>
        <v>CVPL</v>
      </c>
      <c r="F1200" s="6">
        <v>45976</v>
      </c>
      <c r="G1200" s="6" t="str">
        <f t="shared" si="71"/>
        <v>Nov-25</v>
      </c>
      <c r="H1200" t="s">
        <v>1628</v>
      </c>
      <c r="I1200" s="25">
        <v>109.25</v>
      </c>
      <c r="J1200" s="4">
        <v>100</v>
      </c>
      <c r="K1200" t="s">
        <v>953</v>
      </c>
      <c r="L1200" s="4" t="str">
        <f>VLOOKUP(K1200, 'Items Master'!A:E,5,0)</f>
        <v>LOTRENE</v>
      </c>
      <c r="M1200" s="4" t="str">
        <f>VLOOKUP(K1200, 'Items Master'!A:D,4,0)</f>
        <v>LDPE</v>
      </c>
      <c r="N1200" t="s">
        <v>24</v>
      </c>
      <c r="Q1200" s="6">
        <f t="shared" si="73"/>
        <v>45976</v>
      </c>
      <c r="R1200" s="6" t="str">
        <f t="shared" si="74"/>
        <v>Nov-25</v>
      </c>
      <c r="W1200" s="25">
        <v>109.25</v>
      </c>
      <c r="AN1200" s="9">
        <f t="shared" si="68"/>
        <v>0</v>
      </c>
      <c r="AP1200" s="9">
        <f t="shared" si="72"/>
        <v>0</v>
      </c>
      <c r="AQ1200" t="s">
        <v>1316</v>
      </c>
    </row>
    <row r="1201" spans="1:43" x14ac:dyDescent="0.3">
      <c r="A1201" s="11">
        <f t="shared" si="69"/>
        <v>1199</v>
      </c>
      <c r="B1201" s="5" t="s">
        <v>1675</v>
      </c>
      <c r="C1201" t="s">
        <v>893</v>
      </c>
      <c r="D1201" t="s">
        <v>48</v>
      </c>
      <c r="E1201" s="24" t="str">
        <f>IFERROR(VLOOKUP(D1201,Dropdown!A:B,2,0),D1201)</f>
        <v>CVPL</v>
      </c>
      <c r="F1201" s="6">
        <v>45976</v>
      </c>
      <c r="G1201" s="6" t="str">
        <f t="shared" si="71"/>
        <v>Nov-25</v>
      </c>
      <c r="H1201" t="s">
        <v>1628</v>
      </c>
      <c r="I1201" s="25">
        <v>99.47</v>
      </c>
      <c r="J1201" s="4">
        <v>1250</v>
      </c>
      <c r="K1201" t="s">
        <v>990</v>
      </c>
      <c r="L1201" s="4" t="str">
        <f>VLOOKUP(K1201, 'Items Master'!A:E,5,0)</f>
        <v>GAIL</v>
      </c>
      <c r="M1201" s="4" t="str">
        <f>VLOOKUP(K1201, 'Items Master'!A:D,4,0)</f>
        <v>HDPE</v>
      </c>
      <c r="N1201" t="s">
        <v>49</v>
      </c>
      <c r="Q1201" s="6">
        <f t="shared" si="73"/>
        <v>45976</v>
      </c>
      <c r="R1201" s="6" t="str">
        <f t="shared" si="74"/>
        <v>Nov-25</v>
      </c>
      <c r="AN1201" s="9">
        <f t="shared" si="68"/>
        <v>0</v>
      </c>
      <c r="AP1201" s="9">
        <f t="shared" si="72"/>
        <v>99.47</v>
      </c>
    </row>
    <row r="1202" spans="1:43" x14ac:dyDescent="0.3">
      <c r="A1202" s="11">
        <f t="shared" si="69"/>
        <v>1200</v>
      </c>
      <c r="B1202" s="5" t="s">
        <v>1675</v>
      </c>
      <c r="C1202" t="s">
        <v>894</v>
      </c>
      <c r="D1202" t="s">
        <v>837</v>
      </c>
      <c r="E1202" s="24" t="str">
        <f>IFERROR(VLOOKUP(D1202,Dropdown!A:B,2,0),D1202)</f>
        <v>SYNTHETIC PACKERS LIMITED</v>
      </c>
      <c r="F1202" s="6">
        <v>45976</v>
      </c>
      <c r="G1202" s="6" t="str">
        <f t="shared" si="71"/>
        <v>Nov-25</v>
      </c>
      <c r="H1202" t="s">
        <v>1629</v>
      </c>
      <c r="I1202" s="25">
        <v>90</v>
      </c>
      <c r="J1202" s="4">
        <v>24750</v>
      </c>
      <c r="K1202" t="s">
        <v>909</v>
      </c>
      <c r="L1202" s="4" t="str">
        <f>VLOOKUP(K1202, 'Items Master'!A:E,5,0)</f>
        <v>LUBAN</v>
      </c>
      <c r="M1202" s="4" t="str">
        <f>VLOOKUP(K1202, 'Items Master'!A:D,4,0)</f>
        <v>HDPE</v>
      </c>
      <c r="N1202" t="s">
        <v>24</v>
      </c>
      <c r="Q1202" s="6">
        <f t="shared" si="73"/>
        <v>45976</v>
      </c>
      <c r="R1202" s="6" t="str">
        <f t="shared" si="74"/>
        <v>Nov-25</v>
      </c>
      <c r="W1202" s="25">
        <v>90</v>
      </c>
      <c r="AN1202" s="9">
        <f t="shared" si="68"/>
        <v>0</v>
      </c>
      <c r="AP1202" s="9">
        <f t="shared" si="72"/>
        <v>0</v>
      </c>
      <c r="AQ1202" t="s">
        <v>1316</v>
      </c>
    </row>
    <row r="1203" spans="1:43" x14ac:dyDescent="0.3">
      <c r="A1203" s="11">
        <f t="shared" si="69"/>
        <v>1201</v>
      </c>
      <c r="B1203" s="5" t="s">
        <v>1675</v>
      </c>
      <c r="C1203" t="s">
        <v>894</v>
      </c>
      <c r="D1203" t="s">
        <v>885</v>
      </c>
      <c r="E1203" s="24" t="str">
        <f>IFERROR(VLOOKUP(D1203,Dropdown!A:B,2,0),D1203)</f>
        <v>Allied</v>
      </c>
      <c r="F1203" s="6">
        <v>45976</v>
      </c>
      <c r="G1203" s="6" t="str">
        <f t="shared" si="71"/>
        <v>Nov-25</v>
      </c>
      <c r="H1203" t="s">
        <v>1630</v>
      </c>
      <c r="I1203" s="25">
        <v>95.26</v>
      </c>
      <c r="J1203" s="4">
        <v>12000</v>
      </c>
      <c r="K1203" t="s">
        <v>957</v>
      </c>
      <c r="L1203" s="4" t="str">
        <f>VLOOKUP(K1203, 'Items Master'!A:E,5,0)</f>
        <v>HMEL</v>
      </c>
      <c r="M1203" s="4" t="str">
        <f>VLOOKUP(K1203, 'Items Master'!A:D,4,0)</f>
        <v>HDPE</v>
      </c>
      <c r="N1203" t="s">
        <v>49</v>
      </c>
      <c r="Q1203" s="6">
        <f t="shared" si="73"/>
        <v>45976</v>
      </c>
      <c r="R1203" s="6" t="str">
        <f t="shared" si="74"/>
        <v>Nov-25</v>
      </c>
      <c r="X1203" s="25">
        <v>95.01</v>
      </c>
      <c r="Y1203" s="25" t="s">
        <v>1303</v>
      </c>
      <c r="Z1203" s="25" t="s">
        <v>1633</v>
      </c>
      <c r="AL1203" s="8">
        <v>0.25</v>
      </c>
      <c r="AN1203" s="9">
        <f t="shared" si="68"/>
        <v>0.25</v>
      </c>
      <c r="AP1203" s="9">
        <f t="shared" si="72"/>
        <v>0</v>
      </c>
      <c r="AQ1203" t="s">
        <v>1316</v>
      </c>
    </row>
    <row r="1204" spans="1:43" x14ac:dyDescent="0.3">
      <c r="A1204" s="11">
        <f t="shared" si="69"/>
        <v>1202</v>
      </c>
      <c r="B1204" s="5" t="s">
        <v>1675</v>
      </c>
      <c r="C1204" t="s">
        <v>893</v>
      </c>
      <c r="D1204" t="s">
        <v>872</v>
      </c>
      <c r="E1204" s="24" t="str">
        <f>IFERROR(VLOOKUP(D1204,Dropdown!A:B,2,0),D1204)</f>
        <v>Value</v>
      </c>
      <c r="F1204" s="6">
        <v>45976</v>
      </c>
      <c r="G1204" s="6" t="str">
        <f t="shared" si="71"/>
        <v>Nov-25</v>
      </c>
      <c r="H1204" t="s">
        <v>1631</v>
      </c>
      <c r="I1204" s="25">
        <v>113.95</v>
      </c>
      <c r="J1204" s="4">
        <v>10000</v>
      </c>
      <c r="K1204" t="s">
        <v>895</v>
      </c>
      <c r="L1204" s="4" t="str">
        <f>VLOOKUP(K1204, 'Items Master'!A:E,5,0)</f>
        <v>RIL</v>
      </c>
      <c r="M1204" s="4" t="str">
        <f>VLOOKUP(K1204, 'Items Master'!A:D,4,0)</f>
        <v>LDPE</v>
      </c>
      <c r="N1204" t="s">
        <v>49</v>
      </c>
      <c r="Q1204" s="6">
        <f t="shared" si="73"/>
        <v>45976</v>
      </c>
      <c r="R1204" s="6" t="str">
        <f t="shared" si="74"/>
        <v>Nov-25</v>
      </c>
      <c r="S1204" t="s">
        <v>21</v>
      </c>
      <c r="X1204" s="25">
        <v>112.45</v>
      </c>
      <c r="Y1204" s="25" t="s">
        <v>1310</v>
      </c>
      <c r="Z1204" s="25" t="s">
        <v>1307</v>
      </c>
      <c r="AM1204" s="8">
        <v>1.5</v>
      </c>
      <c r="AN1204" s="9">
        <f t="shared" si="68"/>
        <v>1.5</v>
      </c>
      <c r="AP1204" s="9">
        <f t="shared" si="72"/>
        <v>0</v>
      </c>
      <c r="AQ1204" t="s">
        <v>1316</v>
      </c>
    </row>
    <row r="1205" spans="1:43" x14ac:dyDescent="0.3">
      <c r="A1205" s="11">
        <f t="shared" si="69"/>
        <v>1203</v>
      </c>
      <c r="B1205" s="5" t="s">
        <v>1675</v>
      </c>
      <c r="C1205" t="s">
        <v>893</v>
      </c>
      <c r="D1205" t="s">
        <v>48</v>
      </c>
      <c r="E1205" s="24" t="str">
        <f>IFERROR(VLOOKUP(D1205,Dropdown!A:B,2,0),D1205)</f>
        <v>CVPL</v>
      </c>
      <c r="F1205" s="6">
        <v>45979</v>
      </c>
      <c r="G1205" s="6" t="str">
        <f t="shared" si="71"/>
        <v>Nov-25</v>
      </c>
      <c r="H1205" t="s">
        <v>1648</v>
      </c>
      <c r="I1205" s="25">
        <v>96.87</v>
      </c>
      <c r="J1205" s="4">
        <v>3000</v>
      </c>
      <c r="K1205" t="s">
        <v>952</v>
      </c>
      <c r="L1205" s="4" t="str">
        <f>VLOOKUP(K1205, 'Items Master'!A:E,5,0)</f>
        <v>GAIL</v>
      </c>
      <c r="M1205" s="4" t="str">
        <f>VLOOKUP(K1205, 'Items Master'!A:D,4,0)</f>
        <v>HDPE</v>
      </c>
      <c r="N1205" t="s">
        <v>49</v>
      </c>
      <c r="Q1205" s="6">
        <f t="shared" ref="Q1205:Q1234" si="75">F1205</f>
        <v>45979</v>
      </c>
      <c r="R1205" s="6" t="str">
        <f t="shared" si="74"/>
        <v>Nov-25</v>
      </c>
      <c r="AN1205" s="9">
        <f t="shared" si="68"/>
        <v>0</v>
      </c>
      <c r="AP1205" s="9">
        <f t="shared" si="72"/>
        <v>96.87</v>
      </c>
    </row>
    <row r="1206" spans="1:43" x14ac:dyDescent="0.3">
      <c r="A1206" s="11">
        <f t="shared" si="69"/>
        <v>1204</v>
      </c>
      <c r="B1206" s="5" t="s">
        <v>1675</v>
      </c>
      <c r="C1206" t="s">
        <v>894</v>
      </c>
      <c r="D1206" t="s">
        <v>883</v>
      </c>
      <c r="E1206" s="24" t="str">
        <f>IFERROR(VLOOKUP(D1206,Dropdown!A:B,2,0),D1206)</f>
        <v>VIDHI PETRO PRODUCTS PRIVATE LIMITED</v>
      </c>
      <c r="F1206" s="6">
        <v>45979</v>
      </c>
      <c r="G1206" s="6" t="str">
        <f t="shared" si="71"/>
        <v>Nov-25</v>
      </c>
      <c r="H1206" t="s">
        <v>1649</v>
      </c>
      <c r="I1206" s="25">
        <v>100</v>
      </c>
      <c r="J1206" s="4">
        <v>24750</v>
      </c>
      <c r="K1206" t="s">
        <v>1128</v>
      </c>
      <c r="L1206" s="4" t="str">
        <f>VLOOKUP(K1206, 'Items Master'!A:E,5,0)</f>
        <v>EXXON</v>
      </c>
      <c r="M1206" s="4" t="str">
        <f>VLOOKUP(K1206, 'Items Master'!A:D,4,0)</f>
        <v>Metallocene</v>
      </c>
      <c r="N1206" t="s">
        <v>24</v>
      </c>
      <c r="Q1206" s="6">
        <f t="shared" si="75"/>
        <v>45979</v>
      </c>
      <c r="R1206" s="6" t="str">
        <f t="shared" si="74"/>
        <v>Nov-25</v>
      </c>
      <c r="AN1206" s="9">
        <f t="shared" si="68"/>
        <v>0</v>
      </c>
      <c r="AP1206" s="9">
        <f t="shared" si="72"/>
        <v>100</v>
      </c>
    </row>
    <row r="1207" spans="1:43" x14ac:dyDescent="0.3">
      <c r="A1207" s="11">
        <f t="shared" si="69"/>
        <v>1205</v>
      </c>
      <c r="B1207" s="5" t="s">
        <v>1675</v>
      </c>
      <c r="C1207" t="s">
        <v>893</v>
      </c>
      <c r="D1207" t="s">
        <v>824</v>
      </c>
      <c r="E1207" s="24" t="str">
        <f>IFERROR(VLOOKUP(D1207,Dropdown!A:B,2,0),D1207)</f>
        <v>Paragon</v>
      </c>
      <c r="F1207" s="6">
        <v>45979</v>
      </c>
      <c r="G1207" s="6" t="str">
        <f t="shared" si="71"/>
        <v>Nov-25</v>
      </c>
      <c r="H1207" t="s">
        <v>1650</v>
      </c>
      <c r="I1207" s="25">
        <v>94.4</v>
      </c>
      <c r="J1207" s="4">
        <v>12000</v>
      </c>
      <c r="K1207" t="s">
        <v>915</v>
      </c>
      <c r="L1207" s="4" t="str">
        <f>VLOOKUP(K1207, 'Items Master'!A:E,5,0)</f>
        <v>RIL</v>
      </c>
      <c r="M1207" s="4" t="str">
        <f>VLOOKUP(K1207, 'Items Master'!A:D,4,0)</f>
        <v>LLDPE</v>
      </c>
      <c r="N1207" t="s">
        <v>49</v>
      </c>
      <c r="Q1207" s="6">
        <f t="shared" si="75"/>
        <v>45979</v>
      </c>
      <c r="R1207" s="6" t="str">
        <f t="shared" si="74"/>
        <v>Nov-25</v>
      </c>
      <c r="AN1207" s="9">
        <f t="shared" si="68"/>
        <v>0</v>
      </c>
      <c r="AP1207" s="9">
        <f t="shared" si="72"/>
        <v>94.4</v>
      </c>
    </row>
    <row r="1208" spans="1:43" x14ac:dyDescent="0.3">
      <c r="A1208" s="11">
        <f t="shared" si="69"/>
        <v>1206</v>
      </c>
      <c r="B1208" s="5" t="s">
        <v>1675</v>
      </c>
      <c r="C1208" t="s">
        <v>1359</v>
      </c>
      <c r="D1208" t="s">
        <v>837</v>
      </c>
      <c r="E1208" s="24" t="str">
        <f>IFERROR(VLOOKUP(D1208,Dropdown!A:B,2,0),D1208)</f>
        <v>SYNTHETIC PACKERS LIMITED</v>
      </c>
      <c r="F1208" s="6">
        <v>45979</v>
      </c>
      <c r="G1208" s="6" t="str">
        <f t="shared" si="71"/>
        <v>Nov-25</v>
      </c>
      <c r="H1208" t="s">
        <v>1651</v>
      </c>
      <c r="I1208" s="25">
        <v>111</v>
      </c>
      <c r="J1208" s="4">
        <v>2500</v>
      </c>
      <c r="K1208" t="s">
        <v>1133</v>
      </c>
      <c r="L1208" s="4" t="str">
        <f>VLOOKUP(K1208, 'Items Master'!A:E,5,0)</f>
        <v>LOTRENE</v>
      </c>
      <c r="M1208" s="4" t="str">
        <f>VLOOKUP(K1208, 'Items Master'!A:D,4,0)</f>
        <v>LDPE</v>
      </c>
      <c r="N1208" t="s">
        <v>24</v>
      </c>
      <c r="Q1208" s="6">
        <f t="shared" si="75"/>
        <v>45979</v>
      </c>
      <c r="R1208" s="6" t="str">
        <f t="shared" si="74"/>
        <v>Nov-25</v>
      </c>
      <c r="AN1208" s="9">
        <f t="shared" si="68"/>
        <v>0</v>
      </c>
      <c r="AP1208" s="9">
        <f t="shared" si="72"/>
        <v>111</v>
      </c>
    </row>
    <row r="1209" spans="1:43" x14ac:dyDescent="0.3">
      <c r="A1209" s="11">
        <f t="shared" si="69"/>
        <v>1207</v>
      </c>
      <c r="B1209" s="5" t="s">
        <v>1675</v>
      </c>
      <c r="C1209" t="s">
        <v>894</v>
      </c>
      <c r="D1209" t="s">
        <v>837</v>
      </c>
      <c r="E1209" s="24" t="str">
        <f>IFERROR(VLOOKUP(D1209,Dropdown!A:B,2,0),D1209)</f>
        <v>SYNTHETIC PACKERS LIMITED</v>
      </c>
      <c r="F1209" s="6">
        <v>45979</v>
      </c>
      <c r="G1209" s="6" t="str">
        <f t="shared" si="71"/>
        <v>Nov-25</v>
      </c>
      <c r="H1209" t="s">
        <v>1652</v>
      </c>
      <c r="I1209" s="25">
        <v>89</v>
      </c>
      <c r="J1209" s="4">
        <v>24750</v>
      </c>
      <c r="K1209" t="s">
        <v>909</v>
      </c>
      <c r="L1209" s="4" t="str">
        <f>VLOOKUP(K1209, 'Items Master'!A:E,5,0)</f>
        <v>LUBAN</v>
      </c>
      <c r="M1209" s="4" t="str">
        <f>VLOOKUP(K1209, 'Items Master'!A:D,4,0)</f>
        <v>HDPE</v>
      </c>
      <c r="N1209" t="s">
        <v>24</v>
      </c>
      <c r="Q1209" s="6">
        <f t="shared" si="75"/>
        <v>45979</v>
      </c>
      <c r="R1209" s="6" t="str">
        <f t="shared" si="74"/>
        <v>Nov-25</v>
      </c>
      <c r="AN1209" s="9">
        <f t="shared" si="68"/>
        <v>0</v>
      </c>
      <c r="AP1209" s="9">
        <f t="shared" si="72"/>
        <v>89</v>
      </c>
    </row>
    <row r="1210" spans="1:43" x14ac:dyDescent="0.3">
      <c r="A1210" s="11">
        <f t="shared" si="69"/>
        <v>1208</v>
      </c>
      <c r="B1210" s="5" t="s">
        <v>1675</v>
      </c>
      <c r="C1210" t="s">
        <v>893</v>
      </c>
      <c r="D1210" t="s">
        <v>48</v>
      </c>
      <c r="E1210" s="24" t="str">
        <f>IFERROR(VLOOKUP(D1210,Dropdown!A:B,2,0),D1210)</f>
        <v>CVPL</v>
      </c>
      <c r="F1210" s="6">
        <v>45979</v>
      </c>
      <c r="G1210" s="6" t="str">
        <f t="shared" si="71"/>
        <v>Nov-25</v>
      </c>
      <c r="H1210" t="s">
        <v>1653</v>
      </c>
      <c r="I1210" s="25">
        <v>96.19</v>
      </c>
      <c r="J1210" s="4">
        <v>2000</v>
      </c>
      <c r="K1210" t="s">
        <v>974</v>
      </c>
      <c r="L1210" s="4" t="str">
        <f>VLOOKUP(K1210, 'Items Master'!A:E,5,0)</f>
        <v>GAIL</v>
      </c>
      <c r="M1210" s="4" t="str">
        <f>VLOOKUP(K1210, 'Items Master'!A:D,4,0)</f>
        <v>LLDPE</v>
      </c>
      <c r="N1210" t="s">
        <v>49</v>
      </c>
      <c r="Q1210" s="6">
        <f t="shared" si="75"/>
        <v>45979</v>
      </c>
      <c r="R1210" s="6" t="str">
        <f t="shared" si="74"/>
        <v>Nov-25</v>
      </c>
      <c r="AN1210" s="9">
        <f t="shared" si="68"/>
        <v>0</v>
      </c>
      <c r="AP1210" s="9">
        <f t="shared" si="72"/>
        <v>96.19</v>
      </c>
    </row>
    <row r="1211" spans="1:43" x14ac:dyDescent="0.3">
      <c r="A1211" s="11">
        <f t="shared" si="69"/>
        <v>1209</v>
      </c>
      <c r="B1211" s="5" t="s">
        <v>1675</v>
      </c>
      <c r="C1211" t="s">
        <v>893</v>
      </c>
      <c r="D1211" t="s">
        <v>48</v>
      </c>
      <c r="E1211" s="24" t="str">
        <f>IFERROR(VLOOKUP(D1211,Dropdown!A:B,2,0),D1211)</f>
        <v>CVPL</v>
      </c>
      <c r="F1211" s="6">
        <v>45979</v>
      </c>
      <c r="G1211" s="6" t="str">
        <f t="shared" si="71"/>
        <v>Nov-25</v>
      </c>
      <c r="H1211" t="s">
        <v>1653</v>
      </c>
      <c r="I1211" s="25">
        <v>94.07</v>
      </c>
      <c r="J1211" s="4">
        <v>1000</v>
      </c>
      <c r="K1211" t="s">
        <v>942</v>
      </c>
      <c r="L1211" s="4" t="str">
        <f>VLOOKUP(K1211, 'Items Master'!A:E,5,0)</f>
        <v>GAIL</v>
      </c>
      <c r="M1211" s="4" t="str">
        <f>VLOOKUP(K1211, 'Items Master'!A:D,4,0)</f>
        <v>HDPE</v>
      </c>
      <c r="N1211" t="s">
        <v>49</v>
      </c>
      <c r="Q1211" s="6">
        <f t="shared" si="75"/>
        <v>45979</v>
      </c>
      <c r="R1211" s="6" t="str">
        <f t="shared" si="74"/>
        <v>Nov-25</v>
      </c>
      <c r="AN1211" s="9">
        <f t="shared" si="68"/>
        <v>0</v>
      </c>
      <c r="AP1211" s="9">
        <f t="shared" si="72"/>
        <v>94.07</v>
      </c>
    </row>
    <row r="1212" spans="1:43" x14ac:dyDescent="0.3">
      <c r="A1212" s="11">
        <f t="shared" si="69"/>
        <v>1210</v>
      </c>
      <c r="B1212" s="5" t="s">
        <v>1675</v>
      </c>
      <c r="C1212" t="s">
        <v>893</v>
      </c>
      <c r="D1212" t="s">
        <v>864</v>
      </c>
      <c r="E1212" s="24" t="str">
        <f>IFERROR(VLOOKUP(D1212,Dropdown!A:B,2,0),D1212)</f>
        <v>SVP</v>
      </c>
      <c r="F1212" s="6">
        <v>45980</v>
      </c>
      <c r="G1212" s="6" t="str">
        <f t="shared" si="71"/>
        <v>Nov-25</v>
      </c>
      <c r="H1212" t="s">
        <v>1654</v>
      </c>
      <c r="I1212" s="25">
        <v>94.31</v>
      </c>
      <c r="J1212" s="4">
        <v>1500</v>
      </c>
      <c r="K1212" t="s">
        <v>975</v>
      </c>
      <c r="L1212" s="4" t="str">
        <f>VLOOKUP(K1212, 'Items Master'!A:E,5,0)</f>
        <v>HMEL</v>
      </c>
      <c r="M1212" s="4" t="str">
        <f>VLOOKUP(K1212, 'Items Master'!A:D,4,0)</f>
        <v>LLDPE</v>
      </c>
      <c r="N1212" t="s">
        <v>49</v>
      </c>
      <c r="Q1212" s="6">
        <f t="shared" si="75"/>
        <v>45980</v>
      </c>
      <c r="R1212" s="6" t="str">
        <f t="shared" si="74"/>
        <v>Nov-25</v>
      </c>
      <c r="AN1212" s="9">
        <f t="shared" si="68"/>
        <v>0</v>
      </c>
      <c r="AP1212" s="9">
        <f t="shared" si="72"/>
        <v>94.31</v>
      </c>
    </row>
    <row r="1213" spans="1:43" x14ac:dyDescent="0.3">
      <c r="A1213" s="11">
        <f t="shared" si="69"/>
        <v>1211</v>
      </c>
      <c r="B1213" s="5" t="s">
        <v>1675</v>
      </c>
      <c r="C1213" t="s">
        <v>893</v>
      </c>
      <c r="D1213" t="s">
        <v>824</v>
      </c>
      <c r="E1213" s="24" t="str">
        <f>IFERROR(VLOOKUP(D1213,Dropdown!A:B,2,0),D1213)</f>
        <v>Paragon</v>
      </c>
      <c r="F1213" s="6">
        <v>45980</v>
      </c>
      <c r="G1213" s="6" t="str">
        <f t="shared" si="71"/>
        <v>Nov-25</v>
      </c>
      <c r="H1213" t="s">
        <v>1655</v>
      </c>
      <c r="I1213" s="25">
        <v>98.77</v>
      </c>
      <c r="J1213" s="4">
        <v>750</v>
      </c>
      <c r="K1213" t="s">
        <v>948</v>
      </c>
      <c r="L1213" s="4" t="str">
        <f>VLOOKUP(K1213, 'Items Master'!A:E,5,0)</f>
        <v>RIL</v>
      </c>
      <c r="M1213" s="4" t="str">
        <f>VLOOKUP(K1213, 'Items Master'!A:D,4,0)</f>
        <v>PP RCP</v>
      </c>
      <c r="N1213" t="s">
        <v>49</v>
      </c>
      <c r="Q1213" s="6">
        <f t="shared" si="75"/>
        <v>45980</v>
      </c>
      <c r="R1213" s="6" t="str">
        <f t="shared" si="74"/>
        <v>Nov-25</v>
      </c>
      <c r="AN1213" s="9">
        <f t="shared" si="68"/>
        <v>0</v>
      </c>
      <c r="AP1213" s="9">
        <f t="shared" si="72"/>
        <v>98.77</v>
      </c>
    </row>
    <row r="1214" spans="1:43" x14ac:dyDescent="0.3">
      <c r="A1214" s="11">
        <f t="shared" si="69"/>
        <v>1212</v>
      </c>
      <c r="B1214" s="5" t="s">
        <v>1675</v>
      </c>
      <c r="C1214" t="s">
        <v>894</v>
      </c>
      <c r="D1214" t="s">
        <v>837</v>
      </c>
      <c r="E1214" s="24" t="str">
        <f>IFERROR(VLOOKUP(D1214,Dropdown!A:B,2,0),D1214)</f>
        <v>SYNTHETIC PACKERS LIMITED</v>
      </c>
      <c r="F1214" s="6">
        <v>45980</v>
      </c>
      <c r="G1214" s="6" t="str">
        <f t="shared" si="71"/>
        <v>Nov-25</v>
      </c>
      <c r="H1214" t="s">
        <v>1656</v>
      </c>
      <c r="I1214" s="25">
        <v>89</v>
      </c>
      <c r="J1214" s="4">
        <v>12000</v>
      </c>
      <c r="K1214" t="s">
        <v>909</v>
      </c>
      <c r="L1214" s="4" t="str">
        <f>VLOOKUP(K1214, 'Items Master'!A:E,5,0)</f>
        <v>LUBAN</v>
      </c>
      <c r="M1214" s="4" t="str">
        <f>VLOOKUP(K1214, 'Items Master'!A:D,4,0)</f>
        <v>HDPE</v>
      </c>
      <c r="N1214" t="s">
        <v>24</v>
      </c>
      <c r="Q1214" s="6">
        <f t="shared" si="75"/>
        <v>45980</v>
      </c>
      <c r="R1214" s="6" t="str">
        <f t="shared" si="74"/>
        <v>Nov-25</v>
      </c>
      <c r="AN1214" s="9">
        <f t="shared" si="68"/>
        <v>0</v>
      </c>
      <c r="AP1214" s="9">
        <f t="shared" si="72"/>
        <v>89</v>
      </c>
    </row>
    <row r="1215" spans="1:43" x14ac:dyDescent="0.3">
      <c r="A1215" s="11">
        <f t="shared" si="69"/>
        <v>1213</v>
      </c>
      <c r="B1215" s="5" t="s">
        <v>1675</v>
      </c>
      <c r="C1215" t="s">
        <v>893</v>
      </c>
      <c r="D1215" t="s">
        <v>837</v>
      </c>
      <c r="E1215" s="24" t="str">
        <f>IFERROR(VLOOKUP(D1215,Dropdown!A:B,2,0),D1215)</f>
        <v>SYNTHETIC PACKERS LIMITED</v>
      </c>
      <c r="F1215" s="6">
        <v>45980</v>
      </c>
      <c r="G1215" s="6" t="str">
        <f t="shared" si="71"/>
        <v>Nov-25</v>
      </c>
      <c r="H1215" t="s">
        <v>1657</v>
      </c>
      <c r="I1215" s="25">
        <v>89.5</v>
      </c>
      <c r="J1215" s="4">
        <v>2500</v>
      </c>
      <c r="K1215" t="s">
        <v>982</v>
      </c>
      <c r="L1215" s="4" t="str">
        <f>VLOOKUP(K1215, 'Items Master'!A:E,5,0)</f>
        <v>SABIC</v>
      </c>
      <c r="M1215" s="4" t="str">
        <f>VLOOKUP(K1215, 'Items Master'!A:D,4,0)</f>
        <v>HDPE</v>
      </c>
      <c r="N1215" t="s">
        <v>24</v>
      </c>
      <c r="Q1215" s="6">
        <f t="shared" si="75"/>
        <v>45980</v>
      </c>
      <c r="R1215" s="6" t="str">
        <f t="shared" si="74"/>
        <v>Nov-25</v>
      </c>
      <c r="AN1215" s="9">
        <f t="shared" si="68"/>
        <v>0</v>
      </c>
      <c r="AP1215" s="9">
        <f t="shared" si="72"/>
        <v>89.5</v>
      </c>
    </row>
    <row r="1216" spans="1:43" x14ac:dyDescent="0.3">
      <c r="A1216" s="11">
        <f t="shared" si="69"/>
        <v>1214</v>
      </c>
      <c r="B1216" s="5" t="s">
        <v>1675</v>
      </c>
      <c r="C1216" t="s">
        <v>894</v>
      </c>
      <c r="D1216" t="s">
        <v>837</v>
      </c>
      <c r="E1216" s="24" t="str">
        <f>IFERROR(VLOOKUP(D1216,Dropdown!A:B,2,0),D1216)</f>
        <v>SYNTHETIC PACKERS LIMITED</v>
      </c>
      <c r="F1216" s="6">
        <v>45981</v>
      </c>
      <c r="G1216" s="6" t="str">
        <f t="shared" si="71"/>
        <v>Nov-25</v>
      </c>
      <c r="H1216" t="s">
        <v>1658</v>
      </c>
      <c r="I1216" s="25">
        <v>89</v>
      </c>
      <c r="J1216" s="4">
        <v>12750</v>
      </c>
      <c r="K1216" t="s">
        <v>909</v>
      </c>
      <c r="L1216" s="4" t="str">
        <f>VLOOKUP(K1216, 'Items Master'!A:E,5,0)</f>
        <v>LUBAN</v>
      </c>
      <c r="M1216" s="4" t="str">
        <f>VLOOKUP(K1216, 'Items Master'!A:D,4,0)</f>
        <v>HDPE</v>
      </c>
      <c r="N1216" t="s">
        <v>24</v>
      </c>
      <c r="Q1216" s="6">
        <f t="shared" si="75"/>
        <v>45981</v>
      </c>
      <c r="R1216" s="6" t="str">
        <f t="shared" si="74"/>
        <v>Nov-25</v>
      </c>
      <c r="AN1216" s="9">
        <f t="shared" si="68"/>
        <v>0</v>
      </c>
      <c r="AP1216" s="9">
        <f t="shared" si="72"/>
        <v>89</v>
      </c>
    </row>
    <row r="1217" spans="1:42" x14ac:dyDescent="0.3">
      <c r="A1217" s="11">
        <f t="shared" si="69"/>
        <v>1215</v>
      </c>
      <c r="B1217" s="5" t="s">
        <v>1675</v>
      </c>
      <c r="C1217" t="s">
        <v>893</v>
      </c>
      <c r="D1217" t="s">
        <v>1647</v>
      </c>
      <c r="E1217" s="24" t="str">
        <f>IFERROR(VLOOKUP(D1217,Dropdown!A:B,2,0),D1217)</f>
        <v>HI TECH POLYMERS</v>
      </c>
      <c r="F1217" s="6">
        <v>45981</v>
      </c>
      <c r="G1217" s="6" t="str">
        <f t="shared" si="71"/>
        <v>Nov-25</v>
      </c>
      <c r="H1217" t="s">
        <v>1659</v>
      </c>
      <c r="I1217" s="25">
        <v>90</v>
      </c>
      <c r="J1217" s="4">
        <v>3000</v>
      </c>
      <c r="K1217" t="s">
        <v>899</v>
      </c>
      <c r="L1217" s="4" t="str">
        <f>VLOOKUP(K1217, 'Items Master'!A:E,5,0)</f>
        <v>MRPL</v>
      </c>
      <c r="M1217" s="4" t="str">
        <f>VLOOKUP(K1217, 'Items Master'!A:D,4,0)</f>
        <v>PP</v>
      </c>
      <c r="N1217" t="s">
        <v>24</v>
      </c>
      <c r="Q1217" s="6">
        <f t="shared" si="75"/>
        <v>45981</v>
      </c>
      <c r="R1217" s="6" t="str">
        <f t="shared" si="74"/>
        <v>Nov-25</v>
      </c>
      <c r="AN1217" s="9">
        <f t="shared" si="68"/>
        <v>0</v>
      </c>
      <c r="AP1217" s="9">
        <f t="shared" si="72"/>
        <v>90</v>
      </c>
    </row>
    <row r="1218" spans="1:42" x14ac:dyDescent="0.3">
      <c r="A1218" s="11">
        <f t="shared" si="69"/>
        <v>1216</v>
      </c>
      <c r="B1218" s="5" t="s">
        <v>1675</v>
      </c>
      <c r="C1218" t="s">
        <v>894</v>
      </c>
      <c r="D1218" t="s">
        <v>845</v>
      </c>
      <c r="E1218" s="24" t="str">
        <f>IFERROR(VLOOKUP(D1218,Dropdown!A:B,2,0),D1218)</f>
        <v>SIM POLYMERS LLP</v>
      </c>
      <c r="F1218" s="6">
        <v>45981</v>
      </c>
      <c r="G1218" s="6" t="str">
        <f t="shared" si="71"/>
        <v>Nov-25</v>
      </c>
      <c r="H1218" t="s">
        <v>1660</v>
      </c>
      <c r="I1218" s="25">
        <v>97.12</v>
      </c>
      <c r="J1218" s="4">
        <v>16000</v>
      </c>
      <c r="K1218" t="s">
        <v>988</v>
      </c>
      <c r="L1218" s="4" t="str">
        <f>VLOOKUP(K1218, 'Items Master'!A:E,5,0)</f>
        <v>BOROUGE</v>
      </c>
      <c r="M1218" s="4" t="str">
        <f>VLOOKUP(K1218, 'Items Master'!A:D,4,0)</f>
        <v>LLDPE</v>
      </c>
      <c r="N1218" t="s">
        <v>24</v>
      </c>
      <c r="Q1218" s="6">
        <f t="shared" si="75"/>
        <v>45981</v>
      </c>
      <c r="R1218" s="6" t="str">
        <f t="shared" si="74"/>
        <v>Nov-25</v>
      </c>
      <c r="AN1218" s="9">
        <f t="shared" si="68"/>
        <v>0</v>
      </c>
      <c r="AP1218" s="9">
        <f t="shared" si="72"/>
        <v>97.12</v>
      </c>
    </row>
    <row r="1219" spans="1:42" x14ac:dyDescent="0.3">
      <c r="A1219" s="11">
        <f t="shared" si="69"/>
        <v>1217</v>
      </c>
      <c r="B1219" s="5" t="s">
        <v>1675</v>
      </c>
      <c r="C1219" t="s">
        <v>893</v>
      </c>
      <c r="D1219" t="s">
        <v>48</v>
      </c>
      <c r="E1219" s="24" t="str">
        <f>IFERROR(VLOOKUP(D1219,Dropdown!A:B,2,0),D1219)</f>
        <v>CVPL</v>
      </c>
      <c r="F1219" s="6">
        <v>45981</v>
      </c>
      <c r="G1219" s="6" t="str">
        <f t="shared" si="71"/>
        <v>Nov-25</v>
      </c>
      <c r="H1219" t="s">
        <v>1661</v>
      </c>
      <c r="I1219" s="25">
        <v>96.19</v>
      </c>
      <c r="J1219" s="4">
        <v>2250</v>
      </c>
      <c r="K1219" t="s">
        <v>974</v>
      </c>
      <c r="L1219" s="4" t="str">
        <f>VLOOKUP(K1219, 'Items Master'!A:E,5,0)</f>
        <v>GAIL</v>
      </c>
      <c r="M1219" s="4" t="str">
        <f>VLOOKUP(K1219, 'Items Master'!A:D,4,0)</f>
        <v>LLDPE</v>
      </c>
      <c r="N1219" t="s">
        <v>49</v>
      </c>
      <c r="Q1219" s="6">
        <f t="shared" si="75"/>
        <v>45981</v>
      </c>
      <c r="R1219" s="6" t="str">
        <f t="shared" si="74"/>
        <v>Nov-25</v>
      </c>
      <c r="AN1219" s="9">
        <f t="shared" si="68"/>
        <v>0</v>
      </c>
      <c r="AP1219" s="9">
        <f t="shared" si="72"/>
        <v>96.19</v>
      </c>
    </row>
    <row r="1220" spans="1:42" x14ac:dyDescent="0.3">
      <c r="A1220" s="11">
        <f t="shared" si="69"/>
        <v>1218</v>
      </c>
      <c r="B1220" s="5" t="s">
        <v>1675</v>
      </c>
      <c r="C1220" t="s">
        <v>893</v>
      </c>
      <c r="D1220" t="s">
        <v>48</v>
      </c>
      <c r="E1220" s="24" t="str">
        <f>IFERROR(VLOOKUP(D1220,Dropdown!A:B,2,0),D1220)</f>
        <v>CVPL</v>
      </c>
      <c r="F1220" s="6">
        <v>45981</v>
      </c>
      <c r="G1220" s="6" t="str">
        <f t="shared" si="71"/>
        <v>Nov-25</v>
      </c>
      <c r="H1220" t="s">
        <v>1661</v>
      </c>
      <c r="I1220" s="25">
        <v>94.07</v>
      </c>
      <c r="J1220" s="4">
        <v>1250</v>
      </c>
      <c r="K1220" t="s">
        <v>942</v>
      </c>
      <c r="L1220" s="4" t="str">
        <f>VLOOKUP(K1220, 'Items Master'!A:E,5,0)</f>
        <v>GAIL</v>
      </c>
      <c r="M1220" s="4" t="str">
        <f>VLOOKUP(K1220, 'Items Master'!A:D,4,0)</f>
        <v>HDPE</v>
      </c>
      <c r="N1220" t="s">
        <v>49</v>
      </c>
      <c r="Q1220" s="6">
        <f t="shared" si="75"/>
        <v>45981</v>
      </c>
      <c r="R1220" s="6" t="str">
        <f t="shared" si="74"/>
        <v>Nov-25</v>
      </c>
      <c r="AN1220" s="9">
        <f t="shared" si="68"/>
        <v>0</v>
      </c>
      <c r="AP1220" s="9">
        <f t="shared" si="72"/>
        <v>94.07</v>
      </c>
    </row>
    <row r="1221" spans="1:42" x14ac:dyDescent="0.3">
      <c r="A1221" s="11">
        <f t="shared" si="69"/>
        <v>1219</v>
      </c>
      <c r="B1221" s="5" t="s">
        <v>1675</v>
      </c>
      <c r="C1221" t="s">
        <v>893</v>
      </c>
      <c r="D1221" t="s">
        <v>837</v>
      </c>
      <c r="E1221" s="24" t="str">
        <f>IFERROR(VLOOKUP(D1221,Dropdown!A:B,2,0),D1221)</f>
        <v>SYNTHETIC PACKERS LIMITED</v>
      </c>
      <c r="F1221" s="6">
        <v>45981</v>
      </c>
      <c r="G1221" s="6" t="str">
        <f t="shared" si="71"/>
        <v>Nov-25</v>
      </c>
      <c r="H1221" t="s">
        <v>1662</v>
      </c>
      <c r="I1221" s="25">
        <v>89.5</v>
      </c>
      <c r="J1221" s="4">
        <v>2000</v>
      </c>
      <c r="K1221" t="s">
        <v>906</v>
      </c>
      <c r="L1221" s="4" t="str">
        <f>VLOOKUP(K1221, 'Items Master'!A:E,5,0)</f>
        <v>EQUATE</v>
      </c>
      <c r="M1221" s="4" t="str">
        <f>VLOOKUP(K1221, 'Items Master'!A:D,4,0)</f>
        <v>HDPE</v>
      </c>
      <c r="N1221" t="s">
        <v>24</v>
      </c>
      <c r="Q1221" s="6">
        <f t="shared" si="75"/>
        <v>45981</v>
      </c>
      <c r="R1221" s="6" t="str">
        <f t="shared" si="74"/>
        <v>Nov-25</v>
      </c>
      <c r="AN1221" s="9">
        <f t="shared" ref="AN1221:AN1234" si="76">SUM(AB1221:AM1221)</f>
        <v>0</v>
      </c>
      <c r="AP1221" s="9">
        <f t="shared" si="72"/>
        <v>89.5</v>
      </c>
    </row>
    <row r="1222" spans="1:42" x14ac:dyDescent="0.3">
      <c r="A1222" s="11">
        <f t="shared" si="69"/>
        <v>1220</v>
      </c>
      <c r="B1222" s="5" t="s">
        <v>1675</v>
      </c>
      <c r="C1222" t="s">
        <v>893</v>
      </c>
      <c r="D1222" t="s">
        <v>837</v>
      </c>
      <c r="E1222" s="24" t="str">
        <f>IFERROR(VLOOKUP(D1222,Dropdown!A:B,2,0),D1222)</f>
        <v>SYNTHETIC PACKERS LIMITED</v>
      </c>
      <c r="F1222" s="6">
        <v>45981</v>
      </c>
      <c r="G1222" s="6" t="str">
        <f t="shared" si="71"/>
        <v>Nov-25</v>
      </c>
      <c r="H1222" t="s">
        <v>1662</v>
      </c>
      <c r="I1222" s="25">
        <v>89.5</v>
      </c>
      <c r="J1222" s="4">
        <v>500</v>
      </c>
      <c r="K1222" t="s">
        <v>982</v>
      </c>
      <c r="L1222" s="4" t="str">
        <f>VLOOKUP(K1222, 'Items Master'!A:E,5,0)</f>
        <v>SABIC</v>
      </c>
      <c r="M1222" s="4" t="str">
        <f>VLOOKUP(K1222, 'Items Master'!A:D,4,0)</f>
        <v>HDPE</v>
      </c>
      <c r="N1222" t="s">
        <v>24</v>
      </c>
      <c r="Q1222" s="6">
        <f t="shared" si="75"/>
        <v>45981</v>
      </c>
      <c r="R1222" s="6" t="str">
        <f t="shared" si="74"/>
        <v>Nov-25</v>
      </c>
      <c r="AN1222" s="9">
        <f t="shared" si="76"/>
        <v>0</v>
      </c>
      <c r="AP1222" s="9">
        <f t="shared" si="72"/>
        <v>89.5</v>
      </c>
    </row>
    <row r="1223" spans="1:42" x14ac:dyDescent="0.3">
      <c r="A1223" s="11">
        <f t="shared" si="69"/>
        <v>1221</v>
      </c>
      <c r="B1223" s="5" t="s">
        <v>1675</v>
      </c>
      <c r="C1223" t="s">
        <v>894</v>
      </c>
      <c r="D1223" t="s">
        <v>837</v>
      </c>
      <c r="E1223" s="24" t="str">
        <f>IFERROR(VLOOKUP(D1223,Dropdown!A:B,2,0),D1223)</f>
        <v>SYNTHETIC PACKERS LIMITED</v>
      </c>
      <c r="F1223" s="6">
        <v>45982</v>
      </c>
      <c r="G1223" s="6" t="str">
        <f t="shared" si="71"/>
        <v>Nov-25</v>
      </c>
      <c r="H1223" t="s">
        <v>1663</v>
      </c>
      <c r="I1223" s="25">
        <v>89</v>
      </c>
      <c r="J1223" s="4">
        <v>24750</v>
      </c>
      <c r="K1223" t="s">
        <v>909</v>
      </c>
      <c r="L1223" s="4" t="str">
        <f>VLOOKUP(K1223, 'Items Master'!A:E,5,0)</f>
        <v>LUBAN</v>
      </c>
      <c r="M1223" s="4" t="str">
        <f>VLOOKUP(K1223, 'Items Master'!A:D,4,0)</f>
        <v>HDPE</v>
      </c>
      <c r="N1223" t="s">
        <v>24</v>
      </c>
      <c r="Q1223" s="6">
        <f t="shared" si="75"/>
        <v>45982</v>
      </c>
      <c r="R1223" s="6" t="str">
        <f t="shared" si="74"/>
        <v>Nov-25</v>
      </c>
      <c r="AN1223" s="9">
        <f t="shared" si="76"/>
        <v>0</v>
      </c>
      <c r="AP1223" s="9">
        <f t="shared" si="72"/>
        <v>89</v>
      </c>
    </row>
    <row r="1224" spans="1:42" x14ac:dyDescent="0.3">
      <c r="A1224" s="11">
        <f t="shared" ref="A1224:A1234" si="77">A1223+1</f>
        <v>1222</v>
      </c>
      <c r="B1224" s="5" t="s">
        <v>1675</v>
      </c>
      <c r="C1224" t="s">
        <v>893</v>
      </c>
      <c r="D1224" t="s">
        <v>864</v>
      </c>
      <c r="E1224" s="24" t="str">
        <f>IFERROR(VLOOKUP(D1224,Dropdown!A:B,2,0),D1224)</f>
        <v>SVP</v>
      </c>
      <c r="F1224" s="6">
        <v>45982</v>
      </c>
      <c r="G1224" s="6" t="str">
        <f t="shared" si="71"/>
        <v>Nov-25</v>
      </c>
      <c r="H1224" t="s">
        <v>1664</v>
      </c>
      <c r="I1224" s="25">
        <v>94.3</v>
      </c>
      <c r="J1224" s="4">
        <v>10000</v>
      </c>
      <c r="K1224" t="s">
        <v>1012</v>
      </c>
      <c r="L1224" s="4" t="str">
        <f>VLOOKUP(K1224, 'Items Master'!A:E,5,0)</f>
        <v>HMEL</v>
      </c>
      <c r="M1224" s="4" t="str">
        <f>VLOOKUP(K1224, 'Items Master'!A:D,4,0)</f>
        <v>LLDPE</v>
      </c>
      <c r="N1224" t="s">
        <v>49</v>
      </c>
      <c r="Q1224" s="6">
        <f t="shared" si="75"/>
        <v>45982</v>
      </c>
      <c r="R1224" s="6" t="str">
        <f t="shared" si="74"/>
        <v>Nov-25</v>
      </c>
      <c r="AN1224" s="9">
        <f t="shared" si="76"/>
        <v>0</v>
      </c>
      <c r="AP1224" s="9">
        <f t="shared" si="72"/>
        <v>94.3</v>
      </c>
    </row>
    <row r="1225" spans="1:42" x14ac:dyDescent="0.3">
      <c r="A1225" s="11">
        <f t="shared" si="77"/>
        <v>1223</v>
      </c>
      <c r="B1225" s="5" t="s">
        <v>1675</v>
      </c>
      <c r="C1225" t="s">
        <v>893</v>
      </c>
      <c r="D1225" t="s">
        <v>872</v>
      </c>
      <c r="E1225" s="24" t="str">
        <f>IFERROR(VLOOKUP(D1225,Dropdown!A:B,2,0),D1225)</f>
        <v>Value</v>
      </c>
      <c r="F1225" s="6">
        <v>45982</v>
      </c>
      <c r="G1225" s="6" t="str">
        <f t="shared" si="71"/>
        <v>Nov-25</v>
      </c>
      <c r="H1225" t="s">
        <v>1665</v>
      </c>
      <c r="I1225" s="25">
        <v>94.77</v>
      </c>
      <c r="J1225" s="4">
        <v>3000</v>
      </c>
      <c r="K1225" t="s">
        <v>944</v>
      </c>
      <c r="L1225" s="4" t="str">
        <f>VLOOKUP(K1225, 'Items Master'!A:E,5,0)</f>
        <v>RIL</v>
      </c>
      <c r="M1225" s="4" t="str">
        <f>VLOOKUP(K1225, 'Items Master'!A:D,4,0)</f>
        <v>PP ICP</v>
      </c>
      <c r="N1225" t="s">
        <v>49</v>
      </c>
      <c r="Q1225" s="6">
        <f t="shared" si="75"/>
        <v>45982</v>
      </c>
      <c r="R1225" s="6" t="str">
        <f t="shared" si="74"/>
        <v>Nov-25</v>
      </c>
      <c r="AN1225" s="9">
        <f t="shared" si="76"/>
        <v>0</v>
      </c>
      <c r="AP1225" s="9">
        <f t="shared" si="72"/>
        <v>94.77</v>
      </c>
    </row>
    <row r="1226" spans="1:42" x14ac:dyDescent="0.3">
      <c r="A1226" s="11">
        <f t="shared" si="77"/>
        <v>1224</v>
      </c>
      <c r="B1226" s="5" t="s">
        <v>1675</v>
      </c>
      <c r="C1226" t="s">
        <v>893</v>
      </c>
      <c r="D1226" t="s">
        <v>885</v>
      </c>
      <c r="E1226" s="24" t="str">
        <f>IFERROR(VLOOKUP(D1226,Dropdown!A:B,2,0),D1226)</f>
        <v>Allied</v>
      </c>
      <c r="F1226" s="6">
        <v>45982</v>
      </c>
      <c r="G1226" s="6" t="str">
        <f t="shared" si="71"/>
        <v>Nov-25</v>
      </c>
      <c r="H1226" t="s">
        <v>1666</v>
      </c>
      <c r="I1226" s="25">
        <v>93.73</v>
      </c>
      <c r="J1226" s="4">
        <v>6000</v>
      </c>
      <c r="K1226" t="s">
        <v>975</v>
      </c>
      <c r="L1226" s="4" t="str">
        <f>VLOOKUP(K1226, 'Items Master'!A:E,5,0)</f>
        <v>HMEL</v>
      </c>
      <c r="M1226" s="4" t="str">
        <f>VLOOKUP(K1226, 'Items Master'!A:D,4,0)</f>
        <v>LLDPE</v>
      </c>
      <c r="N1226" t="s">
        <v>49</v>
      </c>
      <c r="Q1226" s="6">
        <f t="shared" si="75"/>
        <v>45982</v>
      </c>
      <c r="R1226" s="6" t="str">
        <f t="shared" si="74"/>
        <v>Nov-25</v>
      </c>
      <c r="AN1226" s="9">
        <f t="shared" si="76"/>
        <v>0</v>
      </c>
      <c r="AP1226" s="9">
        <f t="shared" si="72"/>
        <v>93.73</v>
      </c>
    </row>
    <row r="1227" spans="1:42" x14ac:dyDescent="0.3">
      <c r="A1227" s="11">
        <f t="shared" si="77"/>
        <v>1225</v>
      </c>
      <c r="B1227" s="5" t="s">
        <v>1675</v>
      </c>
      <c r="C1227" t="s">
        <v>893</v>
      </c>
      <c r="D1227" t="s">
        <v>885</v>
      </c>
      <c r="E1227" s="24" t="str">
        <f>IFERROR(VLOOKUP(D1227,Dropdown!A:B,2,0),D1227)</f>
        <v>Allied</v>
      </c>
      <c r="F1227" s="6">
        <v>45982</v>
      </c>
      <c r="G1227" s="6" t="str">
        <f t="shared" si="71"/>
        <v>Nov-25</v>
      </c>
      <c r="H1227" t="s">
        <v>1666</v>
      </c>
      <c r="I1227" s="25">
        <v>93.22</v>
      </c>
      <c r="J1227" s="4">
        <v>6000</v>
      </c>
      <c r="K1227" t="s">
        <v>1012</v>
      </c>
      <c r="L1227" s="4" t="str">
        <f>VLOOKUP(K1227, 'Items Master'!A:E,5,0)</f>
        <v>HMEL</v>
      </c>
      <c r="M1227" s="4" t="str">
        <f>VLOOKUP(K1227, 'Items Master'!A:D,4,0)</f>
        <v>LLDPE</v>
      </c>
      <c r="N1227" t="s">
        <v>49</v>
      </c>
      <c r="Q1227" s="6">
        <f t="shared" si="75"/>
        <v>45982</v>
      </c>
      <c r="R1227" s="6" t="str">
        <f t="shared" si="74"/>
        <v>Nov-25</v>
      </c>
      <c r="AN1227" s="9">
        <f t="shared" si="76"/>
        <v>0</v>
      </c>
      <c r="AP1227" s="9">
        <f t="shared" si="72"/>
        <v>93.22</v>
      </c>
    </row>
    <row r="1228" spans="1:42" x14ac:dyDescent="0.3">
      <c r="A1228" s="11">
        <f t="shared" si="77"/>
        <v>1226</v>
      </c>
      <c r="B1228" s="5" t="s">
        <v>1675</v>
      </c>
      <c r="C1228" t="s">
        <v>893</v>
      </c>
      <c r="D1228" t="s">
        <v>844</v>
      </c>
      <c r="E1228" s="24" t="str">
        <f>IFERROR(VLOOKUP(D1228,Dropdown!A:B,2,0),D1228)</f>
        <v>APEX TECHNO POLYMER PRIVATE LIMITED</v>
      </c>
      <c r="F1228" s="6">
        <v>45982</v>
      </c>
      <c r="G1228" s="6" t="str">
        <f t="shared" si="71"/>
        <v>Nov-25</v>
      </c>
      <c r="H1228" t="s">
        <v>1667</v>
      </c>
      <c r="I1228" s="25">
        <v>280</v>
      </c>
      <c r="J1228" s="4">
        <v>25</v>
      </c>
      <c r="K1228" t="s">
        <v>1672</v>
      </c>
      <c r="L1228" s="4" t="str">
        <f>VLOOKUP(K1228, 'Items Master'!A:E,5,0)</f>
        <v>XYRON</v>
      </c>
      <c r="M1228" s="4">
        <f>VLOOKUP(K1228, 'Items Master'!A:D,4,0)</f>
        <v>0</v>
      </c>
      <c r="N1228" t="s">
        <v>24</v>
      </c>
      <c r="Q1228" s="6">
        <f t="shared" si="75"/>
        <v>45982</v>
      </c>
      <c r="R1228" s="6" t="str">
        <f t="shared" si="74"/>
        <v>Nov-25</v>
      </c>
      <c r="AN1228" s="9">
        <f t="shared" si="76"/>
        <v>0</v>
      </c>
      <c r="AP1228" s="9">
        <f t="shared" si="72"/>
        <v>280</v>
      </c>
    </row>
    <row r="1229" spans="1:42" x14ac:dyDescent="0.3">
      <c r="A1229" s="11">
        <f t="shared" si="77"/>
        <v>1227</v>
      </c>
      <c r="B1229" s="5" t="s">
        <v>1675</v>
      </c>
      <c r="C1229" t="s">
        <v>893</v>
      </c>
      <c r="D1229" t="s">
        <v>844</v>
      </c>
      <c r="E1229" s="24" t="str">
        <f>IFERROR(VLOOKUP(D1229,Dropdown!A:B,2,0),D1229)</f>
        <v>APEX TECHNO POLYMER PRIVATE LIMITED</v>
      </c>
      <c r="F1229" s="6">
        <v>45982</v>
      </c>
      <c r="G1229" s="6" t="str">
        <f t="shared" si="71"/>
        <v>Nov-25</v>
      </c>
      <c r="H1229" t="s">
        <v>1667</v>
      </c>
      <c r="I1229" s="25">
        <v>585</v>
      </c>
      <c r="J1229" s="4">
        <v>25</v>
      </c>
      <c r="K1229" t="s">
        <v>1673</v>
      </c>
      <c r="L1229" s="4" t="str">
        <f>VLOOKUP(K1229, 'Items Master'!A:E,5,0)</f>
        <v>XYRON</v>
      </c>
      <c r="M1229" s="4">
        <f>VLOOKUP(K1229, 'Items Master'!A:D,4,0)</f>
        <v>0</v>
      </c>
      <c r="N1229" t="s">
        <v>24</v>
      </c>
      <c r="Q1229" s="6">
        <f t="shared" si="75"/>
        <v>45982</v>
      </c>
      <c r="R1229" s="6" t="str">
        <f t="shared" si="74"/>
        <v>Nov-25</v>
      </c>
      <c r="AN1229" s="9">
        <f t="shared" si="76"/>
        <v>0</v>
      </c>
      <c r="AP1229" s="9">
        <f t="shared" si="72"/>
        <v>585</v>
      </c>
    </row>
    <row r="1230" spans="1:42" x14ac:dyDescent="0.3">
      <c r="A1230" s="11">
        <f t="shared" si="77"/>
        <v>1228</v>
      </c>
      <c r="B1230" s="5" t="s">
        <v>1675</v>
      </c>
      <c r="C1230" t="s">
        <v>893</v>
      </c>
      <c r="D1230" t="s">
        <v>844</v>
      </c>
      <c r="E1230" s="24" t="str">
        <f>IFERROR(VLOOKUP(D1230,Dropdown!A:B,2,0),D1230)</f>
        <v>APEX TECHNO POLYMER PRIVATE LIMITED</v>
      </c>
      <c r="F1230" s="6">
        <v>45982</v>
      </c>
      <c r="G1230" s="6" t="str">
        <f t="shared" si="71"/>
        <v>Nov-25</v>
      </c>
      <c r="H1230" t="s">
        <v>1667</v>
      </c>
      <c r="I1230" s="25">
        <v>490</v>
      </c>
      <c r="J1230" s="4">
        <v>25</v>
      </c>
      <c r="K1230" t="s">
        <v>1674</v>
      </c>
      <c r="L1230" s="4" t="str">
        <f>VLOOKUP(K1230, 'Items Master'!A:E,5,0)</f>
        <v>LEONA</v>
      </c>
      <c r="M1230" s="4">
        <f>VLOOKUP(K1230, 'Items Master'!A:D,4,0)</f>
        <v>0</v>
      </c>
      <c r="N1230" t="s">
        <v>24</v>
      </c>
      <c r="Q1230" s="6">
        <f t="shared" si="75"/>
        <v>45982</v>
      </c>
      <c r="R1230" s="6" t="str">
        <f t="shared" si="74"/>
        <v>Nov-25</v>
      </c>
      <c r="AN1230" s="9">
        <f t="shared" si="76"/>
        <v>0</v>
      </c>
      <c r="AP1230" s="9">
        <f t="shared" si="72"/>
        <v>490</v>
      </c>
    </row>
    <row r="1231" spans="1:42" x14ac:dyDescent="0.3">
      <c r="A1231" s="11">
        <f t="shared" si="77"/>
        <v>1229</v>
      </c>
      <c r="B1231" s="5" t="s">
        <v>1675</v>
      </c>
      <c r="C1231" t="s">
        <v>893</v>
      </c>
      <c r="D1231" t="s">
        <v>48</v>
      </c>
      <c r="E1231" s="24" t="str">
        <f>IFERROR(VLOOKUP(D1231,Dropdown!A:B,2,0),D1231)</f>
        <v>CVPL</v>
      </c>
      <c r="F1231" s="6">
        <v>45983</v>
      </c>
      <c r="G1231" s="6" t="str">
        <f t="shared" si="71"/>
        <v>Nov-25</v>
      </c>
      <c r="H1231" t="s">
        <v>1668</v>
      </c>
      <c r="I1231" s="25">
        <v>95.49</v>
      </c>
      <c r="J1231" s="4">
        <v>2000</v>
      </c>
      <c r="K1231" t="s">
        <v>903</v>
      </c>
      <c r="L1231" s="4" t="str">
        <f>VLOOKUP(K1231, 'Items Master'!A:E,5,0)</f>
        <v>GAIL</v>
      </c>
      <c r="M1231" s="4" t="str">
        <f>VLOOKUP(K1231, 'Items Master'!A:D,4,0)</f>
        <v>LLDPE</v>
      </c>
      <c r="N1231" t="s">
        <v>49</v>
      </c>
      <c r="Q1231" s="6">
        <f t="shared" si="75"/>
        <v>45983</v>
      </c>
      <c r="R1231" s="6" t="str">
        <f t="shared" si="74"/>
        <v>Nov-25</v>
      </c>
      <c r="AN1231" s="9">
        <f t="shared" si="76"/>
        <v>0</v>
      </c>
      <c r="AP1231" s="9">
        <f t="shared" si="72"/>
        <v>95.49</v>
      </c>
    </row>
    <row r="1232" spans="1:42" x14ac:dyDescent="0.3">
      <c r="A1232" s="11">
        <f t="shared" si="77"/>
        <v>1230</v>
      </c>
      <c r="B1232" s="5" t="s">
        <v>1675</v>
      </c>
      <c r="C1232" t="s">
        <v>893</v>
      </c>
      <c r="D1232" t="s">
        <v>48</v>
      </c>
      <c r="E1232" s="24" t="str">
        <f>IFERROR(VLOOKUP(D1232,Dropdown!A:B,2,0),D1232)</f>
        <v>CVPL</v>
      </c>
      <c r="F1232" s="6">
        <v>45983</v>
      </c>
      <c r="G1232" s="6" t="str">
        <f t="shared" si="71"/>
        <v>Nov-25</v>
      </c>
      <c r="H1232" t="s">
        <v>1669</v>
      </c>
      <c r="I1232" s="25">
        <v>95.49</v>
      </c>
      <c r="J1232" s="4">
        <v>2500</v>
      </c>
      <c r="K1232" t="s">
        <v>903</v>
      </c>
      <c r="L1232" s="4" t="str">
        <f>VLOOKUP(K1232, 'Items Master'!A:E,5,0)</f>
        <v>GAIL</v>
      </c>
      <c r="M1232" s="4" t="str">
        <f>VLOOKUP(K1232, 'Items Master'!A:D,4,0)</f>
        <v>LLDPE</v>
      </c>
      <c r="N1232" t="s">
        <v>49</v>
      </c>
      <c r="Q1232" s="6">
        <f t="shared" si="75"/>
        <v>45983</v>
      </c>
      <c r="R1232" s="6" t="str">
        <f t="shared" si="74"/>
        <v>Nov-25</v>
      </c>
      <c r="AN1232" s="9">
        <f t="shared" si="76"/>
        <v>0</v>
      </c>
      <c r="AP1232" s="9">
        <f t="shared" si="72"/>
        <v>95.49</v>
      </c>
    </row>
    <row r="1233" spans="1:42" x14ac:dyDescent="0.3">
      <c r="A1233" s="11">
        <f t="shared" si="77"/>
        <v>1231</v>
      </c>
      <c r="B1233" s="5" t="s">
        <v>1675</v>
      </c>
      <c r="C1233" t="s">
        <v>893</v>
      </c>
      <c r="D1233" t="s">
        <v>48</v>
      </c>
      <c r="E1233" s="24" t="str">
        <f>IFERROR(VLOOKUP(D1233,Dropdown!A:B,2,0),D1233)</f>
        <v>CVPL</v>
      </c>
      <c r="F1233" s="6">
        <v>45983</v>
      </c>
      <c r="G1233" s="6" t="str">
        <f t="shared" si="71"/>
        <v>Nov-25</v>
      </c>
      <c r="H1233" t="s">
        <v>1670</v>
      </c>
      <c r="I1233" s="25">
        <v>89.8</v>
      </c>
      <c r="J1233" s="4">
        <v>3000</v>
      </c>
      <c r="K1233" t="s">
        <v>899</v>
      </c>
      <c r="L1233" s="4" t="str">
        <f>VLOOKUP(K1233, 'Items Master'!A:E,5,0)</f>
        <v>MRPL</v>
      </c>
      <c r="M1233" s="4" t="str">
        <f>VLOOKUP(K1233, 'Items Master'!A:D,4,0)</f>
        <v>PP</v>
      </c>
      <c r="N1233" t="s">
        <v>49</v>
      </c>
      <c r="Q1233" s="6">
        <f t="shared" si="75"/>
        <v>45983</v>
      </c>
      <c r="R1233" s="6" t="str">
        <f t="shared" si="74"/>
        <v>Nov-25</v>
      </c>
      <c r="AN1233" s="9">
        <f t="shared" si="76"/>
        <v>0</v>
      </c>
      <c r="AP1233" s="9">
        <f t="shared" si="72"/>
        <v>89.8</v>
      </c>
    </row>
    <row r="1234" spans="1:42" x14ac:dyDescent="0.3">
      <c r="A1234" s="11">
        <f t="shared" si="77"/>
        <v>1232</v>
      </c>
      <c r="B1234" s="5" t="s">
        <v>1675</v>
      </c>
      <c r="C1234" t="s">
        <v>893</v>
      </c>
      <c r="D1234" t="s">
        <v>48</v>
      </c>
      <c r="E1234" s="24" t="str">
        <f>IFERROR(VLOOKUP(D1234,Dropdown!A:B,2,0),D1234)</f>
        <v>CVPL</v>
      </c>
      <c r="F1234" s="6">
        <v>45983</v>
      </c>
      <c r="G1234" s="6" t="str">
        <f t="shared" si="71"/>
        <v>Nov-25</v>
      </c>
      <c r="H1234" t="s">
        <v>1671</v>
      </c>
      <c r="I1234" s="25">
        <v>95.49</v>
      </c>
      <c r="J1234" s="4">
        <v>2500</v>
      </c>
      <c r="K1234" t="s">
        <v>903</v>
      </c>
      <c r="L1234" s="4" t="str">
        <f>VLOOKUP(K1234, 'Items Master'!A:E,5,0)</f>
        <v>GAIL</v>
      </c>
      <c r="M1234" s="4" t="str">
        <f>VLOOKUP(K1234, 'Items Master'!A:D,4,0)</f>
        <v>LLDPE</v>
      </c>
      <c r="N1234" t="s">
        <v>49</v>
      </c>
      <c r="Q1234" s="6">
        <f t="shared" si="75"/>
        <v>45983</v>
      </c>
      <c r="R1234" s="6" t="str">
        <f t="shared" si="74"/>
        <v>Nov-25</v>
      </c>
      <c r="AN1234" s="9">
        <f t="shared" si="76"/>
        <v>0</v>
      </c>
      <c r="AP1234" s="9">
        <f t="shared" si="72"/>
        <v>95.49</v>
      </c>
    </row>
  </sheetData>
  <autoFilter ref="A2:AR1234" xr:uid="{00000000-0001-0000-0000-000000000000}"/>
  <mergeCells count="2">
    <mergeCell ref="X1:Z1"/>
    <mergeCell ref="AB1:AN1"/>
  </mergeCells>
  <conditionalFormatting sqref="K123">
    <cfRule type="duplicateValues" dxfId="9" priority="7"/>
    <cfRule type="duplicateValues" dxfId="8" priority="8"/>
  </conditionalFormatting>
  <conditionalFormatting sqref="K257">
    <cfRule type="duplicateValues" dxfId="7" priority="9"/>
    <cfRule type="duplicateValues" dxfId="6" priority="10"/>
  </conditionalFormatting>
  <conditionalFormatting sqref="K664">
    <cfRule type="duplicateValues" dxfId="5" priority="5"/>
    <cfRule type="duplicateValues" dxfId="4" priority="6"/>
  </conditionalFormatting>
  <conditionalFormatting sqref="K736">
    <cfRule type="duplicateValues" dxfId="3" priority="3"/>
    <cfRule type="duplicateValues" dxfId="2" priority="4"/>
  </conditionalFormatting>
  <conditionalFormatting sqref="K777">
    <cfRule type="duplicateValues" dxfId="1" priority="1"/>
    <cfRule type="duplicateValues" dxfId="0" priority="2"/>
  </conditionalFormatting>
  <dataValidations count="7">
    <dataValidation type="list" allowBlank="1" showInputMessage="1" showErrorMessage="1" sqref="C3:C1048576" xr:uid="{1D2C0E71-B527-4331-A4E5-36E2A9C7CDD0}">
      <formula1>"Bangalore WH, Chennai Office, Head Office, Chennai WH"</formula1>
    </dataValidation>
    <dataValidation type="list" allowBlank="1" showInputMessage="1" showErrorMessage="1" sqref="S3:T1048576" xr:uid="{D1EC017E-03B8-46EB-AF69-D5AD89975322}">
      <formula1>"Yes, No"</formula1>
    </dataValidation>
    <dataValidation type="list" allowBlank="1" showInputMessage="1" showErrorMessage="1" sqref="N3:N1048576" xr:uid="{28AD4CFC-7412-45C3-B4F1-9C3E7C45B261}">
      <formula1>"Discounts, Outright, Outright with Discounts"</formula1>
    </dataValidation>
    <dataValidation type="list" allowBlank="1" showInputMessage="1" showErrorMessage="1" sqref="Y3:Y1048576" xr:uid="{9FC52192-5F8F-43D2-9D34-5895FCA513CA}">
      <formula1>"Ex-Works, Ex-DCA-Depo, Ex-Company-Depo"</formula1>
    </dataValidation>
    <dataValidation type="list" allowBlank="1" showInputMessage="1" showErrorMessage="1" sqref="U3:U1048576" xr:uid="{E5399838-A864-40B0-8607-582956925B1D}">
      <formula1>"Godown, Depo, Plant, CFS, Port"</formula1>
    </dataValidation>
    <dataValidation type="list" allowBlank="1" showInputMessage="1" showErrorMessage="1" sqref="AQ3:AQ1048576" xr:uid="{DA97846B-6DE9-40C8-8E72-FB968754B3C5}">
      <formula1>"Open, Verified &amp; Closed"</formula1>
    </dataValidation>
    <dataValidation type="list" allowBlank="1" showInputMessage="1" showErrorMessage="1" sqref="B3:B1234" xr:uid="{9D9E94BB-4714-45E7-A3A0-4318EDC25308}">
      <formula1>"Purchase, Purchase Return"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B53A-148B-457E-882F-452913DF5A7C}">
  <dimension ref="A1:N66"/>
  <sheetViews>
    <sheetView workbookViewId="0"/>
  </sheetViews>
  <sheetFormatPr defaultRowHeight="14.4" x14ac:dyDescent="0.3"/>
  <cols>
    <col min="1" max="1" width="8.6640625" bestFit="1" customWidth="1"/>
    <col min="2" max="2" width="18" bestFit="1" customWidth="1"/>
    <col min="3" max="3" width="12.33203125" customWidth="1"/>
    <col min="4" max="4" width="21" bestFit="1" customWidth="1"/>
    <col min="5" max="5" width="13.44140625" customWidth="1"/>
    <col min="6" max="6" width="10" bestFit="1" customWidth="1"/>
    <col min="11" max="11" width="8.88671875" style="8"/>
    <col min="12" max="12" width="33.88671875" bestFit="1" customWidth="1"/>
    <col min="13" max="13" width="9.6640625" bestFit="1" customWidth="1"/>
    <col min="14" max="14" width="21.109375" style="4" bestFit="1" customWidth="1"/>
  </cols>
  <sheetData>
    <row r="1" spans="1:7" x14ac:dyDescent="0.3">
      <c r="A1" s="10" t="s">
        <v>1336</v>
      </c>
      <c r="B1" s="7">
        <v>45870</v>
      </c>
      <c r="F1" s="43">
        <f>SUMIFS('&lt;&lt; Working &gt;&gt;'!J:J, '&lt;&lt; Working &gt;&gt;'!R:R, 'Supplier Wise Monthly'!B1, '&lt;&lt; Working &gt;&gt;'!D:D, 'Supplier Wise Monthly'!B2)-F4</f>
        <v>0</v>
      </c>
      <c r="G1" s="44" t="s">
        <v>1331</v>
      </c>
    </row>
    <row r="2" spans="1:7" x14ac:dyDescent="0.3">
      <c r="A2" s="10" t="s">
        <v>28</v>
      </c>
      <c r="B2" t="s">
        <v>826</v>
      </c>
    </row>
    <row r="3" spans="1:7" x14ac:dyDescent="0.3">
      <c r="A3" s="10"/>
    </row>
    <row r="4" spans="1:7" x14ac:dyDescent="0.3">
      <c r="B4" s="10"/>
      <c r="C4" s="38">
        <f>SUM(C7:C66)</f>
        <v>105000</v>
      </c>
      <c r="D4" s="38">
        <f>SUM(D7:D66)</f>
        <v>0</v>
      </c>
      <c r="E4" s="38">
        <f>SUM(E7:E66)</f>
        <v>0</v>
      </c>
      <c r="F4" s="38">
        <f>SUM(F7:F66)</f>
        <v>105000</v>
      </c>
      <c r="G4" t="s">
        <v>37</v>
      </c>
    </row>
    <row r="5" spans="1:7" x14ac:dyDescent="0.3">
      <c r="C5" s="35">
        <f>SUBTOTAL(9, C7:C66)</f>
        <v>105000</v>
      </c>
      <c r="D5" s="35">
        <f>SUBTOTAL(9, D7:D66)</f>
        <v>0</v>
      </c>
      <c r="E5" s="35">
        <f>SUBTOTAL(9, E7:E66)</f>
        <v>0</v>
      </c>
      <c r="F5" s="45">
        <f>SUM(C5:E5)</f>
        <v>105000</v>
      </c>
      <c r="G5" t="s">
        <v>1333</v>
      </c>
    </row>
    <row r="6" spans="1:7" x14ac:dyDescent="0.3">
      <c r="A6" s="23" t="s">
        <v>4</v>
      </c>
      <c r="B6" s="23" t="s">
        <v>2</v>
      </c>
      <c r="C6" s="40" t="s">
        <v>49</v>
      </c>
      <c r="D6" s="40" t="s">
        <v>1325</v>
      </c>
      <c r="E6" s="40" t="s">
        <v>24</v>
      </c>
      <c r="F6" s="41" t="s">
        <v>37</v>
      </c>
    </row>
    <row r="7" spans="1:7" x14ac:dyDescent="0.3">
      <c r="A7" s="21" t="str">
        <f>VLOOKUP(B7, 'Items Master'!E:F,2,0)</f>
        <v>Domestic</v>
      </c>
      <c r="B7" s="21" t="s">
        <v>1026</v>
      </c>
      <c r="C7" s="39">
        <f>SUMIFS('&lt;&lt; Working &gt;&gt;'!$J:$J, '&lt;&lt; Working &gt;&gt;'!$D:$D, 'Supplier Wise Monthly'!$B$2, '&lt;&lt; Working &gt;&gt;'!$L:$L, 'Supplier Wise Monthly'!$B7, '&lt;&lt; Working &gt;&gt;'!$N:$N, 'Supplier Wise Monthly'!C$6, '&lt;&lt; Working &gt;&gt;'!$R:$R, 'Supplier Wise Monthly'!$B$1)</f>
        <v>0</v>
      </c>
      <c r="D7" s="39">
        <f>SUMIFS('&lt;&lt; Working &gt;&gt;'!$J:$J, '&lt;&lt; Working &gt;&gt;'!$D:$D, 'Supplier Wise Monthly'!$B$2, '&lt;&lt; Working &gt;&gt;'!$L:$L, 'Supplier Wise Monthly'!$B7, '&lt;&lt; Working &gt;&gt;'!$N:$N, 'Supplier Wise Monthly'!D$6, '&lt;&lt; Working &gt;&gt;'!$R:$R, 'Supplier Wise Monthly'!$B$1)</f>
        <v>0</v>
      </c>
      <c r="E7" s="39">
        <f>SUMIFS('&lt;&lt; Working &gt;&gt;'!$J:$J, '&lt;&lt; Working &gt;&gt;'!$D:$D, 'Supplier Wise Monthly'!$B$2, '&lt;&lt; Working &gt;&gt;'!$L:$L, 'Supplier Wise Monthly'!$B7, '&lt;&lt; Working &gt;&gt;'!$N:$N, 'Supplier Wise Monthly'!E$6, '&lt;&lt; Working &gt;&gt;'!$R:$R, 'Supplier Wise Monthly'!$B$1)</f>
        <v>0</v>
      </c>
      <c r="F7" s="42">
        <f t="shared" ref="F7:F16" si="0">SUM(C7:E7)</f>
        <v>0</v>
      </c>
    </row>
    <row r="8" spans="1:7" x14ac:dyDescent="0.3">
      <c r="A8" s="21" t="str">
        <f>VLOOKUP(B8, 'Items Master'!E:F,2,0)</f>
        <v>Domestic</v>
      </c>
      <c r="B8" s="21" t="s">
        <v>43</v>
      </c>
      <c r="C8" s="39">
        <f>SUMIFS('&lt;&lt; Working &gt;&gt;'!$J:$J, '&lt;&lt; Working &gt;&gt;'!$D:$D, 'Supplier Wise Monthly'!$B$2, '&lt;&lt; Working &gt;&gt;'!$L:$L, 'Supplier Wise Monthly'!$B8, '&lt;&lt; Working &gt;&gt;'!$N:$N, 'Supplier Wise Monthly'!C$6, '&lt;&lt; Working &gt;&gt;'!$R:$R, 'Supplier Wise Monthly'!$B$1)</f>
        <v>0</v>
      </c>
      <c r="D8" s="39">
        <f>SUMIFS('&lt;&lt; Working &gt;&gt;'!$J:$J, '&lt;&lt; Working &gt;&gt;'!$D:$D, 'Supplier Wise Monthly'!$B$2, '&lt;&lt; Working &gt;&gt;'!$L:$L, 'Supplier Wise Monthly'!$B8, '&lt;&lt; Working &gt;&gt;'!$N:$N, 'Supplier Wise Monthly'!D$6, '&lt;&lt; Working &gt;&gt;'!$R:$R, 'Supplier Wise Monthly'!$B$1)</f>
        <v>0</v>
      </c>
      <c r="E8" s="39">
        <f>SUMIFS('&lt;&lt; Working &gt;&gt;'!$J:$J, '&lt;&lt; Working &gt;&gt;'!$D:$D, 'Supplier Wise Monthly'!$B$2, '&lt;&lt; Working &gt;&gt;'!$L:$L, 'Supplier Wise Monthly'!$B8, '&lt;&lt; Working &gt;&gt;'!$N:$N, 'Supplier Wise Monthly'!E$6, '&lt;&lt; Working &gt;&gt;'!$R:$R, 'Supplier Wise Monthly'!$B$1)</f>
        <v>0</v>
      </c>
      <c r="F8" s="42">
        <f t="shared" si="0"/>
        <v>0</v>
      </c>
    </row>
    <row r="9" spans="1:7" x14ac:dyDescent="0.3">
      <c r="A9" s="21" t="str">
        <f>VLOOKUP(B9, 'Items Master'!E:F,2,0)</f>
        <v>Domestic</v>
      </c>
      <c r="B9" s="21" t="s">
        <v>38</v>
      </c>
      <c r="C9" s="39">
        <f>SUMIFS('&lt;&lt; Working &gt;&gt;'!$J:$J, '&lt;&lt; Working &gt;&gt;'!$D:$D, 'Supplier Wise Monthly'!$B$2, '&lt;&lt; Working &gt;&gt;'!$L:$L, 'Supplier Wise Monthly'!$B9, '&lt;&lt; Working &gt;&gt;'!$N:$N, 'Supplier Wise Monthly'!C$6, '&lt;&lt; Working &gt;&gt;'!$R:$R, 'Supplier Wise Monthly'!$B$1)</f>
        <v>105000</v>
      </c>
      <c r="D9" s="39">
        <f>SUMIFS('&lt;&lt; Working &gt;&gt;'!$J:$J, '&lt;&lt; Working &gt;&gt;'!$D:$D, 'Supplier Wise Monthly'!$B$2, '&lt;&lt; Working &gt;&gt;'!$L:$L, 'Supplier Wise Monthly'!$B9, '&lt;&lt; Working &gt;&gt;'!$N:$N, 'Supplier Wise Monthly'!D$6, '&lt;&lt; Working &gt;&gt;'!$R:$R, 'Supplier Wise Monthly'!$B$1)</f>
        <v>0</v>
      </c>
      <c r="E9" s="39">
        <f>SUMIFS('&lt;&lt; Working &gt;&gt;'!$J:$J, '&lt;&lt; Working &gt;&gt;'!$D:$D, 'Supplier Wise Monthly'!$B$2, '&lt;&lt; Working &gt;&gt;'!$L:$L, 'Supplier Wise Monthly'!$B9, '&lt;&lt; Working &gt;&gt;'!$N:$N, 'Supplier Wise Monthly'!E$6, '&lt;&lt; Working &gt;&gt;'!$R:$R, 'Supplier Wise Monthly'!$B$1)</f>
        <v>0</v>
      </c>
      <c r="F9" s="42">
        <f t="shared" si="0"/>
        <v>105000</v>
      </c>
    </row>
    <row r="10" spans="1:7" x14ac:dyDescent="0.3">
      <c r="A10" s="21" t="str">
        <f>VLOOKUP(B10, 'Items Master'!E:F,2,0)</f>
        <v>Domestic</v>
      </c>
      <c r="B10" s="21" t="s">
        <v>22</v>
      </c>
      <c r="C10" s="39">
        <f>SUMIFS('&lt;&lt; Working &gt;&gt;'!$J:$J, '&lt;&lt; Working &gt;&gt;'!$D:$D, 'Supplier Wise Monthly'!$B$2, '&lt;&lt; Working &gt;&gt;'!$L:$L, 'Supplier Wise Monthly'!$B10, '&lt;&lt; Working &gt;&gt;'!$N:$N, 'Supplier Wise Monthly'!C$6, '&lt;&lt; Working &gt;&gt;'!$R:$R, 'Supplier Wise Monthly'!$B$1)</f>
        <v>0</v>
      </c>
      <c r="D10" s="39">
        <f>SUMIFS('&lt;&lt; Working &gt;&gt;'!$J:$J, '&lt;&lt; Working &gt;&gt;'!$D:$D, 'Supplier Wise Monthly'!$B$2, '&lt;&lt; Working &gt;&gt;'!$L:$L, 'Supplier Wise Monthly'!$B10, '&lt;&lt; Working &gt;&gt;'!$N:$N, 'Supplier Wise Monthly'!D$6, '&lt;&lt; Working &gt;&gt;'!$R:$R, 'Supplier Wise Monthly'!$B$1)</f>
        <v>0</v>
      </c>
      <c r="E10" s="39">
        <f>SUMIFS('&lt;&lt; Working &gt;&gt;'!$J:$J, '&lt;&lt; Working &gt;&gt;'!$D:$D, 'Supplier Wise Monthly'!$B$2, '&lt;&lt; Working &gt;&gt;'!$L:$L, 'Supplier Wise Monthly'!$B10, '&lt;&lt; Working &gt;&gt;'!$N:$N, 'Supplier Wise Monthly'!E$6, '&lt;&lt; Working &gt;&gt;'!$R:$R, 'Supplier Wise Monthly'!$B$1)</f>
        <v>0</v>
      </c>
      <c r="F10" s="42">
        <f t="shared" si="0"/>
        <v>0</v>
      </c>
    </row>
    <row r="11" spans="1:7" x14ac:dyDescent="0.3">
      <c r="A11" s="21" t="str">
        <f>VLOOKUP(B11, 'Items Master'!E:F,2,0)</f>
        <v>Domestic</v>
      </c>
      <c r="B11" s="21" t="s">
        <v>40</v>
      </c>
      <c r="C11" s="39">
        <f>SUMIFS('&lt;&lt; Working &gt;&gt;'!$J:$J, '&lt;&lt; Working &gt;&gt;'!$D:$D, 'Supplier Wise Monthly'!$B$2, '&lt;&lt; Working &gt;&gt;'!$L:$L, 'Supplier Wise Monthly'!$B11, '&lt;&lt; Working &gt;&gt;'!$N:$N, 'Supplier Wise Monthly'!C$6, '&lt;&lt; Working &gt;&gt;'!$R:$R, 'Supplier Wise Monthly'!$B$1)</f>
        <v>0</v>
      </c>
      <c r="D11" s="39">
        <f>SUMIFS('&lt;&lt; Working &gt;&gt;'!$J:$J, '&lt;&lt; Working &gt;&gt;'!$D:$D, 'Supplier Wise Monthly'!$B$2, '&lt;&lt; Working &gt;&gt;'!$L:$L, 'Supplier Wise Monthly'!$B11, '&lt;&lt; Working &gt;&gt;'!$N:$N, 'Supplier Wise Monthly'!D$6, '&lt;&lt; Working &gt;&gt;'!$R:$R, 'Supplier Wise Monthly'!$B$1)</f>
        <v>0</v>
      </c>
      <c r="E11" s="39">
        <f>SUMIFS('&lt;&lt; Working &gt;&gt;'!$J:$J, '&lt;&lt; Working &gt;&gt;'!$D:$D, 'Supplier Wise Monthly'!$B$2, '&lt;&lt; Working &gt;&gt;'!$L:$L, 'Supplier Wise Monthly'!$B11, '&lt;&lt; Working &gt;&gt;'!$N:$N, 'Supplier Wise Monthly'!E$6, '&lt;&lt; Working &gt;&gt;'!$R:$R, 'Supplier Wise Monthly'!$B$1)</f>
        <v>0</v>
      </c>
      <c r="F11" s="42">
        <f t="shared" si="0"/>
        <v>0</v>
      </c>
    </row>
    <row r="12" spans="1:7" x14ac:dyDescent="0.3">
      <c r="A12" s="21" t="str">
        <f>VLOOKUP(B12, 'Items Master'!E:F,2,0)</f>
        <v>Domestic</v>
      </c>
      <c r="B12" s="21" t="s">
        <v>18</v>
      </c>
      <c r="C12" s="39">
        <f>SUMIFS('&lt;&lt; Working &gt;&gt;'!$J:$J, '&lt;&lt; Working &gt;&gt;'!$D:$D, 'Supplier Wise Monthly'!$B$2, '&lt;&lt; Working &gt;&gt;'!$L:$L, 'Supplier Wise Monthly'!$B12, '&lt;&lt; Working &gt;&gt;'!$N:$N, 'Supplier Wise Monthly'!C$6, '&lt;&lt; Working &gt;&gt;'!$R:$R, 'Supplier Wise Monthly'!$B$1)</f>
        <v>0</v>
      </c>
      <c r="D12" s="39">
        <f>SUMIFS('&lt;&lt; Working &gt;&gt;'!$J:$J, '&lt;&lt; Working &gt;&gt;'!$D:$D, 'Supplier Wise Monthly'!$B$2, '&lt;&lt; Working &gt;&gt;'!$L:$L, 'Supplier Wise Monthly'!$B12, '&lt;&lt; Working &gt;&gt;'!$N:$N, 'Supplier Wise Monthly'!D$6, '&lt;&lt; Working &gt;&gt;'!$R:$R, 'Supplier Wise Monthly'!$B$1)</f>
        <v>0</v>
      </c>
      <c r="E12" s="39">
        <f>SUMIFS('&lt;&lt; Working &gt;&gt;'!$J:$J, '&lt;&lt; Working &gt;&gt;'!$D:$D, 'Supplier Wise Monthly'!$B$2, '&lt;&lt; Working &gt;&gt;'!$L:$L, 'Supplier Wise Monthly'!$B12, '&lt;&lt; Working &gt;&gt;'!$N:$N, 'Supplier Wise Monthly'!E$6, '&lt;&lt; Working &gt;&gt;'!$R:$R, 'Supplier Wise Monthly'!$B$1)</f>
        <v>0</v>
      </c>
      <c r="F12" s="42">
        <f t="shared" si="0"/>
        <v>0</v>
      </c>
    </row>
    <row r="13" spans="1:7" x14ac:dyDescent="0.3">
      <c r="A13" s="21" t="str">
        <f>VLOOKUP(B13, 'Items Master'!E:F,2,0)</f>
        <v>Domestic</v>
      </c>
      <c r="B13" s="21" t="s">
        <v>39</v>
      </c>
      <c r="C13" s="39">
        <f>SUMIFS('&lt;&lt; Working &gt;&gt;'!$J:$J, '&lt;&lt; Working &gt;&gt;'!$D:$D, 'Supplier Wise Monthly'!$B$2, '&lt;&lt; Working &gt;&gt;'!$L:$L, 'Supplier Wise Monthly'!$B13, '&lt;&lt; Working &gt;&gt;'!$N:$N, 'Supplier Wise Monthly'!C$6, '&lt;&lt; Working &gt;&gt;'!$R:$R, 'Supplier Wise Monthly'!$B$1)</f>
        <v>0</v>
      </c>
      <c r="D13" s="39">
        <f>SUMIFS('&lt;&lt; Working &gt;&gt;'!$J:$J, '&lt;&lt; Working &gt;&gt;'!$D:$D, 'Supplier Wise Monthly'!$B$2, '&lt;&lt; Working &gt;&gt;'!$L:$L, 'Supplier Wise Monthly'!$B13, '&lt;&lt; Working &gt;&gt;'!$N:$N, 'Supplier Wise Monthly'!D$6, '&lt;&lt; Working &gt;&gt;'!$R:$R, 'Supplier Wise Monthly'!$B$1)</f>
        <v>0</v>
      </c>
      <c r="E13" s="39">
        <f>SUMIFS('&lt;&lt; Working &gt;&gt;'!$J:$J, '&lt;&lt; Working &gt;&gt;'!$D:$D, 'Supplier Wise Monthly'!$B$2, '&lt;&lt; Working &gt;&gt;'!$L:$L, 'Supplier Wise Monthly'!$B13, '&lt;&lt; Working &gt;&gt;'!$N:$N, 'Supplier Wise Monthly'!E$6, '&lt;&lt; Working &gt;&gt;'!$R:$R, 'Supplier Wise Monthly'!$B$1)</f>
        <v>0</v>
      </c>
      <c r="F13" s="42">
        <f t="shared" si="0"/>
        <v>0</v>
      </c>
    </row>
    <row r="14" spans="1:7" x14ac:dyDescent="0.3">
      <c r="A14" s="21" t="str">
        <f>VLOOKUP(B14, 'Items Master'!E:F,2,0)</f>
        <v>Domestic</v>
      </c>
      <c r="B14" s="21" t="s">
        <v>46</v>
      </c>
      <c r="C14" s="39">
        <f>SUMIFS('&lt;&lt; Working &gt;&gt;'!$J:$J, '&lt;&lt; Working &gt;&gt;'!$D:$D, 'Supplier Wise Monthly'!$B$2, '&lt;&lt; Working &gt;&gt;'!$L:$L, 'Supplier Wise Monthly'!$B14, '&lt;&lt; Working &gt;&gt;'!$N:$N, 'Supplier Wise Monthly'!C$6, '&lt;&lt; Working &gt;&gt;'!$R:$R, 'Supplier Wise Monthly'!$B$1)</f>
        <v>0</v>
      </c>
      <c r="D14" s="39">
        <f>SUMIFS('&lt;&lt; Working &gt;&gt;'!$J:$J, '&lt;&lt; Working &gt;&gt;'!$D:$D, 'Supplier Wise Monthly'!$B$2, '&lt;&lt; Working &gt;&gt;'!$L:$L, 'Supplier Wise Monthly'!$B14, '&lt;&lt; Working &gt;&gt;'!$N:$N, 'Supplier Wise Monthly'!D$6, '&lt;&lt; Working &gt;&gt;'!$R:$R, 'Supplier Wise Monthly'!$B$1)</f>
        <v>0</v>
      </c>
      <c r="E14" s="39">
        <f>SUMIFS('&lt;&lt; Working &gt;&gt;'!$J:$J, '&lt;&lt; Working &gt;&gt;'!$D:$D, 'Supplier Wise Monthly'!$B$2, '&lt;&lt; Working &gt;&gt;'!$L:$L, 'Supplier Wise Monthly'!$B14, '&lt;&lt; Working &gt;&gt;'!$N:$N, 'Supplier Wise Monthly'!E$6, '&lt;&lt; Working &gt;&gt;'!$R:$R, 'Supplier Wise Monthly'!$B$1)</f>
        <v>0</v>
      </c>
      <c r="F14" s="42">
        <f t="shared" si="0"/>
        <v>0</v>
      </c>
    </row>
    <row r="15" spans="1:7" x14ac:dyDescent="0.3">
      <c r="A15" s="21" t="str">
        <f>VLOOKUP(B15, 'Items Master'!E:F,2,0)</f>
        <v>Import</v>
      </c>
      <c r="B15" s="21" t="s">
        <v>45</v>
      </c>
      <c r="C15" s="39">
        <f>SUMIFS('&lt;&lt; Working &gt;&gt;'!$J:$J, '&lt;&lt; Working &gt;&gt;'!$D:$D, 'Supplier Wise Monthly'!$B$2, '&lt;&lt; Working &gt;&gt;'!$L:$L, 'Supplier Wise Monthly'!$B15, '&lt;&lt; Working &gt;&gt;'!$N:$N, 'Supplier Wise Monthly'!C$6, '&lt;&lt; Working &gt;&gt;'!$R:$R, 'Supplier Wise Monthly'!$B$1)</f>
        <v>0</v>
      </c>
      <c r="D15" s="39">
        <f>SUMIFS('&lt;&lt; Working &gt;&gt;'!$J:$J, '&lt;&lt; Working &gt;&gt;'!$D:$D, 'Supplier Wise Monthly'!$B$2, '&lt;&lt; Working &gt;&gt;'!$L:$L, 'Supplier Wise Monthly'!$B15, '&lt;&lt; Working &gt;&gt;'!$N:$N, 'Supplier Wise Monthly'!D$6, '&lt;&lt; Working &gt;&gt;'!$R:$R, 'Supplier Wise Monthly'!$B$1)</f>
        <v>0</v>
      </c>
      <c r="E15" s="39">
        <f>SUMIFS('&lt;&lt; Working &gt;&gt;'!$J:$J, '&lt;&lt; Working &gt;&gt;'!$D:$D, 'Supplier Wise Monthly'!$B$2, '&lt;&lt; Working &gt;&gt;'!$L:$L, 'Supplier Wise Monthly'!$B15, '&lt;&lt; Working &gt;&gt;'!$N:$N, 'Supplier Wise Monthly'!E$6, '&lt;&lt; Working &gt;&gt;'!$R:$R, 'Supplier Wise Monthly'!$B$1)</f>
        <v>0</v>
      </c>
      <c r="F15" s="42">
        <f t="shared" si="0"/>
        <v>0</v>
      </c>
    </row>
    <row r="16" spans="1:7" x14ac:dyDescent="0.3">
      <c r="A16" s="21" t="str">
        <f>VLOOKUP(B16, 'Items Master'!E:F,2,0)</f>
        <v>Import</v>
      </c>
      <c r="B16" s="21" t="s">
        <v>42</v>
      </c>
      <c r="C16" s="39">
        <f>SUMIFS('&lt;&lt; Working &gt;&gt;'!$J:$J, '&lt;&lt; Working &gt;&gt;'!$D:$D, 'Supplier Wise Monthly'!$B$2, '&lt;&lt; Working &gt;&gt;'!$L:$L, 'Supplier Wise Monthly'!$B16, '&lt;&lt; Working &gt;&gt;'!$N:$N, 'Supplier Wise Monthly'!C$6, '&lt;&lt; Working &gt;&gt;'!$R:$R, 'Supplier Wise Monthly'!$B$1)</f>
        <v>0</v>
      </c>
      <c r="D16" s="39">
        <f>SUMIFS('&lt;&lt; Working &gt;&gt;'!$J:$J, '&lt;&lt; Working &gt;&gt;'!$D:$D, 'Supplier Wise Monthly'!$B$2, '&lt;&lt; Working &gt;&gt;'!$L:$L, 'Supplier Wise Monthly'!$B16, '&lt;&lt; Working &gt;&gt;'!$N:$N, 'Supplier Wise Monthly'!D$6, '&lt;&lt; Working &gt;&gt;'!$R:$R, 'Supplier Wise Monthly'!$B$1)</f>
        <v>0</v>
      </c>
      <c r="E16" s="39">
        <f>SUMIFS('&lt;&lt; Working &gt;&gt;'!$J:$J, '&lt;&lt; Working &gt;&gt;'!$D:$D, 'Supplier Wise Monthly'!$B$2, '&lt;&lt; Working &gt;&gt;'!$L:$L, 'Supplier Wise Monthly'!$B16, '&lt;&lt; Working &gt;&gt;'!$N:$N, 'Supplier Wise Monthly'!E$6, '&lt;&lt; Working &gt;&gt;'!$R:$R, 'Supplier Wise Monthly'!$B$1)</f>
        <v>0</v>
      </c>
      <c r="F16" s="42">
        <f t="shared" si="0"/>
        <v>0</v>
      </c>
    </row>
    <row r="17" spans="1:6" x14ac:dyDescent="0.3">
      <c r="A17" s="21" t="str">
        <f>VLOOKUP(B17, 'Items Master'!E:F,2,0)</f>
        <v>Import</v>
      </c>
      <c r="B17" s="21" t="s">
        <v>47</v>
      </c>
      <c r="C17" s="39">
        <f>SUMIFS('&lt;&lt; Working &gt;&gt;'!$J:$J, '&lt;&lt; Working &gt;&gt;'!$D:$D, 'Supplier Wise Monthly'!$B$2, '&lt;&lt; Working &gt;&gt;'!$L:$L, 'Supplier Wise Monthly'!$B17, '&lt;&lt; Working &gt;&gt;'!$N:$N, 'Supplier Wise Monthly'!C$6, '&lt;&lt; Working &gt;&gt;'!$R:$R, 'Supplier Wise Monthly'!$B$1)</f>
        <v>0</v>
      </c>
      <c r="D17" s="39">
        <f>SUMIFS('&lt;&lt; Working &gt;&gt;'!$J:$J, '&lt;&lt; Working &gt;&gt;'!$D:$D, 'Supplier Wise Monthly'!$B$2, '&lt;&lt; Working &gt;&gt;'!$L:$L, 'Supplier Wise Monthly'!$B17, '&lt;&lt; Working &gt;&gt;'!$N:$N, 'Supplier Wise Monthly'!D$6, '&lt;&lt; Working &gt;&gt;'!$R:$R, 'Supplier Wise Monthly'!$B$1)</f>
        <v>0</v>
      </c>
      <c r="E17" s="39">
        <f>SUMIFS('&lt;&lt; Working &gt;&gt;'!$J:$J, '&lt;&lt; Working &gt;&gt;'!$D:$D, 'Supplier Wise Monthly'!$B$2, '&lt;&lt; Working &gt;&gt;'!$L:$L, 'Supplier Wise Monthly'!$B17, '&lt;&lt; Working &gt;&gt;'!$N:$N, 'Supplier Wise Monthly'!E$6, '&lt;&lt; Working &gt;&gt;'!$R:$R, 'Supplier Wise Monthly'!$B$1)</f>
        <v>0</v>
      </c>
      <c r="F17" s="42">
        <f t="shared" ref="F17" si="1">SUM(C17:E17)</f>
        <v>0</v>
      </c>
    </row>
    <row r="18" spans="1:6" x14ac:dyDescent="0.3">
      <c r="A18" s="21" t="str">
        <f>VLOOKUP(B18, 'Items Master'!E:F,2,0)</f>
        <v>Import</v>
      </c>
      <c r="B18" s="21" t="s">
        <v>1037</v>
      </c>
      <c r="C18" s="39">
        <f>SUMIFS('&lt;&lt; Working &gt;&gt;'!$J:$J, '&lt;&lt; Working &gt;&gt;'!$D:$D, 'Supplier Wise Monthly'!$B$2, '&lt;&lt; Working &gt;&gt;'!$L:$L, 'Supplier Wise Monthly'!$B18, '&lt;&lt; Working &gt;&gt;'!$N:$N, 'Supplier Wise Monthly'!C$6, '&lt;&lt; Working &gt;&gt;'!$R:$R, 'Supplier Wise Monthly'!$B$1)</f>
        <v>0</v>
      </c>
      <c r="D18" s="39">
        <f>SUMIFS('&lt;&lt; Working &gt;&gt;'!$J:$J, '&lt;&lt; Working &gt;&gt;'!$D:$D, 'Supplier Wise Monthly'!$B$2, '&lt;&lt; Working &gt;&gt;'!$L:$L, 'Supplier Wise Monthly'!$B18, '&lt;&lt; Working &gt;&gt;'!$N:$N, 'Supplier Wise Monthly'!D$6, '&lt;&lt; Working &gt;&gt;'!$R:$R, 'Supplier Wise Monthly'!$B$1)</f>
        <v>0</v>
      </c>
      <c r="E18" s="39">
        <f>SUMIFS('&lt;&lt; Working &gt;&gt;'!$J:$J, '&lt;&lt; Working &gt;&gt;'!$D:$D, 'Supplier Wise Monthly'!$B$2, '&lt;&lt; Working &gt;&gt;'!$L:$L, 'Supplier Wise Monthly'!$B18, '&lt;&lt; Working &gt;&gt;'!$N:$N, 'Supplier Wise Monthly'!E$6, '&lt;&lt; Working &gt;&gt;'!$R:$R, 'Supplier Wise Monthly'!$B$1)</f>
        <v>0</v>
      </c>
      <c r="F18" s="42">
        <f t="shared" ref="F18:F66" si="2">SUM(C18:E18)</f>
        <v>0</v>
      </c>
    </row>
    <row r="19" spans="1:6" x14ac:dyDescent="0.3">
      <c r="A19" s="21" t="str">
        <f>VLOOKUP(B19, 'Items Master'!E:F,2,0)</f>
        <v>Others</v>
      </c>
      <c r="B19" s="21" t="s">
        <v>1041</v>
      </c>
      <c r="C19" s="39">
        <f>SUMIFS('&lt;&lt; Working &gt;&gt;'!$J:$J, '&lt;&lt; Working &gt;&gt;'!$D:$D, 'Supplier Wise Monthly'!$B$2, '&lt;&lt; Working &gt;&gt;'!$L:$L, 'Supplier Wise Monthly'!$B19, '&lt;&lt; Working &gt;&gt;'!$N:$N, 'Supplier Wise Monthly'!C$6, '&lt;&lt; Working &gt;&gt;'!$R:$R, 'Supplier Wise Monthly'!$B$1)</f>
        <v>0</v>
      </c>
      <c r="D19" s="39">
        <f>SUMIFS('&lt;&lt; Working &gt;&gt;'!$J:$J, '&lt;&lt; Working &gt;&gt;'!$D:$D, 'Supplier Wise Monthly'!$B$2, '&lt;&lt; Working &gt;&gt;'!$L:$L, 'Supplier Wise Monthly'!$B19, '&lt;&lt; Working &gt;&gt;'!$N:$N, 'Supplier Wise Monthly'!D$6, '&lt;&lt; Working &gt;&gt;'!$R:$R, 'Supplier Wise Monthly'!$B$1)</f>
        <v>0</v>
      </c>
      <c r="E19" s="39">
        <f>SUMIFS('&lt;&lt; Working &gt;&gt;'!$J:$J, '&lt;&lt; Working &gt;&gt;'!$D:$D, 'Supplier Wise Monthly'!$B$2, '&lt;&lt; Working &gt;&gt;'!$L:$L, 'Supplier Wise Monthly'!$B19, '&lt;&lt; Working &gt;&gt;'!$N:$N, 'Supplier Wise Monthly'!E$6, '&lt;&lt; Working &gt;&gt;'!$R:$R, 'Supplier Wise Monthly'!$B$1)</f>
        <v>0</v>
      </c>
      <c r="F19" s="42">
        <f t="shared" si="2"/>
        <v>0</v>
      </c>
    </row>
    <row r="20" spans="1:6" x14ac:dyDescent="0.3">
      <c r="A20" s="21" t="str">
        <f>VLOOKUP(B20, 'Items Master'!E:F,2,0)</f>
        <v>Import</v>
      </c>
      <c r="B20" s="21" t="s">
        <v>1047</v>
      </c>
      <c r="C20" s="39">
        <f>SUMIFS('&lt;&lt; Working &gt;&gt;'!$J:$J, '&lt;&lt; Working &gt;&gt;'!$D:$D, 'Supplier Wise Monthly'!$B$2, '&lt;&lt; Working &gt;&gt;'!$L:$L, 'Supplier Wise Monthly'!$B20, '&lt;&lt; Working &gt;&gt;'!$N:$N, 'Supplier Wise Monthly'!C$6, '&lt;&lt; Working &gt;&gt;'!$R:$R, 'Supplier Wise Monthly'!$B$1)</f>
        <v>0</v>
      </c>
      <c r="D20" s="39">
        <f>SUMIFS('&lt;&lt; Working &gt;&gt;'!$J:$J, '&lt;&lt; Working &gt;&gt;'!$D:$D, 'Supplier Wise Monthly'!$B$2, '&lt;&lt; Working &gt;&gt;'!$L:$L, 'Supplier Wise Monthly'!$B20, '&lt;&lt; Working &gt;&gt;'!$N:$N, 'Supplier Wise Monthly'!D$6, '&lt;&lt; Working &gt;&gt;'!$R:$R, 'Supplier Wise Monthly'!$B$1)</f>
        <v>0</v>
      </c>
      <c r="E20" s="39">
        <f>SUMIFS('&lt;&lt; Working &gt;&gt;'!$J:$J, '&lt;&lt; Working &gt;&gt;'!$D:$D, 'Supplier Wise Monthly'!$B$2, '&lt;&lt; Working &gt;&gt;'!$L:$L, 'Supplier Wise Monthly'!$B20, '&lt;&lt; Working &gt;&gt;'!$N:$N, 'Supplier Wise Monthly'!E$6, '&lt;&lt; Working &gt;&gt;'!$R:$R, 'Supplier Wise Monthly'!$B$1)</f>
        <v>0</v>
      </c>
      <c r="F20" s="42">
        <f t="shared" si="2"/>
        <v>0</v>
      </c>
    </row>
    <row r="21" spans="1:6" x14ac:dyDescent="0.3">
      <c r="A21" s="21" t="str">
        <f>VLOOKUP(B21, 'Items Master'!E:F,2,0)</f>
        <v>Import</v>
      </c>
      <c r="B21" s="21" t="s">
        <v>1051</v>
      </c>
      <c r="C21" s="39">
        <f>SUMIFS('&lt;&lt; Working &gt;&gt;'!$J:$J, '&lt;&lt; Working &gt;&gt;'!$D:$D, 'Supplier Wise Monthly'!$B$2, '&lt;&lt; Working &gt;&gt;'!$L:$L, 'Supplier Wise Monthly'!$B21, '&lt;&lt; Working &gt;&gt;'!$N:$N, 'Supplier Wise Monthly'!C$6, '&lt;&lt; Working &gt;&gt;'!$R:$R, 'Supplier Wise Monthly'!$B$1)</f>
        <v>0</v>
      </c>
      <c r="D21" s="39">
        <f>SUMIFS('&lt;&lt; Working &gt;&gt;'!$J:$J, '&lt;&lt; Working &gt;&gt;'!$D:$D, 'Supplier Wise Monthly'!$B$2, '&lt;&lt; Working &gt;&gt;'!$L:$L, 'Supplier Wise Monthly'!$B21, '&lt;&lt; Working &gt;&gt;'!$N:$N, 'Supplier Wise Monthly'!D$6, '&lt;&lt; Working &gt;&gt;'!$R:$R, 'Supplier Wise Monthly'!$B$1)</f>
        <v>0</v>
      </c>
      <c r="E21" s="39">
        <f>SUMIFS('&lt;&lt; Working &gt;&gt;'!$J:$J, '&lt;&lt; Working &gt;&gt;'!$D:$D, 'Supplier Wise Monthly'!$B$2, '&lt;&lt; Working &gt;&gt;'!$L:$L, 'Supplier Wise Monthly'!$B21, '&lt;&lt; Working &gt;&gt;'!$N:$N, 'Supplier Wise Monthly'!E$6, '&lt;&lt; Working &gt;&gt;'!$R:$R, 'Supplier Wise Monthly'!$B$1)</f>
        <v>0</v>
      </c>
      <c r="F21" s="42">
        <f t="shared" si="2"/>
        <v>0</v>
      </c>
    </row>
    <row r="22" spans="1:6" x14ac:dyDescent="0.3">
      <c r="A22" s="21" t="str">
        <f>VLOOKUP(B22, 'Items Master'!E:F,2,0)</f>
        <v>Import</v>
      </c>
      <c r="B22" s="21" t="s">
        <v>44</v>
      </c>
      <c r="C22" s="39">
        <f>SUMIFS('&lt;&lt; Working &gt;&gt;'!$J:$J, '&lt;&lt; Working &gt;&gt;'!$D:$D, 'Supplier Wise Monthly'!$B$2, '&lt;&lt; Working &gt;&gt;'!$L:$L, 'Supplier Wise Monthly'!$B22, '&lt;&lt; Working &gt;&gt;'!$N:$N, 'Supplier Wise Monthly'!C$6, '&lt;&lt; Working &gt;&gt;'!$R:$R, 'Supplier Wise Monthly'!$B$1)</f>
        <v>0</v>
      </c>
      <c r="D22" s="39">
        <f>SUMIFS('&lt;&lt; Working &gt;&gt;'!$J:$J, '&lt;&lt; Working &gt;&gt;'!$D:$D, 'Supplier Wise Monthly'!$B$2, '&lt;&lt; Working &gt;&gt;'!$L:$L, 'Supplier Wise Monthly'!$B22, '&lt;&lt; Working &gt;&gt;'!$N:$N, 'Supplier Wise Monthly'!D$6, '&lt;&lt; Working &gt;&gt;'!$R:$R, 'Supplier Wise Monthly'!$B$1)</f>
        <v>0</v>
      </c>
      <c r="E22" s="39">
        <f>SUMIFS('&lt;&lt; Working &gt;&gt;'!$J:$J, '&lt;&lt; Working &gt;&gt;'!$D:$D, 'Supplier Wise Monthly'!$B$2, '&lt;&lt; Working &gt;&gt;'!$L:$L, 'Supplier Wise Monthly'!$B22, '&lt;&lt; Working &gt;&gt;'!$N:$N, 'Supplier Wise Monthly'!E$6, '&lt;&lt; Working &gt;&gt;'!$R:$R, 'Supplier Wise Monthly'!$B$1)</f>
        <v>0</v>
      </c>
      <c r="F22" s="42">
        <f t="shared" si="2"/>
        <v>0</v>
      </c>
    </row>
    <row r="23" spans="1:6" x14ac:dyDescent="0.3">
      <c r="A23" s="21" t="str">
        <f>VLOOKUP(B23, 'Items Master'!E:F,2,0)</f>
        <v>Import</v>
      </c>
      <c r="B23" s="21" t="s">
        <v>1058</v>
      </c>
      <c r="C23" s="39">
        <f>SUMIFS('&lt;&lt; Working &gt;&gt;'!$J:$J, '&lt;&lt; Working &gt;&gt;'!$D:$D, 'Supplier Wise Monthly'!$B$2, '&lt;&lt; Working &gt;&gt;'!$L:$L, 'Supplier Wise Monthly'!$B23, '&lt;&lt; Working &gt;&gt;'!$N:$N, 'Supplier Wise Monthly'!C$6, '&lt;&lt; Working &gt;&gt;'!$R:$R, 'Supplier Wise Monthly'!$B$1)</f>
        <v>0</v>
      </c>
      <c r="D23" s="39">
        <f>SUMIFS('&lt;&lt; Working &gt;&gt;'!$J:$J, '&lt;&lt; Working &gt;&gt;'!$D:$D, 'Supplier Wise Monthly'!$B$2, '&lt;&lt; Working &gt;&gt;'!$L:$L, 'Supplier Wise Monthly'!$B23, '&lt;&lt; Working &gt;&gt;'!$N:$N, 'Supplier Wise Monthly'!D$6, '&lt;&lt; Working &gt;&gt;'!$R:$R, 'Supplier Wise Monthly'!$B$1)</f>
        <v>0</v>
      </c>
      <c r="E23" s="39">
        <f>SUMIFS('&lt;&lt; Working &gt;&gt;'!$J:$J, '&lt;&lt; Working &gt;&gt;'!$D:$D, 'Supplier Wise Monthly'!$B$2, '&lt;&lt; Working &gt;&gt;'!$L:$L, 'Supplier Wise Monthly'!$B23, '&lt;&lt; Working &gt;&gt;'!$N:$N, 'Supplier Wise Monthly'!E$6, '&lt;&lt; Working &gt;&gt;'!$R:$R, 'Supplier Wise Monthly'!$B$1)</f>
        <v>0</v>
      </c>
      <c r="F23" s="42">
        <f t="shared" si="2"/>
        <v>0</v>
      </c>
    </row>
    <row r="24" spans="1:6" x14ac:dyDescent="0.3">
      <c r="A24" s="21" t="str">
        <f>VLOOKUP(B24, 'Items Master'!E:F,2,0)</f>
        <v>Import</v>
      </c>
      <c r="B24" s="21" t="s">
        <v>1070</v>
      </c>
      <c r="C24" s="39">
        <f>SUMIFS('&lt;&lt; Working &gt;&gt;'!$J:$J, '&lt;&lt; Working &gt;&gt;'!$D:$D, 'Supplier Wise Monthly'!$B$2, '&lt;&lt; Working &gt;&gt;'!$L:$L, 'Supplier Wise Monthly'!$B24, '&lt;&lt; Working &gt;&gt;'!$N:$N, 'Supplier Wise Monthly'!C$6, '&lt;&lt; Working &gt;&gt;'!$R:$R, 'Supplier Wise Monthly'!$B$1)</f>
        <v>0</v>
      </c>
      <c r="D24" s="39">
        <f>SUMIFS('&lt;&lt; Working &gt;&gt;'!$J:$J, '&lt;&lt; Working &gt;&gt;'!$D:$D, 'Supplier Wise Monthly'!$B$2, '&lt;&lt; Working &gt;&gt;'!$L:$L, 'Supplier Wise Monthly'!$B24, '&lt;&lt; Working &gt;&gt;'!$N:$N, 'Supplier Wise Monthly'!D$6, '&lt;&lt; Working &gt;&gt;'!$R:$R, 'Supplier Wise Monthly'!$B$1)</f>
        <v>0</v>
      </c>
      <c r="E24" s="39">
        <f>SUMIFS('&lt;&lt; Working &gt;&gt;'!$J:$J, '&lt;&lt; Working &gt;&gt;'!$D:$D, 'Supplier Wise Monthly'!$B$2, '&lt;&lt; Working &gt;&gt;'!$L:$L, 'Supplier Wise Monthly'!$B24, '&lt;&lt; Working &gt;&gt;'!$N:$N, 'Supplier Wise Monthly'!E$6, '&lt;&lt; Working &gt;&gt;'!$R:$R, 'Supplier Wise Monthly'!$B$1)</f>
        <v>0</v>
      </c>
      <c r="F24" s="42">
        <f t="shared" si="2"/>
        <v>0</v>
      </c>
    </row>
    <row r="25" spans="1:6" x14ac:dyDescent="0.3">
      <c r="A25" s="21" t="str">
        <f>VLOOKUP(B25, 'Items Master'!E:F,2,0)</f>
        <v>Import</v>
      </c>
      <c r="B25" s="21" t="s">
        <v>1074</v>
      </c>
      <c r="C25" s="39">
        <f>SUMIFS('&lt;&lt; Working &gt;&gt;'!$J:$J, '&lt;&lt; Working &gt;&gt;'!$D:$D, 'Supplier Wise Monthly'!$B$2, '&lt;&lt; Working &gt;&gt;'!$L:$L, 'Supplier Wise Monthly'!$B25, '&lt;&lt; Working &gt;&gt;'!$N:$N, 'Supplier Wise Monthly'!C$6, '&lt;&lt; Working &gt;&gt;'!$R:$R, 'Supplier Wise Monthly'!$B$1)</f>
        <v>0</v>
      </c>
      <c r="D25" s="39">
        <f>SUMIFS('&lt;&lt; Working &gt;&gt;'!$J:$J, '&lt;&lt; Working &gt;&gt;'!$D:$D, 'Supplier Wise Monthly'!$B$2, '&lt;&lt; Working &gt;&gt;'!$L:$L, 'Supplier Wise Monthly'!$B25, '&lt;&lt; Working &gt;&gt;'!$N:$N, 'Supplier Wise Monthly'!D$6, '&lt;&lt; Working &gt;&gt;'!$R:$R, 'Supplier Wise Monthly'!$B$1)</f>
        <v>0</v>
      </c>
      <c r="E25" s="39">
        <f>SUMIFS('&lt;&lt; Working &gt;&gt;'!$J:$J, '&lt;&lt; Working &gt;&gt;'!$D:$D, 'Supplier Wise Monthly'!$B$2, '&lt;&lt; Working &gt;&gt;'!$L:$L, 'Supplier Wise Monthly'!$B25, '&lt;&lt; Working &gt;&gt;'!$N:$N, 'Supplier Wise Monthly'!E$6, '&lt;&lt; Working &gt;&gt;'!$R:$R, 'Supplier Wise Monthly'!$B$1)</f>
        <v>0</v>
      </c>
      <c r="F25" s="42">
        <f t="shared" si="2"/>
        <v>0</v>
      </c>
    </row>
    <row r="26" spans="1:6" x14ac:dyDescent="0.3">
      <c r="A26" s="21" t="str">
        <f>VLOOKUP(B26, 'Items Master'!E:F,2,0)</f>
        <v>Import</v>
      </c>
      <c r="B26" s="21" t="s">
        <v>1076</v>
      </c>
      <c r="C26" s="39">
        <f>SUMIFS('&lt;&lt; Working &gt;&gt;'!$J:$J, '&lt;&lt; Working &gt;&gt;'!$D:$D, 'Supplier Wise Monthly'!$B$2, '&lt;&lt; Working &gt;&gt;'!$L:$L, 'Supplier Wise Monthly'!$B26, '&lt;&lt; Working &gt;&gt;'!$N:$N, 'Supplier Wise Monthly'!C$6, '&lt;&lt; Working &gt;&gt;'!$R:$R, 'Supplier Wise Monthly'!$B$1)</f>
        <v>0</v>
      </c>
      <c r="D26" s="39">
        <f>SUMIFS('&lt;&lt; Working &gt;&gt;'!$J:$J, '&lt;&lt; Working &gt;&gt;'!$D:$D, 'Supplier Wise Monthly'!$B$2, '&lt;&lt; Working &gt;&gt;'!$L:$L, 'Supplier Wise Monthly'!$B26, '&lt;&lt; Working &gt;&gt;'!$N:$N, 'Supplier Wise Monthly'!D$6, '&lt;&lt; Working &gt;&gt;'!$R:$R, 'Supplier Wise Monthly'!$B$1)</f>
        <v>0</v>
      </c>
      <c r="E26" s="39">
        <f>SUMIFS('&lt;&lt; Working &gt;&gt;'!$J:$J, '&lt;&lt; Working &gt;&gt;'!$D:$D, 'Supplier Wise Monthly'!$B$2, '&lt;&lt; Working &gt;&gt;'!$L:$L, 'Supplier Wise Monthly'!$B26, '&lt;&lt; Working &gt;&gt;'!$N:$N, 'Supplier Wise Monthly'!E$6, '&lt;&lt; Working &gt;&gt;'!$R:$R, 'Supplier Wise Monthly'!$B$1)</f>
        <v>0</v>
      </c>
      <c r="F26" s="42">
        <f t="shared" si="2"/>
        <v>0</v>
      </c>
    </row>
    <row r="27" spans="1:6" x14ac:dyDescent="0.3">
      <c r="A27" s="21" t="str">
        <f>VLOOKUP(B27, 'Items Master'!E:F,2,0)</f>
        <v>Import</v>
      </c>
      <c r="B27" s="21" t="s">
        <v>1080</v>
      </c>
      <c r="C27" s="39">
        <f>SUMIFS('&lt;&lt; Working &gt;&gt;'!$J:$J, '&lt;&lt; Working &gt;&gt;'!$D:$D, 'Supplier Wise Monthly'!$B$2, '&lt;&lt; Working &gt;&gt;'!$L:$L, 'Supplier Wise Monthly'!$B27, '&lt;&lt; Working &gt;&gt;'!$N:$N, 'Supplier Wise Monthly'!C$6, '&lt;&lt; Working &gt;&gt;'!$R:$R, 'Supplier Wise Monthly'!$B$1)</f>
        <v>0</v>
      </c>
      <c r="D27" s="39">
        <f>SUMIFS('&lt;&lt; Working &gt;&gt;'!$J:$J, '&lt;&lt; Working &gt;&gt;'!$D:$D, 'Supplier Wise Monthly'!$B$2, '&lt;&lt; Working &gt;&gt;'!$L:$L, 'Supplier Wise Monthly'!$B27, '&lt;&lt; Working &gt;&gt;'!$N:$N, 'Supplier Wise Monthly'!D$6, '&lt;&lt; Working &gt;&gt;'!$R:$R, 'Supplier Wise Monthly'!$B$1)</f>
        <v>0</v>
      </c>
      <c r="E27" s="39">
        <f>SUMIFS('&lt;&lt; Working &gt;&gt;'!$J:$J, '&lt;&lt; Working &gt;&gt;'!$D:$D, 'Supplier Wise Monthly'!$B$2, '&lt;&lt; Working &gt;&gt;'!$L:$L, 'Supplier Wise Monthly'!$B27, '&lt;&lt; Working &gt;&gt;'!$N:$N, 'Supplier Wise Monthly'!E$6, '&lt;&lt; Working &gt;&gt;'!$R:$R, 'Supplier Wise Monthly'!$B$1)</f>
        <v>0</v>
      </c>
      <c r="F27" s="42">
        <f t="shared" si="2"/>
        <v>0</v>
      </c>
    </row>
    <row r="28" spans="1:6" x14ac:dyDescent="0.3">
      <c r="A28" s="21" t="str">
        <f>VLOOKUP(B28, 'Items Master'!E:F,2,0)</f>
        <v>Import</v>
      </c>
      <c r="B28" s="21" t="s">
        <v>1086</v>
      </c>
      <c r="C28" s="39">
        <f>SUMIFS('&lt;&lt; Working &gt;&gt;'!$J:$J, '&lt;&lt; Working &gt;&gt;'!$D:$D, 'Supplier Wise Monthly'!$B$2, '&lt;&lt; Working &gt;&gt;'!$L:$L, 'Supplier Wise Monthly'!$B28, '&lt;&lt; Working &gt;&gt;'!$N:$N, 'Supplier Wise Monthly'!C$6, '&lt;&lt; Working &gt;&gt;'!$R:$R, 'Supplier Wise Monthly'!$B$1)</f>
        <v>0</v>
      </c>
      <c r="D28" s="39">
        <f>SUMIFS('&lt;&lt; Working &gt;&gt;'!$J:$J, '&lt;&lt; Working &gt;&gt;'!$D:$D, 'Supplier Wise Monthly'!$B$2, '&lt;&lt; Working &gt;&gt;'!$L:$L, 'Supplier Wise Monthly'!$B28, '&lt;&lt; Working &gt;&gt;'!$N:$N, 'Supplier Wise Monthly'!D$6, '&lt;&lt; Working &gt;&gt;'!$R:$R, 'Supplier Wise Monthly'!$B$1)</f>
        <v>0</v>
      </c>
      <c r="E28" s="39">
        <f>SUMIFS('&lt;&lt; Working &gt;&gt;'!$J:$J, '&lt;&lt; Working &gt;&gt;'!$D:$D, 'Supplier Wise Monthly'!$B$2, '&lt;&lt; Working &gt;&gt;'!$L:$L, 'Supplier Wise Monthly'!$B28, '&lt;&lt; Working &gt;&gt;'!$N:$N, 'Supplier Wise Monthly'!E$6, '&lt;&lt; Working &gt;&gt;'!$R:$R, 'Supplier Wise Monthly'!$B$1)</f>
        <v>0</v>
      </c>
      <c r="F28" s="42">
        <f t="shared" si="2"/>
        <v>0</v>
      </c>
    </row>
    <row r="29" spans="1:6" x14ac:dyDescent="0.3">
      <c r="A29" s="21" t="str">
        <f>VLOOKUP(B29, 'Items Master'!E:F,2,0)</f>
        <v>Import</v>
      </c>
      <c r="B29" s="21" t="s">
        <v>1087</v>
      </c>
      <c r="C29" s="39">
        <f>SUMIFS('&lt;&lt; Working &gt;&gt;'!$J:$J, '&lt;&lt; Working &gt;&gt;'!$D:$D, 'Supplier Wise Monthly'!$B$2, '&lt;&lt; Working &gt;&gt;'!$L:$L, 'Supplier Wise Monthly'!$B29, '&lt;&lt; Working &gt;&gt;'!$N:$N, 'Supplier Wise Monthly'!C$6, '&lt;&lt; Working &gt;&gt;'!$R:$R, 'Supplier Wise Monthly'!$B$1)</f>
        <v>0</v>
      </c>
      <c r="D29" s="39">
        <f>SUMIFS('&lt;&lt; Working &gt;&gt;'!$J:$J, '&lt;&lt; Working &gt;&gt;'!$D:$D, 'Supplier Wise Monthly'!$B$2, '&lt;&lt; Working &gt;&gt;'!$L:$L, 'Supplier Wise Monthly'!$B29, '&lt;&lt; Working &gt;&gt;'!$N:$N, 'Supplier Wise Monthly'!D$6, '&lt;&lt; Working &gt;&gt;'!$R:$R, 'Supplier Wise Monthly'!$B$1)</f>
        <v>0</v>
      </c>
      <c r="E29" s="39">
        <f>SUMIFS('&lt;&lt; Working &gt;&gt;'!$J:$J, '&lt;&lt; Working &gt;&gt;'!$D:$D, 'Supplier Wise Monthly'!$B$2, '&lt;&lt; Working &gt;&gt;'!$L:$L, 'Supplier Wise Monthly'!$B29, '&lt;&lt; Working &gt;&gt;'!$N:$N, 'Supplier Wise Monthly'!E$6, '&lt;&lt; Working &gt;&gt;'!$R:$R, 'Supplier Wise Monthly'!$B$1)</f>
        <v>0</v>
      </c>
      <c r="F29" s="42">
        <f t="shared" si="2"/>
        <v>0</v>
      </c>
    </row>
    <row r="30" spans="1:6" x14ac:dyDescent="0.3">
      <c r="A30" s="21" t="str">
        <f>VLOOKUP(B30, 'Items Master'!E:F,2,0)</f>
        <v>Import</v>
      </c>
      <c r="B30" s="21" t="s">
        <v>1091</v>
      </c>
      <c r="C30" s="39">
        <f>SUMIFS('&lt;&lt; Working &gt;&gt;'!$J:$J, '&lt;&lt; Working &gt;&gt;'!$D:$D, 'Supplier Wise Monthly'!$B$2, '&lt;&lt; Working &gt;&gt;'!$L:$L, 'Supplier Wise Monthly'!$B30, '&lt;&lt; Working &gt;&gt;'!$N:$N, 'Supplier Wise Monthly'!C$6, '&lt;&lt; Working &gt;&gt;'!$R:$R, 'Supplier Wise Monthly'!$B$1)</f>
        <v>0</v>
      </c>
      <c r="D30" s="39">
        <f>SUMIFS('&lt;&lt; Working &gt;&gt;'!$J:$J, '&lt;&lt; Working &gt;&gt;'!$D:$D, 'Supplier Wise Monthly'!$B$2, '&lt;&lt; Working &gt;&gt;'!$L:$L, 'Supplier Wise Monthly'!$B30, '&lt;&lt; Working &gt;&gt;'!$N:$N, 'Supplier Wise Monthly'!D$6, '&lt;&lt; Working &gt;&gt;'!$R:$R, 'Supplier Wise Monthly'!$B$1)</f>
        <v>0</v>
      </c>
      <c r="E30" s="39">
        <f>SUMIFS('&lt;&lt; Working &gt;&gt;'!$J:$J, '&lt;&lt; Working &gt;&gt;'!$D:$D, 'Supplier Wise Monthly'!$B$2, '&lt;&lt; Working &gt;&gt;'!$L:$L, 'Supplier Wise Monthly'!$B30, '&lt;&lt; Working &gt;&gt;'!$N:$N, 'Supplier Wise Monthly'!E$6, '&lt;&lt; Working &gt;&gt;'!$R:$R, 'Supplier Wise Monthly'!$B$1)</f>
        <v>0</v>
      </c>
      <c r="F30" s="42">
        <f t="shared" si="2"/>
        <v>0</v>
      </c>
    </row>
    <row r="31" spans="1:6" x14ac:dyDescent="0.3">
      <c r="A31" s="21" t="str">
        <f>VLOOKUP(B31, 'Items Master'!E:F,2,0)</f>
        <v>Import</v>
      </c>
      <c r="B31" s="21" t="s">
        <v>1092</v>
      </c>
      <c r="C31" s="39">
        <f>SUMIFS('&lt;&lt; Working &gt;&gt;'!$J:$J, '&lt;&lt; Working &gt;&gt;'!$D:$D, 'Supplier Wise Monthly'!$B$2, '&lt;&lt; Working &gt;&gt;'!$L:$L, 'Supplier Wise Monthly'!$B31, '&lt;&lt; Working &gt;&gt;'!$N:$N, 'Supplier Wise Monthly'!C$6, '&lt;&lt; Working &gt;&gt;'!$R:$R, 'Supplier Wise Monthly'!$B$1)</f>
        <v>0</v>
      </c>
      <c r="D31" s="39">
        <f>SUMIFS('&lt;&lt; Working &gt;&gt;'!$J:$J, '&lt;&lt; Working &gt;&gt;'!$D:$D, 'Supplier Wise Monthly'!$B$2, '&lt;&lt; Working &gt;&gt;'!$L:$L, 'Supplier Wise Monthly'!$B31, '&lt;&lt; Working &gt;&gt;'!$N:$N, 'Supplier Wise Monthly'!D$6, '&lt;&lt; Working &gt;&gt;'!$R:$R, 'Supplier Wise Monthly'!$B$1)</f>
        <v>0</v>
      </c>
      <c r="E31" s="39">
        <f>SUMIFS('&lt;&lt; Working &gt;&gt;'!$J:$J, '&lt;&lt; Working &gt;&gt;'!$D:$D, 'Supplier Wise Monthly'!$B$2, '&lt;&lt; Working &gt;&gt;'!$L:$L, 'Supplier Wise Monthly'!$B31, '&lt;&lt; Working &gt;&gt;'!$N:$N, 'Supplier Wise Monthly'!E$6, '&lt;&lt; Working &gt;&gt;'!$R:$R, 'Supplier Wise Monthly'!$B$1)</f>
        <v>0</v>
      </c>
      <c r="F31" s="42">
        <f t="shared" si="2"/>
        <v>0</v>
      </c>
    </row>
    <row r="32" spans="1:6" x14ac:dyDescent="0.3">
      <c r="A32" s="21" t="str">
        <f>VLOOKUP(B32, 'Items Master'!E:F,2,0)</f>
        <v>Import</v>
      </c>
      <c r="B32" s="21" t="s">
        <v>1097</v>
      </c>
      <c r="C32" s="39">
        <f>SUMIFS('&lt;&lt; Working &gt;&gt;'!$J:$J, '&lt;&lt; Working &gt;&gt;'!$D:$D, 'Supplier Wise Monthly'!$B$2, '&lt;&lt; Working &gt;&gt;'!$L:$L, 'Supplier Wise Monthly'!$B32, '&lt;&lt; Working &gt;&gt;'!$N:$N, 'Supplier Wise Monthly'!C$6, '&lt;&lt; Working &gt;&gt;'!$R:$R, 'Supplier Wise Monthly'!$B$1)</f>
        <v>0</v>
      </c>
      <c r="D32" s="39">
        <f>SUMIFS('&lt;&lt; Working &gt;&gt;'!$J:$J, '&lt;&lt; Working &gt;&gt;'!$D:$D, 'Supplier Wise Monthly'!$B$2, '&lt;&lt; Working &gt;&gt;'!$L:$L, 'Supplier Wise Monthly'!$B32, '&lt;&lt; Working &gt;&gt;'!$N:$N, 'Supplier Wise Monthly'!D$6, '&lt;&lt; Working &gt;&gt;'!$R:$R, 'Supplier Wise Monthly'!$B$1)</f>
        <v>0</v>
      </c>
      <c r="E32" s="39">
        <f>SUMIFS('&lt;&lt; Working &gt;&gt;'!$J:$J, '&lt;&lt; Working &gt;&gt;'!$D:$D, 'Supplier Wise Monthly'!$B$2, '&lt;&lt; Working &gt;&gt;'!$L:$L, 'Supplier Wise Monthly'!$B32, '&lt;&lt; Working &gt;&gt;'!$N:$N, 'Supplier Wise Monthly'!E$6, '&lt;&lt; Working &gt;&gt;'!$R:$R, 'Supplier Wise Monthly'!$B$1)</f>
        <v>0</v>
      </c>
      <c r="F32" s="42">
        <f t="shared" si="2"/>
        <v>0</v>
      </c>
    </row>
    <row r="33" spans="1:6" x14ac:dyDescent="0.3">
      <c r="A33" s="21" t="str">
        <f>VLOOKUP(B33, 'Items Master'!E:F,2,0)</f>
        <v>Domestic</v>
      </c>
      <c r="B33" s="21" t="s">
        <v>1104</v>
      </c>
      <c r="C33" s="39">
        <f>SUMIFS('&lt;&lt; Working &gt;&gt;'!$J:$J, '&lt;&lt; Working &gt;&gt;'!$D:$D, 'Supplier Wise Monthly'!$B$2, '&lt;&lt; Working &gt;&gt;'!$L:$L, 'Supplier Wise Monthly'!$B33, '&lt;&lt; Working &gt;&gt;'!$N:$N, 'Supplier Wise Monthly'!C$6, '&lt;&lt; Working &gt;&gt;'!$R:$R, 'Supplier Wise Monthly'!$B$1)</f>
        <v>0</v>
      </c>
      <c r="D33" s="39">
        <f>SUMIFS('&lt;&lt; Working &gt;&gt;'!$J:$J, '&lt;&lt; Working &gt;&gt;'!$D:$D, 'Supplier Wise Monthly'!$B$2, '&lt;&lt; Working &gt;&gt;'!$L:$L, 'Supplier Wise Monthly'!$B33, '&lt;&lt; Working &gt;&gt;'!$N:$N, 'Supplier Wise Monthly'!D$6, '&lt;&lt; Working &gt;&gt;'!$R:$R, 'Supplier Wise Monthly'!$B$1)</f>
        <v>0</v>
      </c>
      <c r="E33" s="39">
        <f>SUMIFS('&lt;&lt; Working &gt;&gt;'!$J:$J, '&lt;&lt; Working &gt;&gt;'!$D:$D, 'Supplier Wise Monthly'!$B$2, '&lt;&lt; Working &gt;&gt;'!$L:$L, 'Supplier Wise Monthly'!$B33, '&lt;&lt; Working &gt;&gt;'!$N:$N, 'Supplier Wise Monthly'!E$6, '&lt;&lt; Working &gt;&gt;'!$R:$R, 'Supplier Wise Monthly'!$B$1)</f>
        <v>0</v>
      </c>
      <c r="F33" s="42">
        <f t="shared" si="2"/>
        <v>0</v>
      </c>
    </row>
    <row r="34" spans="1:6" x14ac:dyDescent="0.3">
      <c r="A34" s="21" t="str">
        <f>VLOOKUP(B34, 'Items Master'!E:F,2,0)</f>
        <v>Import</v>
      </c>
      <c r="B34" s="21" t="s">
        <v>1110</v>
      </c>
      <c r="C34" s="39">
        <f>SUMIFS('&lt;&lt; Working &gt;&gt;'!$J:$J, '&lt;&lt; Working &gt;&gt;'!$D:$D, 'Supplier Wise Monthly'!$B$2, '&lt;&lt; Working &gt;&gt;'!$L:$L, 'Supplier Wise Monthly'!$B34, '&lt;&lt; Working &gt;&gt;'!$N:$N, 'Supplier Wise Monthly'!C$6, '&lt;&lt; Working &gt;&gt;'!$R:$R, 'Supplier Wise Monthly'!$B$1)</f>
        <v>0</v>
      </c>
      <c r="D34" s="39">
        <f>SUMIFS('&lt;&lt; Working &gt;&gt;'!$J:$J, '&lt;&lt; Working &gt;&gt;'!$D:$D, 'Supplier Wise Monthly'!$B$2, '&lt;&lt; Working &gt;&gt;'!$L:$L, 'Supplier Wise Monthly'!$B34, '&lt;&lt; Working &gt;&gt;'!$N:$N, 'Supplier Wise Monthly'!D$6, '&lt;&lt; Working &gt;&gt;'!$R:$R, 'Supplier Wise Monthly'!$B$1)</f>
        <v>0</v>
      </c>
      <c r="E34" s="39">
        <f>SUMIFS('&lt;&lt; Working &gt;&gt;'!$J:$J, '&lt;&lt; Working &gt;&gt;'!$D:$D, 'Supplier Wise Monthly'!$B$2, '&lt;&lt; Working &gt;&gt;'!$L:$L, 'Supplier Wise Monthly'!$B34, '&lt;&lt; Working &gt;&gt;'!$N:$N, 'Supplier Wise Monthly'!E$6, '&lt;&lt; Working &gt;&gt;'!$R:$R, 'Supplier Wise Monthly'!$B$1)</f>
        <v>0</v>
      </c>
      <c r="F34" s="42">
        <f t="shared" si="2"/>
        <v>0</v>
      </c>
    </row>
    <row r="35" spans="1:6" x14ac:dyDescent="0.3">
      <c r="A35" s="21" t="str">
        <f>VLOOKUP(B35, 'Items Master'!E:F,2,0)</f>
        <v>Import</v>
      </c>
      <c r="B35" s="21" t="s">
        <v>1112</v>
      </c>
      <c r="C35" s="39">
        <f>SUMIFS('&lt;&lt; Working &gt;&gt;'!$J:$J, '&lt;&lt; Working &gt;&gt;'!$D:$D, 'Supplier Wise Monthly'!$B$2, '&lt;&lt; Working &gt;&gt;'!$L:$L, 'Supplier Wise Monthly'!$B35, '&lt;&lt; Working &gt;&gt;'!$N:$N, 'Supplier Wise Monthly'!C$6, '&lt;&lt; Working &gt;&gt;'!$R:$R, 'Supplier Wise Monthly'!$B$1)</f>
        <v>0</v>
      </c>
      <c r="D35" s="39">
        <f>SUMIFS('&lt;&lt; Working &gt;&gt;'!$J:$J, '&lt;&lt; Working &gt;&gt;'!$D:$D, 'Supplier Wise Monthly'!$B$2, '&lt;&lt; Working &gt;&gt;'!$L:$L, 'Supplier Wise Monthly'!$B35, '&lt;&lt; Working &gt;&gt;'!$N:$N, 'Supplier Wise Monthly'!D$6, '&lt;&lt; Working &gt;&gt;'!$R:$R, 'Supplier Wise Monthly'!$B$1)</f>
        <v>0</v>
      </c>
      <c r="E35" s="39">
        <f>SUMIFS('&lt;&lt; Working &gt;&gt;'!$J:$J, '&lt;&lt; Working &gt;&gt;'!$D:$D, 'Supplier Wise Monthly'!$B$2, '&lt;&lt; Working &gt;&gt;'!$L:$L, 'Supplier Wise Monthly'!$B35, '&lt;&lt; Working &gt;&gt;'!$N:$N, 'Supplier Wise Monthly'!E$6, '&lt;&lt; Working &gt;&gt;'!$R:$R, 'Supplier Wise Monthly'!$B$1)</f>
        <v>0</v>
      </c>
      <c r="F35" s="42">
        <f t="shared" si="2"/>
        <v>0</v>
      </c>
    </row>
    <row r="36" spans="1:6" x14ac:dyDescent="0.3">
      <c r="A36" s="21" t="str">
        <f>VLOOKUP(B36, 'Items Master'!E:F,2,0)</f>
        <v>Import</v>
      </c>
      <c r="B36" s="21" t="s">
        <v>1135</v>
      </c>
      <c r="C36" s="39">
        <f>SUMIFS('&lt;&lt; Working &gt;&gt;'!$J:$J, '&lt;&lt; Working &gt;&gt;'!$D:$D, 'Supplier Wise Monthly'!$B$2, '&lt;&lt; Working &gt;&gt;'!$L:$L, 'Supplier Wise Monthly'!$B36, '&lt;&lt; Working &gt;&gt;'!$N:$N, 'Supplier Wise Monthly'!C$6, '&lt;&lt; Working &gt;&gt;'!$R:$R, 'Supplier Wise Monthly'!$B$1)</f>
        <v>0</v>
      </c>
      <c r="D36" s="39">
        <f>SUMIFS('&lt;&lt; Working &gt;&gt;'!$J:$J, '&lt;&lt; Working &gt;&gt;'!$D:$D, 'Supplier Wise Monthly'!$B$2, '&lt;&lt; Working &gt;&gt;'!$L:$L, 'Supplier Wise Monthly'!$B36, '&lt;&lt; Working &gt;&gt;'!$N:$N, 'Supplier Wise Monthly'!D$6, '&lt;&lt; Working &gt;&gt;'!$R:$R, 'Supplier Wise Monthly'!$B$1)</f>
        <v>0</v>
      </c>
      <c r="E36" s="39">
        <f>SUMIFS('&lt;&lt; Working &gt;&gt;'!$J:$J, '&lt;&lt; Working &gt;&gt;'!$D:$D, 'Supplier Wise Monthly'!$B$2, '&lt;&lt; Working &gt;&gt;'!$L:$L, 'Supplier Wise Monthly'!$B36, '&lt;&lt; Working &gt;&gt;'!$N:$N, 'Supplier Wise Monthly'!E$6, '&lt;&lt; Working &gt;&gt;'!$R:$R, 'Supplier Wise Monthly'!$B$1)</f>
        <v>0</v>
      </c>
      <c r="F36" s="42">
        <f t="shared" si="2"/>
        <v>0</v>
      </c>
    </row>
    <row r="37" spans="1:6" x14ac:dyDescent="0.3">
      <c r="A37" s="21" t="str">
        <f>VLOOKUP(B37, 'Items Master'!E:F,2,0)</f>
        <v>Import</v>
      </c>
      <c r="B37" s="21" t="s">
        <v>1153</v>
      </c>
      <c r="C37" s="39">
        <f>SUMIFS('&lt;&lt; Working &gt;&gt;'!$J:$J, '&lt;&lt; Working &gt;&gt;'!$D:$D, 'Supplier Wise Monthly'!$B$2, '&lt;&lt; Working &gt;&gt;'!$L:$L, 'Supplier Wise Monthly'!$B37, '&lt;&lt; Working &gt;&gt;'!$N:$N, 'Supplier Wise Monthly'!C$6, '&lt;&lt; Working &gt;&gt;'!$R:$R, 'Supplier Wise Monthly'!$B$1)</f>
        <v>0</v>
      </c>
      <c r="D37" s="39">
        <f>SUMIFS('&lt;&lt; Working &gt;&gt;'!$J:$J, '&lt;&lt; Working &gt;&gt;'!$D:$D, 'Supplier Wise Monthly'!$B$2, '&lt;&lt; Working &gt;&gt;'!$L:$L, 'Supplier Wise Monthly'!$B37, '&lt;&lt; Working &gt;&gt;'!$N:$N, 'Supplier Wise Monthly'!D$6, '&lt;&lt; Working &gt;&gt;'!$R:$R, 'Supplier Wise Monthly'!$B$1)</f>
        <v>0</v>
      </c>
      <c r="E37" s="39">
        <f>SUMIFS('&lt;&lt; Working &gt;&gt;'!$J:$J, '&lt;&lt; Working &gt;&gt;'!$D:$D, 'Supplier Wise Monthly'!$B$2, '&lt;&lt; Working &gt;&gt;'!$L:$L, 'Supplier Wise Monthly'!$B37, '&lt;&lt; Working &gt;&gt;'!$N:$N, 'Supplier Wise Monthly'!E$6, '&lt;&lt; Working &gt;&gt;'!$R:$R, 'Supplier Wise Monthly'!$B$1)</f>
        <v>0</v>
      </c>
      <c r="F37" s="42">
        <f t="shared" si="2"/>
        <v>0</v>
      </c>
    </row>
    <row r="38" spans="1:6" x14ac:dyDescent="0.3">
      <c r="A38" s="21" t="str">
        <f>VLOOKUP(B38, 'Items Master'!E:F,2,0)</f>
        <v>Import</v>
      </c>
      <c r="B38" s="21" t="s">
        <v>1159</v>
      </c>
      <c r="C38" s="39">
        <f>SUMIFS('&lt;&lt; Working &gt;&gt;'!$J:$J, '&lt;&lt; Working &gt;&gt;'!$D:$D, 'Supplier Wise Monthly'!$B$2, '&lt;&lt; Working &gt;&gt;'!$L:$L, 'Supplier Wise Monthly'!$B38, '&lt;&lt; Working &gt;&gt;'!$N:$N, 'Supplier Wise Monthly'!C$6, '&lt;&lt; Working &gt;&gt;'!$R:$R, 'Supplier Wise Monthly'!$B$1)</f>
        <v>0</v>
      </c>
      <c r="D38" s="39">
        <f>SUMIFS('&lt;&lt; Working &gt;&gt;'!$J:$J, '&lt;&lt; Working &gt;&gt;'!$D:$D, 'Supplier Wise Monthly'!$B$2, '&lt;&lt; Working &gt;&gt;'!$L:$L, 'Supplier Wise Monthly'!$B38, '&lt;&lt; Working &gt;&gt;'!$N:$N, 'Supplier Wise Monthly'!D$6, '&lt;&lt; Working &gt;&gt;'!$R:$R, 'Supplier Wise Monthly'!$B$1)</f>
        <v>0</v>
      </c>
      <c r="E38" s="39">
        <f>SUMIFS('&lt;&lt; Working &gt;&gt;'!$J:$J, '&lt;&lt; Working &gt;&gt;'!$D:$D, 'Supplier Wise Monthly'!$B$2, '&lt;&lt; Working &gt;&gt;'!$L:$L, 'Supplier Wise Monthly'!$B38, '&lt;&lt; Working &gt;&gt;'!$N:$N, 'Supplier Wise Monthly'!E$6, '&lt;&lt; Working &gt;&gt;'!$R:$R, 'Supplier Wise Monthly'!$B$1)</f>
        <v>0</v>
      </c>
      <c r="F38" s="42">
        <f t="shared" si="2"/>
        <v>0</v>
      </c>
    </row>
    <row r="39" spans="1:6" x14ac:dyDescent="0.3">
      <c r="A39" s="21" t="str">
        <f>VLOOKUP(B39, 'Items Master'!E:F,2,0)</f>
        <v>Import</v>
      </c>
      <c r="B39" s="21" t="s">
        <v>1165</v>
      </c>
      <c r="C39" s="39">
        <f>SUMIFS('&lt;&lt; Working &gt;&gt;'!$J:$J, '&lt;&lt; Working &gt;&gt;'!$D:$D, 'Supplier Wise Monthly'!$B$2, '&lt;&lt; Working &gt;&gt;'!$L:$L, 'Supplier Wise Monthly'!$B39, '&lt;&lt; Working &gt;&gt;'!$N:$N, 'Supplier Wise Monthly'!C$6, '&lt;&lt; Working &gt;&gt;'!$R:$R, 'Supplier Wise Monthly'!$B$1)</f>
        <v>0</v>
      </c>
      <c r="D39" s="39">
        <f>SUMIFS('&lt;&lt; Working &gt;&gt;'!$J:$J, '&lt;&lt; Working &gt;&gt;'!$D:$D, 'Supplier Wise Monthly'!$B$2, '&lt;&lt; Working &gt;&gt;'!$L:$L, 'Supplier Wise Monthly'!$B39, '&lt;&lt; Working &gt;&gt;'!$N:$N, 'Supplier Wise Monthly'!D$6, '&lt;&lt; Working &gt;&gt;'!$R:$R, 'Supplier Wise Monthly'!$B$1)</f>
        <v>0</v>
      </c>
      <c r="E39" s="39">
        <f>SUMIFS('&lt;&lt; Working &gt;&gt;'!$J:$J, '&lt;&lt; Working &gt;&gt;'!$D:$D, 'Supplier Wise Monthly'!$B$2, '&lt;&lt; Working &gt;&gt;'!$L:$L, 'Supplier Wise Monthly'!$B39, '&lt;&lt; Working &gt;&gt;'!$N:$N, 'Supplier Wise Monthly'!E$6, '&lt;&lt; Working &gt;&gt;'!$R:$R, 'Supplier Wise Monthly'!$B$1)</f>
        <v>0</v>
      </c>
      <c r="F39" s="42">
        <f t="shared" si="2"/>
        <v>0</v>
      </c>
    </row>
    <row r="40" spans="1:6" x14ac:dyDescent="0.3">
      <c r="A40" s="21" t="str">
        <f>VLOOKUP(B40, 'Items Master'!E:F,2,0)</f>
        <v>Import</v>
      </c>
      <c r="B40" s="21" t="s">
        <v>1181</v>
      </c>
      <c r="C40" s="39">
        <f>SUMIFS('&lt;&lt; Working &gt;&gt;'!$J:$J, '&lt;&lt; Working &gt;&gt;'!$D:$D, 'Supplier Wise Monthly'!$B$2, '&lt;&lt; Working &gt;&gt;'!$L:$L, 'Supplier Wise Monthly'!$B40, '&lt;&lt; Working &gt;&gt;'!$N:$N, 'Supplier Wise Monthly'!C$6, '&lt;&lt; Working &gt;&gt;'!$R:$R, 'Supplier Wise Monthly'!$B$1)</f>
        <v>0</v>
      </c>
      <c r="D40" s="39">
        <f>SUMIFS('&lt;&lt; Working &gt;&gt;'!$J:$J, '&lt;&lt; Working &gt;&gt;'!$D:$D, 'Supplier Wise Monthly'!$B$2, '&lt;&lt; Working &gt;&gt;'!$L:$L, 'Supplier Wise Monthly'!$B40, '&lt;&lt; Working &gt;&gt;'!$N:$N, 'Supplier Wise Monthly'!D$6, '&lt;&lt; Working &gt;&gt;'!$R:$R, 'Supplier Wise Monthly'!$B$1)</f>
        <v>0</v>
      </c>
      <c r="E40" s="39">
        <f>SUMIFS('&lt;&lt; Working &gt;&gt;'!$J:$J, '&lt;&lt; Working &gt;&gt;'!$D:$D, 'Supplier Wise Monthly'!$B$2, '&lt;&lt; Working &gt;&gt;'!$L:$L, 'Supplier Wise Monthly'!$B40, '&lt;&lt; Working &gt;&gt;'!$N:$N, 'Supplier Wise Monthly'!E$6, '&lt;&lt; Working &gt;&gt;'!$R:$R, 'Supplier Wise Monthly'!$B$1)</f>
        <v>0</v>
      </c>
      <c r="F40" s="42">
        <f t="shared" si="2"/>
        <v>0</v>
      </c>
    </row>
    <row r="41" spans="1:6" x14ac:dyDescent="0.3">
      <c r="A41" s="21" t="str">
        <f>VLOOKUP(B41, 'Items Master'!E:F,2,0)</f>
        <v>Import</v>
      </c>
      <c r="B41" s="21" t="s">
        <v>1184</v>
      </c>
      <c r="C41" s="39">
        <f>SUMIFS('&lt;&lt; Working &gt;&gt;'!$J:$J, '&lt;&lt; Working &gt;&gt;'!$D:$D, 'Supplier Wise Monthly'!$B$2, '&lt;&lt; Working &gt;&gt;'!$L:$L, 'Supplier Wise Monthly'!$B41, '&lt;&lt; Working &gt;&gt;'!$N:$N, 'Supplier Wise Monthly'!C$6, '&lt;&lt; Working &gt;&gt;'!$R:$R, 'Supplier Wise Monthly'!$B$1)</f>
        <v>0</v>
      </c>
      <c r="D41" s="39">
        <f>SUMIFS('&lt;&lt; Working &gt;&gt;'!$J:$J, '&lt;&lt; Working &gt;&gt;'!$D:$D, 'Supplier Wise Monthly'!$B$2, '&lt;&lt; Working &gt;&gt;'!$L:$L, 'Supplier Wise Monthly'!$B41, '&lt;&lt; Working &gt;&gt;'!$N:$N, 'Supplier Wise Monthly'!D$6, '&lt;&lt; Working &gt;&gt;'!$R:$R, 'Supplier Wise Monthly'!$B$1)</f>
        <v>0</v>
      </c>
      <c r="E41" s="39">
        <f>SUMIFS('&lt;&lt; Working &gt;&gt;'!$J:$J, '&lt;&lt; Working &gt;&gt;'!$D:$D, 'Supplier Wise Monthly'!$B$2, '&lt;&lt; Working &gt;&gt;'!$L:$L, 'Supplier Wise Monthly'!$B41, '&lt;&lt; Working &gt;&gt;'!$N:$N, 'Supplier Wise Monthly'!E$6, '&lt;&lt; Working &gt;&gt;'!$R:$R, 'Supplier Wise Monthly'!$B$1)</f>
        <v>0</v>
      </c>
      <c r="F41" s="42">
        <f t="shared" si="2"/>
        <v>0</v>
      </c>
    </row>
    <row r="42" spans="1:6" x14ac:dyDescent="0.3">
      <c r="A42" s="21" t="str">
        <f>VLOOKUP(B42, 'Items Master'!E:F,2,0)</f>
        <v>Import</v>
      </c>
      <c r="B42" s="21" t="s">
        <v>1198</v>
      </c>
      <c r="C42" s="39">
        <f>SUMIFS('&lt;&lt; Working &gt;&gt;'!$J:$J, '&lt;&lt; Working &gt;&gt;'!$D:$D, 'Supplier Wise Monthly'!$B$2, '&lt;&lt; Working &gt;&gt;'!$L:$L, 'Supplier Wise Monthly'!$B42, '&lt;&lt; Working &gt;&gt;'!$N:$N, 'Supplier Wise Monthly'!C$6, '&lt;&lt; Working &gt;&gt;'!$R:$R, 'Supplier Wise Monthly'!$B$1)</f>
        <v>0</v>
      </c>
      <c r="D42" s="39">
        <f>SUMIFS('&lt;&lt; Working &gt;&gt;'!$J:$J, '&lt;&lt; Working &gt;&gt;'!$D:$D, 'Supplier Wise Monthly'!$B$2, '&lt;&lt; Working &gt;&gt;'!$L:$L, 'Supplier Wise Monthly'!$B42, '&lt;&lt; Working &gt;&gt;'!$N:$N, 'Supplier Wise Monthly'!D$6, '&lt;&lt; Working &gt;&gt;'!$R:$R, 'Supplier Wise Monthly'!$B$1)</f>
        <v>0</v>
      </c>
      <c r="E42" s="39">
        <f>SUMIFS('&lt;&lt; Working &gt;&gt;'!$J:$J, '&lt;&lt; Working &gt;&gt;'!$D:$D, 'Supplier Wise Monthly'!$B$2, '&lt;&lt; Working &gt;&gt;'!$L:$L, 'Supplier Wise Monthly'!$B42, '&lt;&lt; Working &gt;&gt;'!$N:$N, 'Supplier Wise Monthly'!E$6, '&lt;&lt; Working &gt;&gt;'!$R:$R, 'Supplier Wise Monthly'!$B$1)</f>
        <v>0</v>
      </c>
      <c r="F42" s="42">
        <f t="shared" si="2"/>
        <v>0</v>
      </c>
    </row>
    <row r="43" spans="1:6" x14ac:dyDescent="0.3">
      <c r="A43" s="21" t="str">
        <f>VLOOKUP(B43, 'Items Master'!E:F,2,0)</f>
        <v>Import</v>
      </c>
      <c r="B43" s="21" t="s">
        <v>1202</v>
      </c>
      <c r="C43" s="39">
        <f>SUMIFS('&lt;&lt; Working &gt;&gt;'!$J:$J, '&lt;&lt; Working &gt;&gt;'!$D:$D, 'Supplier Wise Monthly'!$B$2, '&lt;&lt; Working &gt;&gt;'!$L:$L, 'Supplier Wise Monthly'!$B43, '&lt;&lt; Working &gt;&gt;'!$N:$N, 'Supplier Wise Monthly'!C$6, '&lt;&lt; Working &gt;&gt;'!$R:$R, 'Supplier Wise Monthly'!$B$1)</f>
        <v>0</v>
      </c>
      <c r="D43" s="39">
        <f>SUMIFS('&lt;&lt; Working &gt;&gt;'!$J:$J, '&lt;&lt; Working &gt;&gt;'!$D:$D, 'Supplier Wise Monthly'!$B$2, '&lt;&lt; Working &gt;&gt;'!$L:$L, 'Supplier Wise Monthly'!$B43, '&lt;&lt; Working &gt;&gt;'!$N:$N, 'Supplier Wise Monthly'!D$6, '&lt;&lt; Working &gt;&gt;'!$R:$R, 'Supplier Wise Monthly'!$B$1)</f>
        <v>0</v>
      </c>
      <c r="E43" s="39">
        <f>SUMIFS('&lt;&lt; Working &gt;&gt;'!$J:$J, '&lt;&lt; Working &gt;&gt;'!$D:$D, 'Supplier Wise Monthly'!$B$2, '&lt;&lt; Working &gt;&gt;'!$L:$L, 'Supplier Wise Monthly'!$B43, '&lt;&lt; Working &gt;&gt;'!$N:$N, 'Supplier Wise Monthly'!E$6, '&lt;&lt; Working &gt;&gt;'!$R:$R, 'Supplier Wise Monthly'!$B$1)</f>
        <v>0</v>
      </c>
      <c r="F43" s="42">
        <f t="shared" si="2"/>
        <v>0</v>
      </c>
    </row>
    <row r="44" spans="1:6" x14ac:dyDescent="0.3">
      <c r="A44" s="21" t="str">
        <f>VLOOKUP(B44, 'Items Master'!E:F,2,0)</f>
        <v>Import</v>
      </c>
      <c r="B44" s="21" t="s">
        <v>1206</v>
      </c>
      <c r="C44" s="39">
        <f>SUMIFS('&lt;&lt; Working &gt;&gt;'!$J:$J, '&lt;&lt; Working &gt;&gt;'!$D:$D, 'Supplier Wise Monthly'!$B$2, '&lt;&lt; Working &gt;&gt;'!$L:$L, 'Supplier Wise Monthly'!$B44, '&lt;&lt; Working &gt;&gt;'!$N:$N, 'Supplier Wise Monthly'!C$6, '&lt;&lt; Working &gt;&gt;'!$R:$R, 'Supplier Wise Monthly'!$B$1)</f>
        <v>0</v>
      </c>
      <c r="D44" s="39">
        <f>SUMIFS('&lt;&lt; Working &gt;&gt;'!$J:$J, '&lt;&lt; Working &gt;&gt;'!$D:$D, 'Supplier Wise Monthly'!$B$2, '&lt;&lt; Working &gt;&gt;'!$L:$L, 'Supplier Wise Monthly'!$B44, '&lt;&lt; Working &gt;&gt;'!$N:$N, 'Supplier Wise Monthly'!D$6, '&lt;&lt; Working &gt;&gt;'!$R:$R, 'Supplier Wise Monthly'!$B$1)</f>
        <v>0</v>
      </c>
      <c r="E44" s="39">
        <f>SUMIFS('&lt;&lt; Working &gt;&gt;'!$J:$J, '&lt;&lt; Working &gt;&gt;'!$D:$D, 'Supplier Wise Monthly'!$B$2, '&lt;&lt; Working &gt;&gt;'!$L:$L, 'Supplier Wise Monthly'!$B44, '&lt;&lt; Working &gt;&gt;'!$N:$N, 'Supplier Wise Monthly'!E$6, '&lt;&lt; Working &gt;&gt;'!$R:$R, 'Supplier Wise Monthly'!$B$1)</f>
        <v>0</v>
      </c>
      <c r="F44" s="42">
        <f t="shared" si="2"/>
        <v>0</v>
      </c>
    </row>
    <row r="45" spans="1:6" x14ac:dyDescent="0.3">
      <c r="A45" s="21" t="str">
        <f>VLOOKUP(B45, 'Items Master'!E:F,2,0)</f>
        <v>Import</v>
      </c>
      <c r="B45" s="21" t="s">
        <v>1213</v>
      </c>
      <c r="C45" s="39">
        <f>SUMIFS('&lt;&lt; Working &gt;&gt;'!$J:$J, '&lt;&lt; Working &gt;&gt;'!$D:$D, 'Supplier Wise Monthly'!$B$2, '&lt;&lt; Working &gt;&gt;'!$L:$L, 'Supplier Wise Monthly'!$B45, '&lt;&lt; Working &gt;&gt;'!$N:$N, 'Supplier Wise Monthly'!C$6, '&lt;&lt; Working &gt;&gt;'!$R:$R, 'Supplier Wise Monthly'!$B$1)</f>
        <v>0</v>
      </c>
      <c r="D45" s="39">
        <f>SUMIFS('&lt;&lt; Working &gt;&gt;'!$J:$J, '&lt;&lt; Working &gt;&gt;'!$D:$D, 'Supplier Wise Monthly'!$B$2, '&lt;&lt; Working &gt;&gt;'!$L:$L, 'Supplier Wise Monthly'!$B45, '&lt;&lt; Working &gt;&gt;'!$N:$N, 'Supplier Wise Monthly'!D$6, '&lt;&lt; Working &gt;&gt;'!$R:$R, 'Supplier Wise Monthly'!$B$1)</f>
        <v>0</v>
      </c>
      <c r="E45" s="39">
        <f>SUMIFS('&lt;&lt; Working &gt;&gt;'!$J:$J, '&lt;&lt; Working &gt;&gt;'!$D:$D, 'Supplier Wise Monthly'!$B$2, '&lt;&lt; Working &gt;&gt;'!$L:$L, 'Supplier Wise Monthly'!$B45, '&lt;&lt; Working &gt;&gt;'!$N:$N, 'Supplier Wise Monthly'!E$6, '&lt;&lt; Working &gt;&gt;'!$R:$R, 'Supplier Wise Monthly'!$B$1)</f>
        <v>0</v>
      </c>
      <c r="F45" s="42">
        <f t="shared" si="2"/>
        <v>0</v>
      </c>
    </row>
    <row r="46" spans="1:6" x14ac:dyDescent="0.3">
      <c r="A46" s="21" t="str">
        <f>VLOOKUP(B46, 'Items Master'!E:F,2,0)</f>
        <v>Import</v>
      </c>
      <c r="B46" s="21" t="s">
        <v>1218</v>
      </c>
      <c r="C46" s="39">
        <f>SUMIFS('&lt;&lt; Working &gt;&gt;'!$J:$J, '&lt;&lt; Working &gt;&gt;'!$D:$D, 'Supplier Wise Monthly'!$B$2, '&lt;&lt; Working &gt;&gt;'!$L:$L, 'Supplier Wise Monthly'!$B46, '&lt;&lt; Working &gt;&gt;'!$N:$N, 'Supplier Wise Monthly'!C$6, '&lt;&lt; Working &gt;&gt;'!$R:$R, 'Supplier Wise Monthly'!$B$1)</f>
        <v>0</v>
      </c>
      <c r="D46" s="39">
        <f>SUMIFS('&lt;&lt; Working &gt;&gt;'!$J:$J, '&lt;&lt; Working &gt;&gt;'!$D:$D, 'Supplier Wise Monthly'!$B$2, '&lt;&lt; Working &gt;&gt;'!$L:$L, 'Supplier Wise Monthly'!$B46, '&lt;&lt; Working &gt;&gt;'!$N:$N, 'Supplier Wise Monthly'!D$6, '&lt;&lt; Working &gt;&gt;'!$R:$R, 'Supplier Wise Monthly'!$B$1)</f>
        <v>0</v>
      </c>
      <c r="E46" s="39">
        <f>SUMIFS('&lt;&lt; Working &gt;&gt;'!$J:$J, '&lt;&lt; Working &gt;&gt;'!$D:$D, 'Supplier Wise Monthly'!$B$2, '&lt;&lt; Working &gt;&gt;'!$L:$L, 'Supplier Wise Monthly'!$B46, '&lt;&lt; Working &gt;&gt;'!$N:$N, 'Supplier Wise Monthly'!E$6, '&lt;&lt; Working &gt;&gt;'!$R:$R, 'Supplier Wise Monthly'!$B$1)</f>
        <v>0</v>
      </c>
      <c r="F46" s="42">
        <f t="shared" si="2"/>
        <v>0</v>
      </c>
    </row>
    <row r="47" spans="1:6" x14ac:dyDescent="0.3">
      <c r="A47" s="21" t="str">
        <f>VLOOKUP(B47, 'Items Master'!E:F,2,0)</f>
        <v>Domestic</v>
      </c>
      <c r="B47" s="21" t="s">
        <v>1220</v>
      </c>
      <c r="C47" s="39">
        <f>SUMIFS('&lt;&lt; Working &gt;&gt;'!$J:$J, '&lt;&lt; Working &gt;&gt;'!$D:$D, 'Supplier Wise Monthly'!$B$2, '&lt;&lt; Working &gt;&gt;'!$L:$L, 'Supplier Wise Monthly'!$B47, '&lt;&lt; Working &gt;&gt;'!$N:$N, 'Supplier Wise Monthly'!C$6, '&lt;&lt; Working &gt;&gt;'!$R:$R, 'Supplier Wise Monthly'!$B$1)</f>
        <v>0</v>
      </c>
      <c r="D47" s="39">
        <f>SUMIFS('&lt;&lt; Working &gt;&gt;'!$J:$J, '&lt;&lt; Working &gt;&gt;'!$D:$D, 'Supplier Wise Monthly'!$B$2, '&lt;&lt; Working &gt;&gt;'!$L:$L, 'Supplier Wise Monthly'!$B47, '&lt;&lt; Working &gt;&gt;'!$N:$N, 'Supplier Wise Monthly'!D$6, '&lt;&lt; Working &gt;&gt;'!$R:$R, 'Supplier Wise Monthly'!$B$1)</f>
        <v>0</v>
      </c>
      <c r="E47" s="39">
        <f>SUMIFS('&lt;&lt; Working &gt;&gt;'!$J:$J, '&lt;&lt; Working &gt;&gt;'!$D:$D, 'Supplier Wise Monthly'!$B$2, '&lt;&lt; Working &gt;&gt;'!$L:$L, 'Supplier Wise Monthly'!$B47, '&lt;&lt; Working &gt;&gt;'!$N:$N, 'Supplier Wise Monthly'!E$6, '&lt;&lt; Working &gt;&gt;'!$R:$R, 'Supplier Wise Monthly'!$B$1)</f>
        <v>0</v>
      </c>
      <c r="F47" s="42">
        <f t="shared" si="2"/>
        <v>0</v>
      </c>
    </row>
    <row r="48" spans="1:6" x14ac:dyDescent="0.3">
      <c r="A48" s="21" t="str">
        <f>VLOOKUP(B48, 'Items Master'!E:F,2,0)</f>
        <v>Import</v>
      </c>
      <c r="B48" s="21" t="s">
        <v>1222</v>
      </c>
      <c r="C48" s="39">
        <f>SUMIFS('&lt;&lt; Working &gt;&gt;'!$J:$J, '&lt;&lt; Working &gt;&gt;'!$D:$D, 'Supplier Wise Monthly'!$B$2, '&lt;&lt; Working &gt;&gt;'!$L:$L, 'Supplier Wise Monthly'!$B48, '&lt;&lt; Working &gt;&gt;'!$N:$N, 'Supplier Wise Monthly'!C$6, '&lt;&lt; Working &gt;&gt;'!$R:$R, 'Supplier Wise Monthly'!$B$1)</f>
        <v>0</v>
      </c>
      <c r="D48" s="39">
        <f>SUMIFS('&lt;&lt; Working &gt;&gt;'!$J:$J, '&lt;&lt; Working &gt;&gt;'!$D:$D, 'Supplier Wise Monthly'!$B$2, '&lt;&lt; Working &gt;&gt;'!$L:$L, 'Supplier Wise Monthly'!$B48, '&lt;&lt; Working &gt;&gt;'!$N:$N, 'Supplier Wise Monthly'!D$6, '&lt;&lt; Working &gt;&gt;'!$R:$R, 'Supplier Wise Monthly'!$B$1)</f>
        <v>0</v>
      </c>
      <c r="E48" s="39">
        <f>SUMIFS('&lt;&lt; Working &gt;&gt;'!$J:$J, '&lt;&lt; Working &gt;&gt;'!$D:$D, 'Supplier Wise Monthly'!$B$2, '&lt;&lt; Working &gt;&gt;'!$L:$L, 'Supplier Wise Monthly'!$B48, '&lt;&lt; Working &gt;&gt;'!$N:$N, 'Supplier Wise Monthly'!E$6, '&lt;&lt; Working &gt;&gt;'!$R:$R, 'Supplier Wise Monthly'!$B$1)</f>
        <v>0</v>
      </c>
      <c r="F48" s="42">
        <f t="shared" si="2"/>
        <v>0</v>
      </c>
    </row>
    <row r="49" spans="1:6" x14ac:dyDescent="0.3">
      <c r="A49" s="21" t="str">
        <f>VLOOKUP(B49, 'Items Master'!E:F,2,0)</f>
        <v>Import</v>
      </c>
      <c r="B49" s="21" t="s">
        <v>1225</v>
      </c>
      <c r="C49" s="39">
        <f>SUMIFS('&lt;&lt; Working &gt;&gt;'!$J:$J, '&lt;&lt; Working &gt;&gt;'!$D:$D, 'Supplier Wise Monthly'!$B$2, '&lt;&lt; Working &gt;&gt;'!$L:$L, 'Supplier Wise Monthly'!$B49, '&lt;&lt; Working &gt;&gt;'!$N:$N, 'Supplier Wise Monthly'!C$6, '&lt;&lt; Working &gt;&gt;'!$R:$R, 'Supplier Wise Monthly'!$B$1)</f>
        <v>0</v>
      </c>
      <c r="D49" s="39">
        <f>SUMIFS('&lt;&lt; Working &gt;&gt;'!$J:$J, '&lt;&lt; Working &gt;&gt;'!$D:$D, 'Supplier Wise Monthly'!$B$2, '&lt;&lt; Working &gt;&gt;'!$L:$L, 'Supplier Wise Monthly'!$B49, '&lt;&lt; Working &gt;&gt;'!$N:$N, 'Supplier Wise Monthly'!D$6, '&lt;&lt; Working &gt;&gt;'!$R:$R, 'Supplier Wise Monthly'!$B$1)</f>
        <v>0</v>
      </c>
      <c r="E49" s="39">
        <f>SUMIFS('&lt;&lt; Working &gt;&gt;'!$J:$J, '&lt;&lt; Working &gt;&gt;'!$D:$D, 'Supplier Wise Monthly'!$B$2, '&lt;&lt; Working &gt;&gt;'!$L:$L, 'Supplier Wise Monthly'!$B49, '&lt;&lt; Working &gt;&gt;'!$N:$N, 'Supplier Wise Monthly'!E$6, '&lt;&lt; Working &gt;&gt;'!$R:$R, 'Supplier Wise Monthly'!$B$1)</f>
        <v>0</v>
      </c>
      <c r="F49" s="42">
        <f t="shared" si="2"/>
        <v>0</v>
      </c>
    </row>
    <row r="50" spans="1:6" x14ac:dyDescent="0.3">
      <c r="A50" s="21" t="str">
        <f>VLOOKUP(B50, 'Items Master'!E:F,2,0)</f>
        <v>Import</v>
      </c>
      <c r="B50" s="21" t="s">
        <v>1231</v>
      </c>
      <c r="C50" s="39">
        <f>SUMIFS('&lt;&lt; Working &gt;&gt;'!$J:$J, '&lt;&lt; Working &gt;&gt;'!$D:$D, 'Supplier Wise Monthly'!$B$2, '&lt;&lt; Working &gt;&gt;'!$L:$L, 'Supplier Wise Monthly'!$B50, '&lt;&lt; Working &gt;&gt;'!$N:$N, 'Supplier Wise Monthly'!C$6, '&lt;&lt; Working &gt;&gt;'!$R:$R, 'Supplier Wise Monthly'!$B$1)</f>
        <v>0</v>
      </c>
      <c r="D50" s="39">
        <f>SUMIFS('&lt;&lt; Working &gt;&gt;'!$J:$J, '&lt;&lt; Working &gt;&gt;'!$D:$D, 'Supplier Wise Monthly'!$B$2, '&lt;&lt; Working &gt;&gt;'!$L:$L, 'Supplier Wise Monthly'!$B50, '&lt;&lt; Working &gt;&gt;'!$N:$N, 'Supplier Wise Monthly'!D$6, '&lt;&lt; Working &gt;&gt;'!$R:$R, 'Supplier Wise Monthly'!$B$1)</f>
        <v>0</v>
      </c>
      <c r="E50" s="39">
        <f>SUMIFS('&lt;&lt; Working &gt;&gt;'!$J:$J, '&lt;&lt; Working &gt;&gt;'!$D:$D, 'Supplier Wise Monthly'!$B$2, '&lt;&lt; Working &gt;&gt;'!$L:$L, 'Supplier Wise Monthly'!$B50, '&lt;&lt; Working &gt;&gt;'!$N:$N, 'Supplier Wise Monthly'!E$6, '&lt;&lt; Working &gt;&gt;'!$R:$R, 'Supplier Wise Monthly'!$B$1)</f>
        <v>0</v>
      </c>
      <c r="F50" s="42">
        <f t="shared" si="2"/>
        <v>0</v>
      </c>
    </row>
    <row r="51" spans="1:6" x14ac:dyDescent="0.3">
      <c r="A51" s="21" t="str">
        <f>VLOOKUP(B51, 'Items Master'!E:F,2,0)</f>
        <v>Domestic</v>
      </c>
      <c r="B51" s="21" t="s">
        <v>1235</v>
      </c>
      <c r="C51" s="39">
        <f>SUMIFS('&lt;&lt; Working &gt;&gt;'!$J:$J, '&lt;&lt; Working &gt;&gt;'!$D:$D, 'Supplier Wise Monthly'!$B$2, '&lt;&lt; Working &gt;&gt;'!$L:$L, 'Supplier Wise Monthly'!$B51, '&lt;&lt; Working &gt;&gt;'!$N:$N, 'Supplier Wise Monthly'!C$6, '&lt;&lt; Working &gt;&gt;'!$R:$R, 'Supplier Wise Monthly'!$B$1)</f>
        <v>0</v>
      </c>
      <c r="D51" s="39">
        <f>SUMIFS('&lt;&lt; Working &gt;&gt;'!$J:$J, '&lt;&lt; Working &gt;&gt;'!$D:$D, 'Supplier Wise Monthly'!$B$2, '&lt;&lt; Working &gt;&gt;'!$L:$L, 'Supplier Wise Monthly'!$B51, '&lt;&lt; Working &gt;&gt;'!$N:$N, 'Supplier Wise Monthly'!D$6, '&lt;&lt; Working &gt;&gt;'!$R:$R, 'Supplier Wise Monthly'!$B$1)</f>
        <v>0</v>
      </c>
      <c r="E51" s="39">
        <f>SUMIFS('&lt;&lt; Working &gt;&gt;'!$J:$J, '&lt;&lt; Working &gt;&gt;'!$D:$D, 'Supplier Wise Monthly'!$B$2, '&lt;&lt; Working &gt;&gt;'!$L:$L, 'Supplier Wise Monthly'!$B51, '&lt;&lt; Working &gt;&gt;'!$N:$N, 'Supplier Wise Monthly'!E$6, '&lt;&lt; Working &gt;&gt;'!$R:$R, 'Supplier Wise Monthly'!$B$1)</f>
        <v>0</v>
      </c>
      <c r="F51" s="42">
        <f t="shared" si="2"/>
        <v>0</v>
      </c>
    </row>
    <row r="52" spans="1:6" x14ac:dyDescent="0.3">
      <c r="A52" s="21" t="str">
        <f>VLOOKUP(B52, 'Items Master'!E:F,2,0)</f>
        <v>Import</v>
      </c>
      <c r="B52" s="21" t="s">
        <v>1260</v>
      </c>
      <c r="C52" s="39">
        <f>SUMIFS('&lt;&lt; Working &gt;&gt;'!$J:$J, '&lt;&lt; Working &gt;&gt;'!$D:$D, 'Supplier Wise Monthly'!$B$2, '&lt;&lt; Working &gt;&gt;'!$L:$L, 'Supplier Wise Monthly'!$B52, '&lt;&lt; Working &gt;&gt;'!$N:$N, 'Supplier Wise Monthly'!C$6, '&lt;&lt; Working &gt;&gt;'!$R:$R, 'Supplier Wise Monthly'!$B$1)</f>
        <v>0</v>
      </c>
      <c r="D52" s="39">
        <f>SUMIFS('&lt;&lt; Working &gt;&gt;'!$J:$J, '&lt;&lt; Working &gt;&gt;'!$D:$D, 'Supplier Wise Monthly'!$B$2, '&lt;&lt; Working &gt;&gt;'!$L:$L, 'Supplier Wise Monthly'!$B52, '&lt;&lt; Working &gt;&gt;'!$N:$N, 'Supplier Wise Monthly'!D$6, '&lt;&lt; Working &gt;&gt;'!$R:$R, 'Supplier Wise Monthly'!$B$1)</f>
        <v>0</v>
      </c>
      <c r="E52" s="39">
        <f>SUMIFS('&lt;&lt; Working &gt;&gt;'!$J:$J, '&lt;&lt; Working &gt;&gt;'!$D:$D, 'Supplier Wise Monthly'!$B$2, '&lt;&lt; Working &gt;&gt;'!$L:$L, 'Supplier Wise Monthly'!$B52, '&lt;&lt; Working &gt;&gt;'!$N:$N, 'Supplier Wise Monthly'!E$6, '&lt;&lt; Working &gt;&gt;'!$R:$R, 'Supplier Wise Monthly'!$B$1)</f>
        <v>0</v>
      </c>
      <c r="F52" s="42">
        <f t="shared" si="2"/>
        <v>0</v>
      </c>
    </row>
    <row r="53" spans="1:6" x14ac:dyDescent="0.3">
      <c r="A53" s="21" t="str">
        <f>VLOOKUP(B53, 'Items Master'!E:F,2,0)</f>
        <v>Import</v>
      </c>
      <c r="B53" s="21" t="s">
        <v>1262</v>
      </c>
      <c r="C53" s="39">
        <f>SUMIFS('&lt;&lt; Working &gt;&gt;'!$J:$J, '&lt;&lt; Working &gt;&gt;'!$D:$D, 'Supplier Wise Monthly'!$B$2, '&lt;&lt; Working &gt;&gt;'!$L:$L, 'Supplier Wise Monthly'!$B53, '&lt;&lt; Working &gt;&gt;'!$N:$N, 'Supplier Wise Monthly'!C$6, '&lt;&lt; Working &gt;&gt;'!$R:$R, 'Supplier Wise Monthly'!$B$1)</f>
        <v>0</v>
      </c>
      <c r="D53" s="39">
        <f>SUMIFS('&lt;&lt; Working &gt;&gt;'!$J:$J, '&lt;&lt; Working &gt;&gt;'!$D:$D, 'Supplier Wise Monthly'!$B$2, '&lt;&lt; Working &gt;&gt;'!$L:$L, 'Supplier Wise Monthly'!$B53, '&lt;&lt; Working &gt;&gt;'!$N:$N, 'Supplier Wise Monthly'!D$6, '&lt;&lt; Working &gt;&gt;'!$R:$R, 'Supplier Wise Monthly'!$B$1)</f>
        <v>0</v>
      </c>
      <c r="E53" s="39">
        <f>SUMIFS('&lt;&lt; Working &gt;&gt;'!$J:$J, '&lt;&lt; Working &gt;&gt;'!$D:$D, 'Supplier Wise Monthly'!$B$2, '&lt;&lt; Working &gt;&gt;'!$L:$L, 'Supplier Wise Monthly'!$B53, '&lt;&lt; Working &gt;&gt;'!$N:$N, 'Supplier Wise Monthly'!E$6, '&lt;&lt; Working &gt;&gt;'!$R:$R, 'Supplier Wise Monthly'!$B$1)</f>
        <v>0</v>
      </c>
      <c r="F53" s="42">
        <f t="shared" si="2"/>
        <v>0</v>
      </c>
    </row>
    <row r="54" spans="1:6" x14ac:dyDescent="0.3">
      <c r="A54" s="21" t="str">
        <f>VLOOKUP(B54, 'Items Master'!E:F,2,0)</f>
        <v>Import</v>
      </c>
      <c r="B54" s="21" t="s">
        <v>1267</v>
      </c>
      <c r="C54" s="39">
        <f>SUMIFS('&lt;&lt; Working &gt;&gt;'!$J:$J, '&lt;&lt; Working &gt;&gt;'!$D:$D, 'Supplier Wise Monthly'!$B$2, '&lt;&lt; Working &gt;&gt;'!$L:$L, 'Supplier Wise Monthly'!$B54, '&lt;&lt; Working &gt;&gt;'!$N:$N, 'Supplier Wise Monthly'!C$6, '&lt;&lt; Working &gt;&gt;'!$R:$R, 'Supplier Wise Monthly'!$B$1)</f>
        <v>0</v>
      </c>
      <c r="D54" s="39">
        <f>SUMIFS('&lt;&lt; Working &gt;&gt;'!$J:$J, '&lt;&lt; Working &gt;&gt;'!$D:$D, 'Supplier Wise Monthly'!$B$2, '&lt;&lt; Working &gt;&gt;'!$L:$L, 'Supplier Wise Monthly'!$B54, '&lt;&lt; Working &gt;&gt;'!$N:$N, 'Supplier Wise Monthly'!D$6, '&lt;&lt; Working &gt;&gt;'!$R:$R, 'Supplier Wise Monthly'!$B$1)</f>
        <v>0</v>
      </c>
      <c r="E54" s="39">
        <f>SUMIFS('&lt;&lt; Working &gt;&gt;'!$J:$J, '&lt;&lt; Working &gt;&gt;'!$D:$D, 'Supplier Wise Monthly'!$B$2, '&lt;&lt; Working &gt;&gt;'!$L:$L, 'Supplier Wise Monthly'!$B54, '&lt;&lt; Working &gt;&gt;'!$N:$N, 'Supplier Wise Monthly'!E$6, '&lt;&lt; Working &gt;&gt;'!$R:$R, 'Supplier Wise Monthly'!$B$1)</f>
        <v>0</v>
      </c>
      <c r="F54" s="42">
        <f t="shared" si="2"/>
        <v>0</v>
      </c>
    </row>
    <row r="55" spans="1:6" x14ac:dyDescent="0.3">
      <c r="A55" s="21" t="str">
        <f>VLOOKUP(B55, 'Items Master'!E:F,2,0)</f>
        <v>Import</v>
      </c>
      <c r="B55" s="21" t="s">
        <v>1270</v>
      </c>
      <c r="C55" s="39">
        <f>SUMIFS('&lt;&lt; Working &gt;&gt;'!$J:$J, '&lt;&lt; Working &gt;&gt;'!$D:$D, 'Supplier Wise Monthly'!$B$2, '&lt;&lt; Working &gt;&gt;'!$L:$L, 'Supplier Wise Monthly'!$B55, '&lt;&lt; Working &gt;&gt;'!$N:$N, 'Supplier Wise Monthly'!C$6, '&lt;&lt; Working &gt;&gt;'!$R:$R, 'Supplier Wise Monthly'!$B$1)</f>
        <v>0</v>
      </c>
      <c r="D55" s="39">
        <f>SUMIFS('&lt;&lt; Working &gt;&gt;'!$J:$J, '&lt;&lt; Working &gt;&gt;'!$D:$D, 'Supplier Wise Monthly'!$B$2, '&lt;&lt; Working &gt;&gt;'!$L:$L, 'Supplier Wise Monthly'!$B55, '&lt;&lt; Working &gt;&gt;'!$N:$N, 'Supplier Wise Monthly'!D$6, '&lt;&lt; Working &gt;&gt;'!$R:$R, 'Supplier Wise Monthly'!$B$1)</f>
        <v>0</v>
      </c>
      <c r="E55" s="39">
        <f>SUMIFS('&lt;&lt; Working &gt;&gt;'!$J:$J, '&lt;&lt; Working &gt;&gt;'!$D:$D, 'Supplier Wise Monthly'!$B$2, '&lt;&lt; Working &gt;&gt;'!$L:$L, 'Supplier Wise Monthly'!$B55, '&lt;&lt; Working &gt;&gt;'!$N:$N, 'Supplier Wise Monthly'!E$6, '&lt;&lt; Working &gt;&gt;'!$R:$R, 'Supplier Wise Monthly'!$B$1)</f>
        <v>0</v>
      </c>
      <c r="F55" s="42">
        <f t="shared" si="2"/>
        <v>0</v>
      </c>
    </row>
    <row r="56" spans="1:6" x14ac:dyDescent="0.3">
      <c r="A56" s="21" t="str">
        <f>VLOOKUP(B56, 'Items Master'!E:F,2,0)</f>
        <v>Import</v>
      </c>
      <c r="B56" s="21" t="s">
        <v>1274</v>
      </c>
      <c r="C56" s="39">
        <f>SUMIFS('&lt;&lt; Working &gt;&gt;'!$J:$J, '&lt;&lt; Working &gt;&gt;'!$D:$D, 'Supplier Wise Monthly'!$B$2, '&lt;&lt; Working &gt;&gt;'!$L:$L, 'Supplier Wise Monthly'!$B56, '&lt;&lt; Working &gt;&gt;'!$N:$N, 'Supplier Wise Monthly'!C$6, '&lt;&lt; Working &gt;&gt;'!$R:$R, 'Supplier Wise Monthly'!$B$1)</f>
        <v>0</v>
      </c>
      <c r="D56" s="39">
        <f>SUMIFS('&lt;&lt; Working &gt;&gt;'!$J:$J, '&lt;&lt; Working &gt;&gt;'!$D:$D, 'Supplier Wise Monthly'!$B$2, '&lt;&lt; Working &gt;&gt;'!$L:$L, 'Supplier Wise Monthly'!$B56, '&lt;&lt; Working &gt;&gt;'!$N:$N, 'Supplier Wise Monthly'!D$6, '&lt;&lt; Working &gt;&gt;'!$R:$R, 'Supplier Wise Monthly'!$B$1)</f>
        <v>0</v>
      </c>
      <c r="E56" s="39">
        <f>SUMIFS('&lt;&lt; Working &gt;&gt;'!$J:$J, '&lt;&lt; Working &gt;&gt;'!$D:$D, 'Supplier Wise Monthly'!$B$2, '&lt;&lt; Working &gt;&gt;'!$L:$L, 'Supplier Wise Monthly'!$B56, '&lt;&lt; Working &gt;&gt;'!$N:$N, 'Supplier Wise Monthly'!E$6, '&lt;&lt; Working &gt;&gt;'!$R:$R, 'Supplier Wise Monthly'!$B$1)</f>
        <v>0</v>
      </c>
      <c r="F56" s="42">
        <f t="shared" si="2"/>
        <v>0</v>
      </c>
    </row>
    <row r="57" spans="1:6" x14ac:dyDescent="0.3">
      <c r="A57" s="21" t="str">
        <f>VLOOKUP(B57, 'Items Master'!E:F,2,0)</f>
        <v>Import</v>
      </c>
      <c r="B57" s="21" t="s">
        <v>1278</v>
      </c>
      <c r="C57" s="39">
        <f>SUMIFS('&lt;&lt; Working &gt;&gt;'!$J:$J, '&lt;&lt; Working &gt;&gt;'!$D:$D, 'Supplier Wise Monthly'!$B$2, '&lt;&lt; Working &gt;&gt;'!$L:$L, 'Supplier Wise Monthly'!$B57, '&lt;&lt; Working &gt;&gt;'!$N:$N, 'Supplier Wise Monthly'!C$6, '&lt;&lt; Working &gt;&gt;'!$R:$R, 'Supplier Wise Monthly'!$B$1)</f>
        <v>0</v>
      </c>
      <c r="D57" s="39">
        <f>SUMIFS('&lt;&lt; Working &gt;&gt;'!$J:$J, '&lt;&lt; Working &gt;&gt;'!$D:$D, 'Supplier Wise Monthly'!$B$2, '&lt;&lt; Working &gt;&gt;'!$L:$L, 'Supplier Wise Monthly'!$B57, '&lt;&lt; Working &gt;&gt;'!$N:$N, 'Supplier Wise Monthly'!D$6, '&lt;&lt; Working &gt;&gt;'!$R:$R, 'Supplier Wise Monthly'!$B$1)</f>
        <v>0</v>
      </c>
      <c r="E57" s="39">
        <f>SUMIFS('&lt;&lt; Working &gt;&gt;'!$J:$J, '&lt;&lt; Working &gt;&gt;'!$D:$D, 'Supplier Wise Monthly'!$B$2, '&lt;&lt; Working &gt;&gt;'!$L:$L, 'Supplier Wise Monthly'!$B57, '&lt;&lt; Working &gt;&gt;'!$N:$N, 'Supplier Wise Monthly'!E$6, '&lt;&lt; Working &gt;&gt;'!$R:$R, 'Supplier Wise Monthly'!$B$1)</f>
        <v>0</v>
      </c>
      <c r="F57" s="42">
        <f t="shared" si="2"/>
        <v>0</v>
      </c>
    </row>
    <row r="58" spans="1:6" x14ac:dyDescent="0.3">
      <c r="A58" s="21" t="str">
        <f>VLOOKUP(B58, 'Items Master'!E:F,2,0)</f>
        <v>Import</v>
      </c>
      <c r="B58" s="21" t="s">
        <v>1280</v>
      </c>
      <c r="C58" s="39">
        <f>SUMIFS('&lt;&lt; Working &gt;&gt;'!$J:$J, '&lt;&lt; Working &gt;&gt;'!$D:$D, 'Supplier Wise Monthly'!$B$2, '&lt;&lt; Working &gt;&gt;'!$L:$L, 'Supplier Wise Monthly'!$B58, '&lt;&lt; Working &gt;&gt;'!$N:$N, 'Supplier Wise Monthly'!C$6, '&lt;&lt; Working &gt;&gt;'!$R:$R, 'Supplier Wise Monthly'!$B$1)</f>
        <v>0</v>
      </c>
      <c r="D58" s="39">
        <f>SUMIFS('&lt;&lt; Working &gt;&gt;'!$J:$J, '&lt;&lt; Working &gt;&gt;'!$D:$D, 'Supplier Wise Monthly'!$B$2, '&lt;&lt; Working &gt;&gt;'!$L:$L, 'Supplier Wise Monthly'!$B58, '&lt;&lt; Working &gt;&gt;'!$N:$N, 'Supplier Wise Monthly'!D$6, '&lt;&lt; Working &gt;&gt;'!$R:$R, 'Supplier Wise Monthly'!$B$1)</f>
        <v>0</v>
      </c>
      <c r="E58" s="39">
        <f>SUMIFS('&lt;&lt; Working &gt;&gt;'!$J:$J, '&lt;&lt; Working &gt;&gt;'!$D:$D, 'Supplier Wise Monthly'!$B$2, '&lt;&lt; Working &gt;&gt;'!$L:$L, 'Supplier Wise Monthly'!$B58, '&lt;&lt; Working &gt;&gt;'!$N:$N, 'Supplier Wise Monthly'!E$6, '&lt;&lt; Working &gt;&gt;'!$R:$R, 'Supplier Wise Monthly'!$B$1)</f>
        <v>0</v>
      </c>
      <c r="F58" s="42">
        <f t="shared" si="2"/>
        <v>0</v>
      </c>
    </row>
    <row r="59" spans="1:6" x14ac:dyDescent="0.3">
      <c r="A59" s="21" t="str">
        <f>VLOOKUP(B59, 'Items Master'!E:F,2,0)</f>
        <v>Import</v>
      </c>
      <c r="B59" s="21" t="s">
        <v>1281</v>
      </c>
      <c r="C59" s="39">
        <f>SUMIFS('&lt;&lt; Working &gt;&gt;'!$J:$J, '&lt;&lt; Working &gt;&gt;'!$D:$D, 'Supplier Wise Monthly'!$B$2, '&lt;&lt; Working &gt;&gt;'!$L:$L, 'Supplier Wise Monthly'!$B59, '&lt;&lt; Working &gt;&gt;'!$N:$N, 'Supplier Wise Monthly'!C$6, '&lt;&lt; Working &gt;&gt;'!$R:$R, 'Supplier Wise Monthly'!$B$1)</f>
        <v>0</v>
      </c>
      <c r="D59" s="39">
        <f>SUMIFS('&lt;&lt; Working &gt;&gt;'!$J:$J, '&lt;&lt; Working &gt;&gt;'!$D:$D, 'Supplier Wise Monthly'!$B$2, '&lt;&lt; Working &gt;&gt;'!$L:$L, 'Supplier Wise Monthly'!$B59, '&lt;&lt; Working &gt;&gt;'!$N:$N, 'Supplier Wise Monthly'!D$6, '&lt;&lt; Working &gt;&gt;'!$R:$R, 'Supplier Wise Monthly'!$B$1)</f>
        <v>0</v>
      </c>
      <c r="E59" s="39">
        <f>SUMIFS('&lt;&lt; Working &gt;&gt;'!$J:$J, '&lt;&lt; Working &gt;&gt;'!$D:$D, 'Supplier Wise Monthly'!$B$2, '&lt;&lt; Working &gt;&gt;'!$L:$L, 'Supplier Wise Monthly'!$B59, '&lt;&lt; Working &gt;&gt;'!$N:$N, 'Supplier Wise Monthly'!E$6, '&lt;&lt; Working &gt;&gt;'!$R:$R, 'Supplier Wise Monthly'!$B$1)</f>
        <v>0</v>
      </c>
      <c r="F59" s="42">
        <f t="shared" si="2"/>
        <v>0</v>
      </c>
    </row>
    <row r="60" spans="1:6" x14ac:dyDescent="0.3">
      <c r="A60" s="21" t="str">
        <f>VLOOKUP(B60, 'Items Master'!E:F,2,0)</f>
        <v>Import</v>
      </c>
      <c r="B60" s="21" t="s">
        <v>41</v>
      </c>
      <c r="C60" s="39">
        <f>SUMIFS('&lt;&lt; Working &gt;&gt;'!$J:$J, '&lt;&lt; Working &gt;&gt;'!$D:$D, 'Supplier Wise Monthly'!$B$2, '&lt;&lt; Working &gt;&gt;'!$L:$L, 'Supplier Wise Monthly'!$B60, '&lt;&lt; Working &gt;&gt;'!$N:$N, 'Supplier Wise Monthly'!C$6, '&lt;&lt; Working &gt;&gt;'!$R:$R, 'Supplier Wise Monthly'!$B$1)</f>
        <v>0</v>
      </c>
      <c r="D60" s="39">
        <f>SUMIFS('&lt;&lt; Working &gt;&gt;'!$J:$J, '&lt;&lt; Working &gt;&gt;'!$D:$D, 'Supplier Wise Monthly'!$B$2, '&lt;&lt; Working &gt;&gt;'!$L:$L, 'Supplier Wise Monthly'!$B60, '&lt;&lt; Working &gt;&gt;'!$N:$N, 'Supplier Wise Monthly'!D$6, '&lt;&lt; Working &gt;&gt;'!$R:$R, 'Supplier Wise Monthly'!$B$1)</f>
        <v>0</v>
      </c>
      <c r="E60" s="39">
        <f>SUMIFS('&lt;&lt; Working &gt;&gt;'!$J:$J, '&lt;&lt; Working &gt;&gt;'!$D:$D, 'Supplier Wise Monthly'!$B$2, '&lt;&lt; Working &gt;&gt;'!$L:$L, 'Supplier Wise Monthly'!$B60, '&lt;&lt; Working &gt;&gt;'!$N:$N, 'Supplier Wise Monthly'!E$6, '&lt;&lt; Working &gt;&gt;'!$R:$R, 'Supplier Wise Monthly'!$B$1)</f>
        <v>0</v>
      </c>
      <c r="F60" s="42">
        <f t="shared" si="2"/>
        <v>0</v>
      </c>
    </row>
    <row r="61" spans="1:6" x14ac:dyDescent="0.3">
      <c r="A61" s="21" t="str">
        <f>VLOOKUP(B61, 'Items Master'!E:F,2,0)</f>
        <v>Domestic</v>
      </c>
      <c r="B61" s="21" t="s">
        <v>1283</v>
      </c>
      <c r="C61" s="39">
        <f>SUMIFS('&lt;&lt; Working &gt;&gt;'!$J:$J, '&lt;&lt; Working &gt;&gt;'!$D:$D, 'Supplier Wise Monthly'!$B$2, '&lt;&lt; Working &gt;&gt;'!$L:$L, 'Supplier Wise Monthly'!$B61, '&lt;&lt; Working &gt;&gt;'!$N:$N, 'Supplier Wise Monthly'!C$6, '&lt;&lt; Working &gt;&gt;'!$R:$R, 'Supplier Wise Monthly'!$B$1)</f>
        <v>0</v>
      </c>
      <c r="D61" s="39">
        <f>SUMIFS('&lt;&lt; Working &gt;&gt;'!$J:$J, '&lt;&lt; Working &gt;&gt;'!$D:$D, 'Supplier Wise Monthly'!$B$2, '&lt;&lt; Working &gt;&gt;'!$L:$L, 'Supplier Wise Monthly'!$B61, '&lt;&lt; Working &gt;&gt;'!$N:$N, 'Supplier Wise Monthly'!D$6, '&lt;&lt; Working &gt;&gt;'!$R:$R, 'Supplier Wise Monthly'!$B$1)</f>
        <v>0</v>
      </c>
      <c r="E61" s="39">
        <f>SUMIFS('&lt;&lt; Working &gt;&gt;'!$J:$J, '&lt;&lt; Working &gt;&gt;'!$D:$D, 'Supplier Wise Monthly'!$B$2, '&lt;&lt; Working &gt;&gt;'!$L:$L, 'Supplier Wise Monthly'!$B61, '&lt;&lt; Working &gt;&gt;'!$N:$N, 'Supplier Wise Monthly'!E$6, '&lt;&lt; Working &gt;&gt;'!$R:$R, 'Supplier Wise Monthly'!$B$1)</f>
        <v>0</v>
      </c>
      <c r="F61" s="42">
        <f t="shared" si="2"/>
        <v>0</v>
      </c>
    </row>
    <row r="62" spans="1:6" x14ac:dyDescent="0.3">
      <c r="A62" s="21" t="str">
        <f>VLOOKUP(B62, 'Items Master'!E:F,2,0)</f>
        <v>Import</v>
      </c>
      <c r="B62" s="21" t="s">
        <v>1285</v>
      </c>
      <c r="C62" s="39">
        <f>SUMIFS('&lt;&lt; Working &gt;&gt;'!$J:$J, '&lt;&lt; Working &gt;&gt;'!$D:$D, 'Supplier Wise Monthly'!$B$2, '&lt;&lt; Working &gt;&gt;'!$L:$L, 'Supplier Wise Monthly'!$B62, '&lt;&lt; Working &gt;&gt;'!$N:$N, 'Supplier Wise Monthly'!C$6, '&lt;&lt; Working &gt;&gt;'!$R:$R, 'Supplier Wise Monthly'!$B$1)</f>
        <v>0</v>
      </c>
      <c r="D62" s="39">
        <f>SUMIFS('&lt;&lt; Working &gt;&gt;'!$J:$J, '&lt;&lt; Working &gt;&gt;'!$D:$D, 'Supplier Wise Monthly'!$B$2, '&lt;&lt; Working &gt;&gt;'!$L:$L, 'Supplier Wise Monthly'!$B62, '&lt;&lt; Working &gt;&gt;'!$N:$N, 'Supplier Wise Monthly'!D$6, '&lt;&lt; Working &gt;&gt;'!$R:$R, 'Supplier Wise Monthly'!$B$1)</f>
        <v>0</v>
      </c>
      <c r="E62" s="39">
        <f>SUMIFS('&lt;&lt; Working &gt;&gt;'!$J:$J, '&lt;&lt; Working &gt;&gt;'!$D:$D, 'Supplier Wise Monthly'!$B$2, '&lt;&lt; Working &gt;&gt;'!$L:$L, 'Supplier Wise Monthly'!$B62, '&lt;&lt; Working &gt;&gt;'!$N:$N, 'Supplier Wise Monthly'!E$6, '&lt;&lt; Working &gt;&gt;'!$R:$R, 'Supplier Wise Monthly'!$B$1)</f>
        <v>0</v>
      </c>
      <c r="F62" s="42">
        <f t="shared" si="2"/>
        <v>0</v>
      </c>
    </row>
    <row r="63" spans="1:6" x14ac:dyDescent="0.3">
      <c r="A63" s="21" t="str">
        <f>VLOOKUP(B63, 'Items Master'!E:F,2,0)</f>
        <v>Import</v>
      </c>
      <c r="B63" s="21" t="s">
        <v>1286</v>
      </c>
      <c r="C63" s="39">
        <f>SUMIFS('&lt;&lt; Working &gt;&gt;'!$J:$J, '&lt;&lt; Working &gt;&gt;'!$D:$D, 'Supplier Wise Monthly'!$B$2, '&lt;&lt; Working &gt;&gt;'!$L:$L, 'Supplier Wise Monthly'!$B63, '&lt;&lt; Working &gt;&gt;'!$N:$N, 'Supplier Wise Monthly'!C$6, '&lt;&lt; Working &gt;&gt;'!$R:$R, 'Supplier Wise Monthly'!$B$1)</f>
        <v>0</v>
      </c>
      <c r="D63" s="39">
        <f>SUMIFS('&lt;&lt; Working &gt;&gt;'!$J:$J, '&lt;&lt; Working &gt;&gt;'!$D:$D, 'Supplier Wise Monthly'!$B$2, '&lt;&lt; Working &gt;&gt;'!$L:$L, 'Supplier Wise Monthly'!$B63, '&lt;&lt; Working &gt;&gt;'!$N:$N, 'Supplier Wise Monthly'!D$6, '&lt;&lt; Working &gt;&gt;'!$R:$R, 'Supplier Wise Monthly'!$B$1)</f>
        <v>0</v>
      </c>
      <c r="E63" s="39">
        <f>SUMIFS('&lt;&lt; Working &gt;&gt;'!$J:$J, '&lt;&lt; Working &gt;&gt;'!$D:$D, 'Supplier Wise Monthly'!$B$2, '&lt;&lt; Working &gt;&gt;'!$L:$L, 'Supplier Wise Monthly'!$B63, '&lt;&lt; Working &gt;&gt;'!$N:$N, 'Supplier Wise Monthly'!E$6, '&lt;&lt; Working &gt;&gt;'!$R:$R, 'Supplier Wise Monthly'!$B$1)</f>
        <v>0</v>
      </c>
      <c r="F63" s="42">
        <f t="shared" si="2"/>
        <v>0</v>
      </c>
    </row>
    <row r="64" spans="1:6" x14ac:dyDescent="0.3">
      <c r="A64" s="21" t="str">
        <f>VLOOKUP(B64, 'Items Master'!E:F,2,0)</f>
        <v>Import</v>
      </c>
      <c r="B64" s="21" t="s">
        <v>1287</v>
      </c>
      <c r="C64" s="39">
        <f>SUMIFS('&lt;&lt; Working &gt;&gt;'!$J:$J, '&lt;&lt; Working &gt;&gt;'!$D:$D, 'Supplier Wise Monthly'!$B$2, '&lt;&lt; Working &gt;&gt;'!$L:$L, 'Supplier Wise Monthly'!$B64, '&lt;&lt; Working &gt;&gt;'!$N:$N, 'Supplier Wise Monthly'!C$6, '&lt;&lt; Working &gt;&gt;'!$R:$R, 'Supplier Wise Monthly'!$B$1)</f>
        <v>0</v>
      </c>
      <c r="D64" s="39">
        <f>SUMIFS('&lt;&lt; Working &gt;&gt;'!$J:$J, '&lt;&lt; Working &gt;&gt;'!$D:$D, 'Supplier Wise Monthly'!$B$2, '&lt;&lt; Working &gt;&gt;'!$L:$L, 'Supplier Wise Monthly'!$B64, '&lt;&lt; Working &gt;&gt;'!$N:$N, 'Supplier Wise Monthly'!D$6, '&lt;&lt; Working &gt;&gt;'!$R:$R, 'Supplier Wise Monthly'!$B$1)</f>
        <v>0</v>
      </c>
      <c r="E64" s="39">
        <f>SUMIFS('&lt;&lt; Working &gt;&gt;'!$J:$J, '&lt;&lt; Working &gt;&gt;'!$D:$D, 'Supplier Wise Monthly'!$B$2, '&lt;&lt; Working &gt;&gt;'!$L:$L, 'Supplier Wise Monthly'!$B64, '&lt;&lt; Working &gt;&gt;'!$N:$N, 'Supplier Wise Monthly'!E$6, '&lt;&lt; Working &gt;&gt;'!$R:$R, 'Supplier Wise Monthly'!$B$1)</f>
        <v>0</v>
      </c>
      <c r="F64" s="42">
        <f t="shared" si="2"/>
        <v>0</v>
      </c>
    </row>
    <row r="65" spans="1:6" x14ac:dyDescent="0.3">
      <c r="A65" s="21" t="str">
        <f>VLOOKUP(B65, 'Items Master'!E:F,2,0)</f>
        <v>Import</v>
      </c>
      <c r="B65" s="21" t="s">
        <v>1288</v>
      </c>
      <c r="C65" s="39">
        <f>SUMIFS('&lt;&lt; Working &gt;&gt;'!$J:$J, '&lt;&lt; Working &gt;&gt;'!$D:$D, 'Supplier Wise Monthly'!$B$2, '&lt;&lt; Working &gt;&gt;'!$L:$L, 'Supplier Wise Monthly'!$B65, '&lt;&lt; Working &gt;&gt;'!$N:$N, 'Supplier Wise Monthly'!C$6, '&lt;&lt; Working &gt;&gt;'!$R:$R, 'Supplier Wise Monthly'!$B$1)</f>
        <v>0</v>
      </c>
      <c r="D65" s="39">
        <f>SUMIFS('&lt;&lt; Working &gt;&gt;'!$J:$J, '&lt;&lt; Working &gt;&gt;'!$D:$D, 'Supplier Wise Monthly'!$B$2, '&lt;&lt; Working &gt;&gt;'!$L:$L, 'Supplier Wise Monthly'!$B65, '&lt;&lt; Working &gt;&gt;'!$N:$N, 'Supplier Wise Monthly'!D$6, '&lt;&lt; Working &gt;&gt;'!$R:$R, 'Supplier Wise Monthly'!$B$1)</f>
        <v>0</v>
      </c>
      <c r="E65" s="39">
        <f>SUMIFS('&lt;&lt; Working &gt;&gt;'!$J:$J, '&lt;&lt; Working &gt;&gt;'!$D:$D, 'Supplier Wise Monthly'!$B$2, '&lt;&lt; Working &gt;&gt;'!$L:$L, 'Supplier Wise Monthly'!$B65, '&lt;&lt; Working &gt;&gt;'!$N:$N, 'Supplier Wise Monthly'!E$6, '&lt;&lt; Working &gt;&gt;'!$R:$R, 'Supplier Wise Monthly'!$B$1)</f>
        <v>0</v>
      </c>
      <c r="F65" s="42">
        <f t="shared" si="2"/>
        <v>0</v>
      </c>
    </row>
    <row r="66" spans="1:6" x14ac:dyDescent="0.3">
      <c r="A66" s="21" t="str">
        <f>VLOOKUP(B66, 'Items Master'!E:F,2,0)</f>
        <v>Import</v>
      </c>
      <c r="B66" s="21" t="s">
        <v>1291</v>
      </c>
      <c r="C66" s="39">
        <f>SUMIFS('&lt;&lt; Working &gt;&gt;'!$J:$J, '&lt;&lt; Working &gt;&gt;'!$D:$D, 'Supplier Wise Monthly'!$B$2, '&lt;&lt; Working &gt;&gt;'!$L:$L, 'Supplier Wise Monthly'!$B66, '&lt;&lt; Working &gt;&gt;'!$N:$N, 'Supplier Wise Monthly'!C$6, '&lt;&lt; Working &gt;&gt;'!$R:$R, 'Supplier Wise Monthly'!$B$1)</f>
        <v>0</v>
      </c>
      <c r="D66" s="39">
        <f>SUMIFS('&lt;&lt; Working &gt;&gt;'!$J:$J, '&lt;&lt; Working &gt;&gt;'!$D:$D, 'Supplier Wise Monthly'!$B$2, '&lt;&lt; Working &gt;&gt;'!$L:$L, 'Supplier Wise Monthly'!$B66, '&lt;&lt; Working &gt;&gt;'!$N:$N, 'Supplier Wise Monthly'!D$6, '&lt;&lt; Working &gt;&gt;'!$R:$R, 'Supplier Wise Monthly'!$B$1)</f>
        <v>0</v>
      </c>
      <c r="E66" s="39">
        <f>SUMIFS('&lt;&lt; Working &gt;&gt;'!$J:$J, '&lt;&lt; Working &gt;&gt;'!$D:$D, 'Supplier Wise Monthly'!$B$2, '&lt;&lt; Working &gt;&gt;'!$L:$L, 'Supplier Wise Monthly'!$B66, '&lt;&lt; Working &gt;&gt;'!$N:$N, 'Supplier Wise Monthly'!E$6, '&lt;&lt; Working &gt;&gt;'!$R:$R, 'Supplier Wise Monthly'!$B$1)</f>
        <v>0</v>
      </c>
      <c r="F66" s="42">
        <f t="shared" si="2"/>
        <v>0</v>
      </c>
    </row>
  </sheetData>
  <autoFilter ref="A6:F66" xr:uid="{ADEFB53A-148B-457E-882F-452913DF5A7C}"/>
  <dataValidations count="1">
    <dataValidation type="list" allowBlank="1" showInputMessage="1" showErrorMessage="1" sqref="B3" xr:uid="{D0391245-6A59-44EC-9AAD-86F9B879FC12}">
      <formula1>$L$14:$L$22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CDE7E6-91E3-41FB-993C-FF43E0DEAC73}">
          <x14:formula1>
            <xm:f>Dropdown!$C$2:$C$13</xm:f>
          </x14:formula1>
          <xm:sqref>B1</xm:sqref>
        </x14:dataValidation>
        <x14:dataValidation type="list" allowBlank="1" showInputMessage="1" showErrorMessage="1" xr:uid="{AE19ACC2-F941-4D24-BA1B-66A07B2A4562}">
          <x14:formula1>
            <xm:f>Dropdown!$A$2:$A$25</xm:f>
          </x14:formula1>
          <xm:sqref>B2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700D-FFDF-4EA4-9C9B-FBF4599C2E77}">
  <sheetPr filterMode="1"/>
  <dimension ref="A1:Q66"/>
  <sheetViews>
    <sheetView workbookViewId="0">
      <selection activeCell="B1" sqref="B1"/>
    </sheetView>
  </sheetViews>
  <sheetFormatPr defaultRowHeight="14.4" x14ac:dyDescent="0.3"/>
  <cols>
    <col min="1" max="1" width="13.44140625" bestFit="1" customWidth="1"/>
    <col min="2" max="2" width="10.77734375" bestFit="1" customWidth="1"/>
    <col min="3" max="3" width="9" bestFit="1" customWidth="1"/>
    <col min="4" max="8" width="9.88671875" bestFit="1" customWidth="1"/>
    <col min="9" max="14" width="9" bestFit="1" customWidth="1"/>
    <col min="15" max="15" width="11.33203125" bestFit="1" customWidth="1"/>
  </cols>
  <sheetData>
    <row r="1" spans="1:17" x14ac:dyDescent="0.3">
      <c r="A1" s="10" t="s">
        <v>1334</v>
      </c>
      <c r="B1" t="s">
        <v>48</v>
      </c>
      <c r="O1" s="4">
        <f>SUMIFS('&lt;&lt; Working &gt;&gt;'!J:J, '&lt;&lt; Working &gt;&gt;'!D:D, 'Supplier Wise Yearly'!B1, '&lt;&lt; Working &gt;&gt;'!N:N, 'Supplier Wise Yearly'!B2)-O4</f>
        <v>0</v>
      </c>
      <c r="P1" s="44" t="s">
        <v>1331</v>
      </c>
    </row>
    <row r="2" spans="1:17" x14ac:dyDescent="0.3">
      <c r="A2" s="10" t="s">
        <v>4</v>
      </c>
      <c r="B2" t="s">
        <v>49</v>
      </c>
    </row>
    <row r="4" spans="1:17" x14ac:dyDescent="0.3">
      <c r="C4" s="37">
        <f>SUM(C7:C66)</f>
        <v>7750</v>
      </c>
      <c r="D4" s="37">
        <f t="shared" ref="D4:N4" si="0">SUM(D7:D66)</f>
        <v>163750</v>
      </c>
      <c r="E4" s="37">
        <f t="shared" si="0"/>
        <v>79500</v>
      </c>
      <c r="F4" s="37">
        <f t="shared" si="0"/>
        <v>136250</v>
      </c>
      <c r="G4" s="37">
        <f t="shared" si="0"/>
        <v>133000</v>
      </c>
      <c r="H4" s="37">
        <f t="shared" si="0"/>
        <v>142500</v>
      </c>
      <c r="I4" s="37">
        <f t="shared" si="0"/>
        <v>211750</v>
      </c>
      <c r="J4" s="37">
        <f t="shared" si="0"/>
        <v>69500</v>
      </c>
      <c r="K4" s="37">
        <f t="shared" si="0"/>
        <v>0</v>
      </c>
      <c r="L4" s="37">
        <f t="shared" si="0"/>
        <v>0</v>
      </c>
      <c r="M4" s="37">
        <f t="shared" si="0"/>
        <v>0</v>
      </c>
      <c r="N4" s="37">
        <f t="shared" si="0"/>
        <v>0</v>
      </c>
      <c r="O4" s="48">
        <f>SUM(C4:N4)</f>
        <v>944000</v>
      </c>
      <c r="P4" t="s">
        <v>37</v>
      </c>
    </row>
    <row r="5" spans="1:17" x14ac:dyDescent="0.3">
      <c r="C5" s="38">
        <f>SUBTOTAL(9, C7:C66)</f>
        <v>7750</v>
      </c>
      <c r="D5" s="38">
        <f t="shared" ref="D5:N5" si="1">SUBTOTAL(9, D7:D66)</f>
        <v>163750</v>
      </c>
      <c r="E5" s="38">
        <f t="shared" si="1"/>
        <v>79500</v>
      </c>
      <c r="F5" s="38">
        <f t="shared" si="1"/>
        <v>136250</v>
      </c>
      <c r="G5" s="38">
        <f t="shared" si="1"/>
        <v>133000</v>
      </c>
      <c r="H5" s="38">
        <f t="shared" si="1"/>
        <v>142500</v>
      </c>
      <c r="I5" s="38">
        <f t="shared" si="1"/>
        <v>211750</v>
      </c>
      <c r="J5" s="38">
        <f t="shared" si="1"/>
        <v>69500</v>
      </c>
      <c r="K5" s="38">
        <f t="shared" si="1"/>
        <v>0</v>
      </c>
      <c r="L5" s="38">
        <f t="shared" si="1"/>
        <v>0</v>
      </c>
      <c r="M5" s="38">
        <f t="shared" si="1"/>
        <v>0</v>
      </c>
      <c r="N5" s="38">
        <f t="shared" si="1"/>
        <v>0</v>
      </c>
      <c r="O5" s="45">
        <f>SUM(C5:N5)</f>
        <v>944000</v>
      </c>
      <c r="P5" t="s">
        <v>1333</v>
      </c>
    </row>
    <row r="6" spans="1:17" x14ac:dyDescent="0.3">
      <c r="A6" s="23" t="s">
        <v>4</v>
      </c>
      <c r="B6" s="23" t="s">
        <v>2</v>
      </c>
      <c r="C6" s="47">
        <v>45748</v>
      </c>
      <c r="D6" s="47">
        <v>45778</v>
      </c>
      <c r="E6" s="47">
        <v>45809</v>
      </c>
      <c r="F6" s="47">
        <v>45839</v>
      </c>
      <c r="G6" s="47">
        <v>45870</v>
      </c>
      <c r="H6" s="47">
        <v>45901</v>
      </c>
      <c r="I6" s="47">
        <v>45931</v>
      </c>
      <c r="J6" s="47">
        <v>45962</v>
      </c>
      <c r="K6" s="47">
        <v>45992</v>
      </c>
      <c r="L6" s="47">
        <v>46023</v>
      </c>
      <c r="M6" s="47">
        <v>46054</v>
      </c>
      <c r="N6" s="47">
        <v>46082</v>
      </c>
      <c r="O6" s="23" t="s">
        <v>37</v>
      </c>
      <c r="Q6" s="10" t="s">
        <v>1335</v>
      </c>
    </row>
    <row r="7" spans="1:17" hidden="1" x14ac:dyDescent="0.3">
      <c r="A7" s="21" t="str">
        <f>VLOOKUP(B7, 'Items Master'!E:F,2,0)</f>
        <v>Domestic</v>
      </c>
      <c r="B7" s="21" t="s">
        <v>1026</v>
      </c>
      <c r="C7" s="39">
        <f>SUMIFS('&lt;&lt; Working &gt;&gt;'!$J:$J, '&lt;&lt; Working &gt;&gt;'!$D:$D, 'Supplier Wise Yearly'!$B$1, '&lt;&lt; Working &gt;&gt;'!$R:$R, 'Supplier Wise Yearly'!C$6, '&lt;&lt; Working &gt;&gt;'!$L:$L, 'Supplier Wise Yearly'!$B7, '&lt;&lt; Working &gt;&gt;'!$N:$N, 'Supplier Wise Yearly'!$B$2)</f>
        <v>0</v>
      </c>
      <c r="D7" s="39">
        <f>SUMIFS('&lt;&lt; Working &gt;&gt;'!$J:$J, '&lt;&lt; Working &gt;&gt;'!$D:$D, 'Supplier Wise Yearly'!$B$1, '&lt;&lt; Working &gt;&gt;'!$R:$R, 'Supplier Wise Yearly'!D$6, '&lt;&lt; Working &gt;&gt;'!$L:$L, 'Supplier Wise Yearly'!$B7, '&lt;&lt; Working &gt;&gt;'!$N:$N, 'Supplier Wise Yearly'!$B$2)</f>
        <v>0</v>
      </c>
      <c r="E7" s="39">
        <f>SUMIFS('&lt;&lt; Working &gt;&gt;'!$J:$J, '&lt;&lt; Working &gt;&gt;'!$D:$D, 'Supplier Wise Yearly'!$B$1, '&lt;&lt; Working &gt;&gt;'!$R:$R, 'Supplier Wise Yearly'!E$6, '&lt;&lt; Working &gt;&gt;'!$L:$L, 'Supplier Wise Yearly'!$B7, '&lt;&lt; Working &gt;&gt;'!$N:$N, 'Supplier Wise Yearly'!$B$2)</f>
        <v>0</v>
      </c>
      <c r="F7" s="39">
        <f>SUMIFS('&lt;&lt; Working &gt;&gt;'!$J:$J, '&lt;&lt; Working &gt;&gt;'!$D:$D, 'Supplier Wise Yearly'!$B$1, '&lt;&lt; Working &gt;&gt;'!$R:$R, 'Supplier Wise Yearly'!F$6, '&lt;&lt; Working &gt;&gt;'!$L:$L, 'Supplier Wise Yearly'!$B7, '&lt;&lt; Working &gt;&gt;'!$N:$N, 'Supplier Wise Yearly'!$B$2)</f>
        <v>0</v>
      </c>
      <c r="G7" s="39">
        <f>SUMIFS('&lt;&lt; Working &gt;&gt;'!$J:$J, '&lt;&lt; Working &gt;&gt;'!$D:$D, 'Supplier Wise Yearly'!$B$1, '&lt;&lt; Working &gt;&gt;'!$R:$R, 'Supplier Wise Yearly'!G$6, '&lt;&lt; Working &gt;&gt;'!$L:$L, 'Supplier Wise Yearly'!$B7, '&lt;&lt; Working &gt;&gt;'!$N:$N, 'Supplier Wise Yearly'!$B$2)</f>
        <v>0</v>
      </c>
      <c r="H7" s="39">
        <f>SUMIFS('&lt;&lt; Working &gt;&gt;'!$J:$J, '&lt;&lt; Working &gt;&gt;'!$D:$D, 'Supplier Wise Yearly'!$B$1, '&lt;&lt; Working &gt;&gt;'!$R:$R, 'Supplier Wise Yearly'!H$6, '&lt;&lt; Working &gt;&gt;'!$L:$L, 'Supplier Wise Yearly'!$B7, '&lt;&lt; Working &gt;&gt;'!$N:$N, 'Supplier Wise Yearly'!$B$2)</f>
        <v>0</v>
      </c>
      <c r="I7" s="39">
        <f>SUMIFS('&lt;&lt; Working &gt;&gt;'!$J:$J, '&lt;&lt; Working &gt;&gt;'!$D:$D, 'Supplier Wise Yearly'!$B$1, '&lt;&lt; Working &gt;&gt;'!$R:$R, 'Supplier Wise Yearly'!I$6, '&lt;&lt; Working &gt;&gt;'!$L:$L, 'Supplier Wise Yearly'!$B7, '&lt;&lt; Working &gt;&gt;'!$N:$N, 'Supplier Wise Yearly'!$B$2)</f>
        <v>0</v>
      </c>
      <c r="J7" s="39">
        <f>SUMIFS('&lt;&lt; Working &gt;&gt;'!$J:$J, '&lt;&lt; Working &gt;&gt;'!$D:$D, 'Supplier Wise Yearly'!$B$1, '&lt;&lt; Working &gt;&gt;'!$R:$R, 'Supplier Wise Yearly'!J$6, '&lt;&lt; Working &gt;&gt;'!$L:$L, 'Supplier Wise Yearly'!$B7, '&lt;&lt; Working &gt;&gt;'!$N:$N, 'Supplier Wise Yearly'!$B$2)</f>
        <v>0</v>
      </c>
      <c r="K7" s="39">
        <f>SUMIFS('&lt;&lt; Working &gt;&gt;'!$J:$J, '&lt;&lt; Working &gt;&gt;'!$D:$D, 'Supplier Wise Yearly'!$B$1, '&lt;&lt; Working &gt;&gt;'!$R:$R, 'Supplier Wise Yearly'!K$6, '&lt;&lt; Working &gt;&gt;'!$L:$L, 'Supplier Wise Yearly'!$B7, '&lt;&lt; Working &gt;&gt;'!$N:$N, 'Supplier Wise Yearly'!$B$2)</f>
        <v>0</v>
      </c>
      <c r="L7" s="39">
        <f>SUMIFS('&lt;&lt; Working &gt;&gt;'!$J:$J, '&lt;&lt; Working &gt;&gt;'!$D:$D, 'Supplier Wise Yearly'!$B$1, '&lt;&lt; Working &gt;&gt;'!$R:$R, 'Supplier Wise Yearly'!L$6, '&lt;&lt; Working &gt;&gt;'!$L:$L, 'Supplier Wise Yearly'!$B7, '&lt;&lt; Working &gt;&gt;'!$N:$N, 'Supplier Wise Yearly'!$B$2)</f>
        <v>0</v>
      </c>
      <c r="M7" s="39">
        <f>SUMIFS('&lt;&lt; Working &gt;&gt;'!$J:$J, '&lt;&lt; Working &gt;&gt;'!$D:$D, 'Supplier Wise Yearly'!$B$1, '&lt;&lt; Working &gt;&gt;'!$R:$R, 'Supplier Wise Yearly'!M$6, '&lt;&lt; Working &gt;&gt;'!$L:$L, 'Supplier Wise Yearly'!$B7, '&lt;&lt; Working &gt;&gt;'!$N:$N, 'Supplier Wise Yearly'!$B$2)</f>
        <v>0</v>
      </c>
      <c r="N7" s="39">
        <f>SUMIFS('&lt;&lt; Working &gt;&gt;'!$J:$J, '&lt;&lt; Working &gt;&gt;'!$D:$D, 'Supplier Wise Yearly'!$B$1, '&lt;&lt; Working &gt;&gt;'!$R:$R, 'Supplier Wise Yearly'!N$6, '&lt;&lt; Working &gt;&gt;'!$L:$L, 'Supplier Wise Yearly'!$B7, '&lt;&lt; Working &gt;&gt;'!$N:$N, 'Supplier Wise Yearly'!$B$2)</f>
        <v>0</v>
      </c>
      <c r="O7" s="39">
        <f>SUM(C7:N7)</f>
        <v>0</v>
      </c>
      <c r="Q7" t="str">
        <f>IF(O7&gt;0, "Yes", "No")</f>
        <v>No</v>
      </c>
    </row>
    <row r="8" spans="1:17" hidden="1" x14ac:dyDescent="0.3">
      <c r="A8" s="21" t="str">
        <f>VLOOKUP(B8, 'Items Master'!E:F,2,0)</f>
        <v>Domestic</v>
      </c>
      <c r="B8" s="21" t="s">
        <v>43</v>
      </c>
      <c r="C8" s="39">
        <f>SUMIFS('&lt;&lt; Working &gt;&gt;'!$J:$J, '&lt;&lt; Working &gt;&gt;'!$D:$D, 'Supplier Wise Yearly'!$B$1, '&lt;&lt; Working &gt;&gt;'!$R:$R, 'Supplier Wise Yearly'!C$6, '&lt;&lt; Working &gt;&gt;'!$L:$L, 'Supplier Wise Yearly'!$B8, '&lt;&lt; Working &gt;&gt;'!$N:$N, 'Supplier Wise Yearly'!$B$2)</f>
        <v>0</v>
      </c>
      <c r="D8" s="39">
        <f>SUMIFS('&lt;&lt; Working &gt;&gt;'!$J:$J, '&lt;&lt; Working &gt;&gt;'!$D:$D, 'Supplier Wise Yearly'!$B$1, '&lt;&lt; Working &gt;&gt;'!$R:$R, 'Supplier Wise Yearly'!D$6, '&lt;&lt; Working &gt;&gt;'!$L:$L, 'Supplier Wise Yearly'!$B8, '&lt;&lt; Working &gt;&gt;'!$N:$N, 'Supplier Wise Yearly'!$B$2)</f>
        <v>0</v>
      </c>
      <c r="E8" s="39">
        <f>SUMIFS('&lt;&lt; Working &gt;&gt;'!$J:$J, '&lt;&lt; Working &gt;&gt;'!$D:$D, 'Supplier Wise Yearly'!$B$1, '&lt;&lt; Working &gt;&gt;'!$R:$R, 'Supplier Wise Yearly'!E$6, '&lt;&lt; Working &gt;&gt;'!$L:$L, 'Supplier Wise Yearly'!$B8, '&lt;&lt; Working &gt;&gt;'!$N:$N, 'Supplier Wise Yearly'!$B$2)</f>
        <v>0</v>
      </c>
      <c r="F8" s="39">
        <f>SUMIFS('&lt;&lt; Working &gt;&gt;'!$J:$J, '&lt;&lt; Working &gt;&gt;'!$D:$D, 'Supplier Wise Yearly'!$B$1, '&lt;&lt; Working &gt;&gt;'!$R:$R, 'Supplier Wise Yearly'!F$6, '&lt;&lt; Working &gt;&gt;'!$L:$L, 'Supplier Wise Yearly'!$B8, '&lt;&lt; Working &gt;&gt;'!$N:$N, 'Supplier Wise Yearly'!$B$2)</f>
        <v>0</v>
      </c>
      <c r="G8" s="39">
        <f>SUMIFS('&lt;&lt; Working &gt;&gt;'!$J:$J, '&lt;&lt; Working &gt;&gt;'!$D:$D, 'Supplier Wise Yearly'!$B$1, '&lt;&lt; Working &gt;&gt;'!$R:$R, 'Supplier Wise Yearly'!G$6, '&lt;&lt; Working &gt;&gt;'!$L:$L, 'Supplier Wise Yearly'!$B8, '&lt;&lt; Working &gt;&gt;'!$N:$N, 'Supplier Wise Yearly'!$B$2)</f>
        <v>0</v>
      </c>
      <c r="H8" s="39">
        <f>SUMIFS('&lt;&lt; Working &gt;&gt;'!$J:$J, '&lt;&lt; Working &gt;&gt;'!$D:$D, 'Supplier Wise Yearly'!$B$1, '&lt;&lt; Working &gt;&gt;'!$R:$R, 'Supplier Wise Yearly'!H$6, '&lt;&lt; Working &gt;&gt;'!$L:$L, 'Supplier Wise Yearly'!$B8, '&lt;&lt; Working &gt;&gt;'!$N:$N, 'Supplier Wise Yearly'!$B$2)</f>
        <v>0</v>
      </c>
      <c r="I8" s="39">
        <f>SUMIFS('&lt;&lt; Working &gt;&gt;'!$J:$J, '&lt;&lt; Working &gt;&gt;'!$D:$D, 'Supplier Wise Yearly'!$B$1, '&lt;&lt; Working &gt;&gt;'!$R:$R, 'Supplier Wise Yearly'!I$6, '&lt;&lt; Working &gt;&gt;'!$L:$L, 'Supplier Wise Yearly'!$B8, '&lt;&lt; Working &gt;&gt;'!$N:$N, 'Supplier Wise Yearly'!$B$2)</f>
        <v>0</v>
      </c>
      <c r="J8" s="39">
        <f>SUMIFS('&lt;&lt; Working &gt;&gt;'!$J:$J, '&lt;&lt; Working &gt;&gt;'!$D:$D, 'Supplier Wise Yearly'!$B$1, '&lt;&lt; Working &gt;&gt;'!$R:$R, 'Supplier Wise Yearly'!J$6, '&lt;&lt; Working &gt;&gt;'!$L:$L, 'Supplier Wise Yearly'!$B8, '&lt;&lt; Working &gt;&gt;'!$N:$N, 'Supplier Wise Yearly'!$B$2)</f>
        <v>0</v>
      </c>
      <c r="K8" s="39">
        <f>SUMIFS('&lt;&lt; Working &gt;&gt;'!$J:$J, '&lt;&lt; Working &gt;&gt;'!$D:$D, 'Supplier Wise Yearly'!$B$1, '&lt;&lt; Working &gt;&gt;'!$R:$R, 'Supplier Wise Yearly'!K$6, '&lt;&lt; Working &gt;&gt;'!$L:$L, 'Supplier Wise Yearly'!$B8, '&lt;&lt; Working &gt;&gt;'!$N:$N, 'Supplier Wise Yearly'!$B$2)</f>
        <v>0</v>
      </c>
      <c r="L8" s="39">
        <f>SUMIFS('&lt;&lt; Working &gt;&gt;'!$J:$J, '&lt;&lt; Working &gt;&gt;'!$D:$D, 'Supplier Wise Yearly'!$B$1, '&lt;&lt; Working &gt;&gt;'!$R:$R, 'Supplier Wise Yearly'!L$6, '&lt;&lt; Working &gt;&gt;'!$L:$L, 'Supplier Wise Yearly'!$B8, '&lt;&lt; Working &gt;&gt;'!$N:$N, 'Supplier Wise Yearly'!$B$2)</f>
        <v>0</v>
      </c>
      <c r="M8" s="39">
        <f>SUMIFS('&lt;&lt; Working &gt;&gt;'!$J:$J, '&lt;&lt; Working &gt;&gt;'!$D:$D, 'Supplier Wise Yearly'!$B$1, '&lt;&lt; Working &gt;&gt;'!$R:$R, 'Supplier Wise Yearly'!M$6, '&lt;&lt; Working &gt;&gt;'!$L:$L, 'Supplier Wise Yearly'!$B8, '&lt;&lt; Working &gt;&gt;'!$N:$N, 'Supplier Wise Yearly'!$B$2)</f>
        <v>0</v>
      </c>
      <c r="N8" s="39">
        <f>SUMIFS('&lt;&lt; Working &gt;&gt;'!$J:$J, '&lt;&lt; Working &gt;&gt;'!$D:$D, 'Supplier Wise Yearly'!$B$1, '&lt;&lt; Working &gt;&gt;'!$R:$R, 'Supplier Wise Yearly'!N$6, '&lt;&lt; Working &gt;&gt;'!$L:$L, 'Supplier Wise Yearly'!$B8, '&lt;&lt; Working &gt;&gt;'!$N:$N, 'Supplier Wise Yearly'!$B$2)</f>
        <v>0</v>
      </c>
      <c r="O8" s="39">
        <f t="shared" ref="O8:O66" si="2">SUM(C8:N8)</f>
        <v>0</v>
      </c>
      <c r="Q8" t="str">
        <f t="shared" ref="Q8:Q66" si="3">IF(O8&gt;0, "Yes", "No")</f>
        <v>No</v>
      </c>
    </row>
    <row r="9" spans="1:17" x14ac:dyDescent="0.3">
      <c r="A9" s="21" t="str">
        <f>VLOOKUP(B9, 'Items Master'!E:F,2,0)</f>
        <v>Domestic</v>
      </c>
      <c r="B9" s="21" t="s">
        <v>38</v>
      </c>
      <c r="C9" s="39">
        <f>SUMIFS('&lt;&lt; Working &gt;&gt;'!$J:$J, '&lt;&lt; Working &gt;&gt;'!$D:$D, 'Supplier Wise Yearly'!$B$1, '&lt;&lt; Working &gt;&gt;'!$R:$R, 'Supplier Wise Yearly'!C$6, '&lt;&lt; Working &gt;&gt;'!$L:$L, 'Supplier Wise Yearly'!$B9, '&lt;&lt; Working &gt;&gt;'!$N:$N, 'Supplier Wise Yearly'!$B$2)</f>
        <v>6750</v>
      </c>
      <c r="D9" s="39">
        <f>SUMIFS('&lt;&lt; Working &gt;&gt;'!$J:$J, '&lt;&lt; Working &gt;&gt;'!$D:$D, 'Supplier Wise Yearly'!$B$1, '&lt;&lt; Working &gt;&gt;'!$R:$R, 'Supplier Wise Yearly'!D$6, '&lt;&lt; Working &gt;&gt;'!$L:$L, 'Supplier Wise Yearly'!$B9, '&lt;&lt; Working &gt;&gt;'!$N:$N, 'Supplier Wise Yearly'!$B$2)</f>
        <v>72250</v>
      </c>
      <c r="E9" s="39">
        <f>SUMIFS('&lt;&lt; Working &gt;&gt;'!$J:$J, '&lt;&lt; Working &gt;&gt;'!$D:$D, 'Supplier Wise Yearly'!$B$1, '&lt;&lt; Working &gt;&gt;'!$R:$R, 'Supplier Wise Yearly'!E$6, '&lt;&lt; Working &gt;&gt;'!$L:$L, 'Supplier Wise Yearly'!$B9, '&lt;&lt; Working &gt;&gt;'!$N:$N, 'Supplier Wise Yearly'!$B$2)</f>
        <v>53500</v>
      </c>
      <c r="F9" s="39">
        <f>SUMIFS('&lt;&lt; Working &gt;&gt;'!$J:$J, '&lt;&lt; Working &gt;&gt;'!$D:$D, 'Supplier Wise Yearly'!$B$1, '&lt;&lt; Working &gt;&gt;'!$R:$R, 'Supplier Wise Yearly'!F$6, '&lt;&lt; Working &gt;&gt;'!$L:$L, 'Supplier Wise Yearly'!$B9, '&lt;&lt; Working &gt;&gt;'!$N:$N, 'Supplier Wise Yearly'!$B$2)</f>
        <v>58000</v>
      </c>
      <c r="G9" s="39">
        <f>SUMIFS('&lt;&lt; Working &gt;&gt;'!$J:$J, '&lt;&lt; Working &gt;&gt;'!$D:$D, 'Supplier Wise Yearly'!$B$1, '&lt;&lt; Working &gt;&gt;'!$R:$R, 'Supplier Wise Yearly'!G$6, '&lt;&lt; Working &gt;&gt;'!$L:$L, 'Supplier Wise Yearly'!$B9, '&lt;&lt; Working &gt;&gt;'!$N:$N, 'Supplier Wise Yearly'!$B$2)</f>
        <v>55500</v>
      </c>
      <c r="H9" s="39">
        <f>SUMIFS('&lt;&lt; Working &gt;&gt;'!$J:$J, '&lt;&lt; Working &gt;&gt;'!$D:$D, 'Supplier Wise Yearly'!$B$1, '&lt;&lt; Working &gt;&gt;'!$R:$R, 'Supplier Wise Yearly'!H$6, '&lt;&lt; Working &gt;&gt;'!$L:$L, 'Supplier Wise Yearly'!$B9, '&lt;&lt; Working &gt;&gt;'!$N:$N, 'Supplier Wise Yearly'!$B$2)</f>
        <v>49500</v>
      </c>
      <c r="I9" s="39">
        <f>SUMIFS('&lt;&lt; Working &gt;&gt;'!$J:$J, '&lt;&lt; Working &gt;&gt;'!$D:$D, 'Supplier Wise Yearly'!$B$1, '&lt;&lt; Working &gt;&gt;'!$R:$R, 'Supplier Wise Yearly'!I$6, '&lt;&lt; Working &gt;&gt;'!$L:$L, 'Supplier Wise Yearly'!$B9, '&lt;&lt; Working &gt;&gt;'!$N:$N, 'Supplier Wise Yearly'!$B$2)</f>
        <v>79250</v>
      </c>
      <c r="J9" s="39">
        <f>SUMIFS('&lt;&lt; Working &gt;&gt;'!$J:$J, '&lt;&lt; Working &gt;&gt;'!$D:$D, 'Supplier Wise Yearly'!$B$1, '&lt;&lt; Working &gt;&gt;'!$R:$R, 'Supplier Wise Yearly'!J$6, '&lt;&lt; Working &gt;&gt;'!$L:$L, 'Supplier Wise Yearly'!$B9, '&lt;&lt; Working &gt;&gt;'!$N:$N, 'Supplier Wise Yearly'!$B$2)</f>
        <v>40000</v>
      </c>
      <c r="K9" s="39">
        <f>SUMIFS('&lt;&lt; Working &gt;&gt;'!$J:$J, '&lt;&lt; Working &gt;&gt;'!$D:$D, 'Supplier Wise Yearly'!$B$1, '&lt;&lt; Working &gt;&gt;'!$R:$R, 'Supplier Wise Yearly'!K$6, '&lt;&lt; Working &gt;&gt;'!$L:$L, 'Supplier Wise Yearly'!$B9, '&lt;&lt; Working &gt;&gt;'!$N:$N, 'Supplier Wise Yearly'!$B$2)</f>
        <v>0</v>
      </c>
      <c r="L9" s="39">
        <f>SUMIFS('&lt;&lt; Working &gt;&gt;'!$J:$J, '&lt;&lt; Working &gt;&gt;'!$D:$D, 'Supplier Wise Yearly'!$B$1, '&lt;&lt; Working &gt;&gt;'!$R:$R, 'Supplier Wise Yearly'!L$6, '&lt;&lt; Working &gt;&gt;'!$L:$L, 'Supplier Wise Yearly'!$B9, '&lt;&lt; Working &gt;&gt;'!$N:$N, 'Supplier Wise Yearly'!$B$2)</f>
        <v>0</v>
      </c>
      <c r="M9" s="39">
        <f>SUMIFS('&lt;&lt; Working &gt;&gt;'!$J:$J, '&lt;&lt; Working &gt;&gt;'!$D:$D, 'Supplier Wise Yearly'!$B$1, '&lt;&lt; Working &gt;&gt;'!$R:$R, 'Supplier Wise Yearly'!M$6, '&lt;&lt; Working &gt;&gt;'!$L:$L, 'Supplier Wise Yearly'!$B9, '&lt;&lt; Working &gt;&gt;'!$N:$N, 'Supplier Wise Yearly'!$B$2)</f>
        <v>0</v>
      </c>
      <c r="N9" s="39">
        <f>SUMIFS('&lt;&lt; Working &gt;&gt;'!$J:$J, '&lt;&lt; Working &gt;&gt;'!$D:$D, 'Supplier Wise Yearly'!$B$1, '&lt;&lt; Working &gt;&gt;'!$R:$R, 'Supplier Wise Yearly'!N$6, '&lt;&lt; Working &gt;&gt;'!$L:$L, 'Supplier Wise Yearly'!$B9, '&lt;&lt; Working &gt;&gt;'!$N:$N, 'Supplier Wise Yearly'!$B$2)</f>
        <v>0</v>
      </c>
      <c r="O9" s="39">
        <f t="shared" si="2"/>
        <v>414750</v>
      </c>
      <c r="Q9" t="str">
        <f t="shared" si="3"/>
        <v>Yes</v>
      </c>
    </row>
    <row r="10" spans="1:17" x14ac:dyDescent="0.3">
      <c r="A10" s="21" t="str">
        <f>VLOOKUP(B10, 'Items Master'!E:F,2,0)</f>
        <v>Domestic</v>
      </c>
      <c r="B10" s="21" t="s">
        <v>22</v>
      </c>
      <c r="C10" s="39">
        <f>SUMIFS('&lt;&lt; Working &gt;&gt;'!$J:$J, '&lt;&lt; Working &gt;&gt;'!$D:$D, 'Supplier Wise Yearly'!$B$1, '&lt;&lt; Working &gt;&gt;'!$R:$R, 'Supplier Wise Yearly'!C$6, '&lt;&lt; Working &gt;&gt;'!$L:$L, 'Supplier Wise Yearly'!$B10, '&lt;&lt; Working &gt;&gt;'!$N:$N, 'Supplier Wise Yearly'!$B$2)</f>
        <v>1000</v>
      </c>
      <c r="D10" s="39">
        <f>SUMIFS('&lt;&lt; Working &gt;&gt;'!$J:$J, '&lt;&lt; Working &gt;&gt;'!$D:$D, 'Supplier Wise Yearly'!$B$1, '&lt;&lt; Working &gt;&gt;'!$R:$R, 'Supplier Wise Yearly'!D$6, '&lt;&lt; Working &gt;&gt;'!$L:$L, 'Supplier Wise Yearly'!$B10, '&lt;&lt; Working &gt;&gt;'!$N:$N, 'Supplier Wise Yearly'!$B$2)</f>
        <v>72500</v>
      </c>
      <c r="E10" s="39">
        <f>SUMIFS('&lt;&lt; Working &gt;&gt;'!$J:$J, '&lt;&lt; Working &gt;&gt;'!$D:$D, 'Supplier Wise Yearly'!$B$1, '&lt;&lt; Working &gt;&gt;'!$R:$R, 'Supplier Wise Yearly'!E$6, '&lt;&lt; Working &gt;&gt;'!$L:$L, 'Supplier Wise Yearly'!$B10, '&lt;&lt; Working &gt;&gt;'!$N:$N, 'Supplier Wise Yearly'!$B$2)</f>
        <v>19000</v>
      </c>
      <c r="F10" s="39">
        <f>SUMIFS('&lt;&lt; Working &gt;&gt;'!$J:$J, '&lt;&lt; Working &gt;&gt;'!$D:$D, 'Supplier Wise Yearly'!$B$1, '&lt;&lt; Working &gt;&gt;'!$R:$R, 'Supplier Wise Yearly'!F$6, '&lt;&lt; Working &gt;&gt;'!$L:$L, 'Supplier Wise Yearly'!$B10, '&lt;&lt; Working &gt;&gt;'!$N:$N, 'Supplier Wise Yearly'!$B$2)</f>
        <v>65750</v>
      </c>
      <c r="G10" s="39">
        <f>SUMIFS('&lt;&lt; Working &gt;&gt;'!$J:$J, '&lt;&lt; Working &gt;&gt;'!$D:$D, 'Supplier Wise Yearly'!$B$1, '&lt;&lt; Working &gt;&gt;'!$R:$R, 'Supplier Wise Yearly'!G$6, '&lt;&lt; Working &gt;&gt;'!$L:$L, 'Supplier Wise Yearly'!$B10, '&lt;&lt; Working &gt;&gt;'!$N:$N, 'Supplier Wise Yearly'!$B$2)</f>
        <v>71500</v>
      </c>
      <c r="H10" s="39">
        <f>SUMIFS('&lt;&lt; Working &gt;&gt;'!$J:$J, '&lt;&lt; Working &gt;&gt;'!$D:$D, 'Supplier Wise Yearly'!$B$1, '&lt;&lt; Working &gt;&gt;'!$R:$R, 'Supplier Wise Yearly'!H$6, '&lt;&lt; Working &gt;&gt;'!$L:$L, 'Supplier Wise Yearly'!$B10, '&lt;&lt; Working &gt;&gt;'!$N:$N, 'Supplier Wise Yearly'!$B$2)</f>
        <v>64750</v>
      </c>
      <c r="I10" s="39">
        <f>SUMIFS('&lt;&lt; Working &gt;&gt;'!$J:$J, '&lt;&lt; Working &gt;&gt;'!$D:$D, 'Supplier Wise Yearly'!$B$1, '&lt;&lt; Working &gt;&gt;'!$R:$R, 'Supplier Wise Yearly'!I$6, '&lt;&lt; Working &gt;&gt;'!$L:$L, 'Supplier Wise Yearly'!$B10, '&lt;&lt; Working &gt;&gt;'!$N:$N, 'Supplier Wise Yearly'!$B$2)</f>
        <v>132500</v>
      </c>
      <c r="J10" s="39">
        <f>SUMIFS('&lt;&lt; Working &gt;&gt;'!$J:$J, '&lt;&lt; Working &gt;&gt;'!$D:$D, 'Supplier Wise Yearly'!$B$1, '&lt;&lt; Working &gt;&gt;'!$R:$R, 'Supplier Wise Yearly'!J$6, '&lt;&lt; Working &gt;&gt;'!$L:$L, 'Supplier Wise Yearly'!$B10, '&lt;&lt; Working &gt;&gt;'!$N:$N, 'Supplier Wise Yearly'!$B$2)</f>
        <v>28500</v>
      </c>
      <c r="K10" s="39">
        <f>SUMIFS('&lt;&lt; Working &gt;&gt;'!$J:$J, '&lt;&lt; Working &gt;&gt;'!$D:$D, 'Supplier Wise Yearly'!$B$1, '&lt;&lt; Working &gt;&gt;'!$R:$R, 'Supplier Wise Yearly'!K$6, '&lt;&lt; Working &gt;&gt;'!$L:$L, 'Supplier Wise Yearly'!$B10, '&lt;&lt; Working &gt;&gt;'!$N:$N, 'Supplier Wise Yearly'!$B$2)</f>
        <v>0</v>
      </c>
      <c r="L10" s="39">
        <f>SUMIFS('&lt;&lt; Working &gt;&gt;'!$J:$J, '&lt;&lt; Working &gt;&gt;'!$D:$D, 'Supplier Wise Yearly'!$B$1, '&lt;&lt; Working &gt;&gt;'!$R:$R, 'Supplier Wise Yearly'!L$6, '&lt;&lt; Working &gt;&gt;'!$L:$L, 'Supplier Wise Yearly'!$B10, '&lt;&lt; Working &gt;&gt;'!$N:$N, 'Supplier Wise Yearly'!$B$2)</f>
        <v>0</v>
      </c>
      <c r="M10" s="39">
        <f>SUMIFS('&lt;&lt; Working &gt;&gt;'!$J:$J, '&lt;&lt; Working &gt;&gt;'!$D:$D, 'Supplier Wise Yearly'!$B$1, '&lt;&lt; Working &gt;&gt;'!$R:$R, 'Supplier Wise Yearly'!M$6, '&lt;&lt; Working &gt;&gt;'!$L:$L, 'Supplier Wise Yearly'!$B10, '&lt;&lt; Working &gt;&gt;'!$N:$N, 'Supplier Wise Yearly'!$B$2)</f>
        <v>0</v>
      </c>
      <c r="N10" s="39">
        <f>SUMIFS('&lt;&lt; Working &gt;&gt;'!$J:$J, '&lt;&lt; Working &gt;&gt;'!$D:$D, 'Supplier Wise Yearly'!$B$1, '&lt;&lt; Working &gt;&gt;'!$R:$R, 'Supplier Wise Yearly'!N$6, '&lt;&lt; Working &gt;&gt;'!$L:$L, 'Supplier Wise Yearly'!$B10, '&lt;&lt; Working &gt;&gt;'!$N:$N, 'Supplier Wise Yearly'!$B$2)</f>
        <v>0</v>
      </c>
      <c r="O10" s="39">
        <f t="shared" si="2"/>
        <v>455500</v>
      </c>
      <c r="Q10" t="str">
        <f t="shared" si="3"/>
        <v>Yes</v>
      </c>
    </row>
    <row r="11" spans="1:17" x14ac:dyDescent="0.3">
      <c r="A11" s="21" t="str">
        <f>VLOOKUP(B11, 'Items Master'!E:F,2,0)</f>
        <v>Domestic</v>
      </c>
      <c r="B11" s="21" t="s">
        <v>40</v>
      </c>
      <c r="C11" s="39">
        <f>SUMIFS('&lt;&lt; Working &gt;&gt;'!$J:$J, '&lt;&lt; Working &gt;&gt;'!$D:$D, 'Supplier Wise Yearly'!$B$1, '&lt;&lt; Working &gt;&gt;'!$R:$R, 'Supplier Wise Yearly'!C$6, '&lt;&lt; Working &gt;&gt;'!$L:$L, 'Supplier Wise Yearly'!$B11, '&lt;&lt; Working &gt;&gt;'!$N:$N, 'Supplier Wise Yearly'!$B$2)</f>
        <v>0</v>
      </c>
      <c r="D11" s="39">
        <f>SUMIFS('&lt;&lt; Working &gt;&gt;'!$J:$J, '&lt;&lt; Working &gt;&gt;'!$D:$D, 'Supplier Wise Yearly'!$B$1, '&lt;&lt; Working &gt;&gt;'!$R:$R, 'Supplier Wise Yearly'!D$6, '&lt;&lt; Working &gt;&gt;'!$L:$L, 'Supplier Wise Yearly'!$B11, '&lt;&lt; Working &gt;&gt;'!$N:$N, 'Supplier Wise Yearly'!$B$2)</f>
        <v>19000</v>
      </c>
      <c r="E11" s="39">
        <f>SUMIFS('&lt;&lt; Working &gt;&gt;'!$J:$J, '&lt;&lt; Working &gt;&gt;'!$D:$D, 'Supplier Wise Yearly'!$B$1, '&lt;&lt; Working &gt;&gt;'!$R:$R, 'Supplier Wise Yearly'!E$6, '&lt;&lt; Working &gt;&gt;'!$L:$L, 'Supplier Wise Yearly'!$B11, '&lt;&lt; Working &gt;&gt;'!$N:$N, 'Supplier Wise Yearly'!$B$2)</f>
        <v>7000</v>
      </c>
      <c r="F11" s="39">
        <f>SUMIFS('&lt;&lt; Working &gt;&gt;'!$J:$J, '&lt;&lt; Working &gt;&gt;'!$D:$D, 'Supplier Wise Yearly'!$B$1, '&lt;&lt; Working &gt;&gt;'!$R:$R, 'Supplier Wise Yearly'!F$6, '&lt;&lt; Working &gt;&gt;'!$L:$L, 'Supplier Wise Yearly'!$B11, '&lt;&lt; Working &gt;&gt;'!$N:$N, 'Supplier Wise Yearly'!$B$2)</f>
        <v>12500</v>
      </c>
      <c r="G11" s="39">
        <f>SUMIFS('&lt;&lt; Working &gt;&gt;'!$J:$J, '&lt;&lt; Working &gt;&gt;'!$D:$D, 'Supplier Wise Yearly'!$B$1, '&lt;&lt; Working &gt;&gt;'!$R:$R, 'Supplier Wise Yearly'!G$6, '&lt;&lt; Working &gt;&gt;'!$L:$L, 'Supplier Wise Yearly'!$B11, '&lt;&lt; Working &gt;&gt;'!$N:$N, 'Supplier Wise Yearly'!$B$2)</f>
        <v>3000</v>
      </c>
      <c r="H11" s="39">
        <f>SUMIFS('&lt;&lt; Working &gt;&gt;'!$J:$J, '&lt;&lt; Working &gt;&gt;'!$D:$D, 'Supplier Wise Yearly'!$B$1, '&lt;&lt; Working &gt;&gt;'!$R:$R, 'Supplier Wise Yearly'!H$6, '&lt;&lt; Working &gt;&gt;'!$L:$L, 'Supplier Wise Yearly'!$B11, '&lt;&lt; Working &gt;&gt;'!$N:$N, 'Supplier Wise Yearly'!$B$2)</f>
        <v>25750</v>
      </c>
      <c r="I11" s="39">
        <f>SUMIFS('&lt;&lt; Working &gt;&gt;'!$J:$J, '&lt;&lt; Working &gt;&gt;'!$D:$D, 'Supplier Wise Yearly'!$B$1, '&lt;&lt; Working &gt;&gt;'!$R:$R, 'Supplier Wise Yearly'!I$6, '&lt;&lt; Working &gt;&gt;'!$L:$L, 'Supplier Wise Yearly'!$B11, '&lt;&lt; Working &gt;&gt;'!$N:$N, 'Supplier Wise Yearly'!$B$2)</f>
        <v>0</v>
      </c>
      <c r="J11" s="39">
        <f>SUMIFS('&lt;&lt; Working &gt;&gt;'!$J:$J, '&lt;&lt; Working &gt;&gt;'!$D:$D, 'Supplier Wise Yearly'!$B$1, '&lt;&lt; Working &gt;&gt;'!$R:$R, 'Supplier Wise Yearly'!J$6, '&lt;&lt; Working &gt;&gt;'!$L:$L, 'Supplier Wise Yearly'!$B11, '&lt;&lt; Working &gt;&gt;'!$N:$N, 'Supplier Wise Yearly'!$B$2)</f>
        <v>1000</v>
      </c>
      <c r="K11" s="39">
        <f>SUMIFS('&lt;&lt; Working &gt;&gt;'!$J:$J, '&lt;&lt; Working &gt;&gt;'!$D:$D, 'Supplier Wise Yearly'!$B$1, '&lt;&lt; Working &gt;&gt;'!$R:$R, 'Supplier Wise Yearly'!K$6, '&lt;&lt; Working &gt;&gt;'!$L:$L, 'Supplier Wise Yearly'!$B11, '&lt;&lt; Working &gt;&gt;'!$N:$N, 'Supplier Wise Yearly'!$B$2)</f>
        <v>0</v>
      </c>
      <c r="L11" s="39">
        <f>SUMIFS('&lt;&lt; Working &gt;&gt;'!$J:$J, '&lt;&lt; Working &gt;&gt;'!$D:$D, 'Supplier Wise Yearly'!$B$1, '&lt;&lt; Working &gt;&gt;'!$R:$R, 'Supplier Wise Yearly'!L$6, '&lt;&lt; Working &gt;&gt;'!$L:$L, 'Supplier Wise Yearly'!$B11, '&lt;&lt; Working &gt;&gt;'!$N:$N, 'Supplier Wise Yearly'!$B$2)</f>
        <v>0</v>
      </c>
      <c r="M11" s="39">
        <f>SUMIFS('&lt;&lt; Working &gt;&gt;'!$J:$J, '&lt;&lt; Working &gt;&gt;'!$D:$D, 'Supplier Wise Yearly'!$B$1, '&lt;&lt; Working &gt;&gt;'!$R:$R, 'Supplier Wise Yearly'!M$6, '&lt;&lt; Working &gt;&gt;'!$L:$L, 'Supplier Wise Yearly'!$B11, '&lt;&lt; Working &gt;&gt;'!$N:$N, 'Supplier Wise Yearly'!$B$2)</f>
        <v>0</v>
      </c>
      <c r="N11" s="39">
        <f>SUMIFS('&lt;&lt; Working &gt;&gt;'!$J:$J, '&lt;&lt; Working &gt;&gt;'!$D:$D, 'Supplier Wise Yearly'!$B$1, '&lt;&lt; Working &gt;&gt;'!$R:$R, 'Supplier Wise Yearly'!N$6, '&lt;&lt; Working &gt;&gt;'!$L:$L, 'Supplier Wise Yearly'!$B11, '&lt;&lt; Working &gt;&gt;'!$N:$N, 'Supplier Wise Yearly'!$B$2)</f>
        <v>0</v>
      </c>
      <c r="O11" s="39">
        <f t="shared" si="2"/>
        <v>68250</v>
      </c>
      <c r="Q11" t="str">
        <f t="shared" si="3"/>
        <v>Yes</v>
      </c>
    </row>
    <row r="12" spans="1:17" x14ac:dyDescent="0.3">
      <c r="A12" s="21" t="str">
        <f>VLOOKUP(B12, 'Items Master'!E:F,2,0)</f>
        <v>Domestic</v>
      </c>
      <c r="B12" s="21" t="s">
        <v>18</v>
      </c>
      <c r="C12" s="39">
        <f>SUMIFS('&lt;&lt; Working &gt;&gt;'!$J:$J, '&lt;&lt; Working &gt;&gt;'!$D:$D, 'Supplier Wise Yearly'!$B$1, '&lt;&lt; Working &gt;&gt;'!$R:$R, 'Supplier Wise Yearly'!C$6, '&lt;&lt; Working &gt;&gt;'!$L:$L, 'Supplier Wise Yearly'!$B12, '&lt;&lt; Working &gt;&gt;'!$N:$N, 'Supplier Wise Yearly'!$B$2)</f>
        <v>0</v>
      </c>
      <c r="D12" s="39">
        <f>SUMIFS('&lt;&lt; Working &gt;&gt;'!$J:$J, '&lt;&lt; Working &gt;&gt;'!$D:$D, 'Supplier Wise Yearly'!$B$1, '&lt;&lt; Working &gt;&gt;'!$R:$R, 'Supplier Wise Yearly'!D$6, '&lt;&lt; Working &gt;&gt;'!$L:$L, 'Supplier Wise Yearly'!$B12, '&lt;&lt; Working &gt;&gt;'!$N:$N, 'Supplier Wise Yearly'!$B$2)</f>
        <v>0</v>
      </c>
      <c r="E12" s="39">
        <f>SUMIFS('&lt;&lt; Working &gt;&gt;'!$J:$J, '&lt;&lt; Working &gt;&gt;'!$D:$D, 'Supplier Wise Yearly'!$B$1, '&lt;&lt; Working &gt;&gt;'!$R:$R, 'Supplier Wise Yearly'!E$6, '&lt;&lt; Working &gt;&gt;'!$L:$L, 'Supplier Wise Yearly'!$B12, '&lt;&lt; Working &gt;&gt;'!$N:$N, 'Supplier Wise Yearly'!$B$2)</f>
        <v>0</v>
      </c>
      <c r="F12" s="39">
        <f>SUMIFS('&lt;&lt; Working &gt;&gt;'!$J:$J, '&lt;&lt; Working &gt;&gt;'!$D:$D, 'Supplier Wise Yearly'!$B$1, '&lt;&lt; Working &gt;&gt;'!$R:$R, 'Supplier Wise Yearly'!F$6, '&lt;&lt; Working &gt;&gt;'!$L:$L, 'Supplier Wise Yearly'!$B12, '&lt;&lt; Working &gt;&gt;'!$N:$N, 'Supplier Wise Yearly'!$B$2)</f>
        <v>0</v>
      </c>
      <c r="G12" s="39">
        <f>SUMIFS('&lt;&lt; Working &gt;&gt;'!$J:$J, '&lt;&lt; Working &gt;&gt;'!$D:$D, 'Supplier Wise Yearly'!$B$1, '&lt;&lt; Working &gt;&gt;'!$R:$R, 'Supplier Wise Yearly'!G$6, '&lt;&lt; Working &gt;&gt;'!$L:$L, 'Supplier Wise Yearly'!$B12, '&lt;&lt; Working &gt;&gt;'!$N:$N, 'Supplier Wise Yearly'!$B$2)</f>
        <v>3000</v>
      </c>
      <c r="H12" s="39">
        <f>SUMIFS('&lt;&lt; Working &gt;&gt;'!$J:$J, '&lt;&lt; Working &gt;&gt;'!$D:$D, 'Supplier Wise Yearly'!$B$1, '&lt;&lt; Working &gt;&gt;'!$R:$R, 'Supplier Wise Yearly'!H$6, '&lt;&lt; Working &gt;&gt;'!$L:$L, 'Supplier Wise Yearly'!$B12, '&lt;&lt; Working &gt;&gt;'!$N:$N, 'Supplier Wise Yearly'!$B$2)</f>
        <v>2500</v>
      </c>
      <c r="I12" s="39">
        <f>SUMIFS('&lt;&lt; Working &gt;&gt;'!$J:$J, '&lt;&lt; Working &gt;&gt;'!$D:$D, 'Supplier Wise Yearly'!$B$1, '&lt;&lt; Working &gt;&gt;'!$R:$R, 'Supplier Wise Yearly'!I$6, '&lt;&lt; Working &gt;&gt;'!$L:$L, 'Supplier Wise Yearly'!$B12, '&lt;&lt; Working &gt;&gt;'!$N:$N, 'Supplier Wise Yearly'!$B$2)</f>
        <v>0</v>
      </c>
      <c r="J12" s="39">
        <f>SUMIFS('&lt;&lt; Working &gt;&gt;'!$J:$J, '&lt;&lt; Working &gt;&gt;'!$D:$D, 'Supplier Wise Yearly'!$B$1, '&lt;&lt; Working &gt;&gt;'!$R:$R, 'Supplier Wise Yearly'!J$6, '&lt;&lt; Working &gt;&gt;'!$L:$L, 'Supplier Wise Yearly'!$B12, '&lt;&lt; Working &gt;&gt;'!$N:$N, 'Supplier Wise Yearly'!$B$2)</f>
        <v>0</v>
      </c>
      <c r="K12" s="39">
        <f>SUMIFS('&lt;&lt; Working &gt;&gt;'!$J:$J, '&lt;&lt; Working &gt;&gt;'!$D:$D, 'Supplier Wise Yearly'!$B$1, '&lt;&lt; Working &gt;&gt;'!$R:$R, 'Supplier Wise Yearly'!K$6, '&lt;&lt; Working &gt;&gt;'!$L:$L, 'Supplier Wise Yearly'!$B12, '&lt;&lt; Working &gt;&gt;'!$N:$N, 'Supplier Wise Yearly'!$B$2)</f>
        <v>0</v>
      </c>
      <c r="L12" s="39">
        <f>SUMIFS('&lt;&lt; Working &gt;&gt;'!$J:$J, '&lt;&lt; Working &gt;&gt;'!$D:$D, 'Supplier Wise Yearly'!$B$1, '&lt;&lt; Working &gt;&gt;'!$R:$R, 'Supplier Wise Yearly'!L$6, '&lt;&lt; Working &gt;&gt;'!$L:$L, 'Supplier Wise Yearly'!$B12, '&lt;&lt; Working &gt;&gt;'!$N:$N, 'Supplier Wise Yearly'!$B$2)</f>
        <v>0</v>
      </c>
      <c r="M12" s="39">
        <f>SUMIFS('&lt;&lt; Working &gt;&gt;'!$J:$J, '&lt;&lt; Working &gt;&gt;'!$D:$D, 'Supplier Wise Yearly'!$B$1, '&lt;&lt; Working &gt;&gt;'!$R:$R, 'Supplier Wise Yearly'!M$6, '&lt;&lt; Working &gt;&gt;'!$L:$L, 'Supplier Wise Yearly'!$B12, '&lt;&lt; Working &gt;&gt;'!$N:$N, 'Supplier Wise Yearly'!$B$2)</f>
        <v>0</v>
      </c>
      <c r="N12" s="39">
        <f>SUMIFS('&lt;&lt; Working &gt;&gt;'!$J:$J, '&lt;&lt; Working &gt;&gt;'!$D:$D, 'Supplier Wise Yearly'!$B$1, '&lt;&lt; Working &gt;&gt;'!$R:$R, 'Supplier Wise Yearly'!N$6, '&lt;&lt; Working &gt;&gt;'!$L:$L, 'Supplier Wise Yearly'!$B12, '&lt;&lt; Working &gt;&gt;'!$N:$N, 'Supplier Wise Yearly'!$B$2)</f>
        <v>0</v>
      </c>
      <c r="O12" s="39">
        <f t="shared" si="2"/>
        <v>5500</v>
      </c>
      <c r="Q12" t="str">
        <f t="shared" si="3"/>
        <v>Yes</v>
      </c>
    </row>
    <row r="13" spans="1:17" hidden="1" x14ac:dyDescent="0.3">
      <c r="A13" s="21" t="str">
        <f>VLOOKUP(B13, 'Items Master'!E:F,2,0)</f>
        <v>Domestic</v>
      </c>
      <c r="B13" s="21" t="s">
        <v>39</v>
      </c>
      <c r="C13" s="39">
        <f>SUMIFS('&lt;&lt; Working &gt;&gt;'!$J:$J, '&lt;&lt; Working &gt;&gt;'!$D:$D, 'Supplier Wise Yearly'!$B$1, '&lt;&lt; Working &gt;&gt;'!$R:$R, 'Supplier Wise Yearly'!C$6, '&lt;&lt; Working &gt;&gt;'!$L:$L, 'Supplier Wise Yearly'!$B13, '&lt;&lt; Working &gt;&gt;'!$N:$N, 'Supplier Wise Yearly'!$B$2)</f>
        <v>0</v>
      </c>
      <c r="D13" s="39">
        <f>SUMIFS('&lt;&lt; Working &gt;&gt;'!$J:$J, '&lt;&lt; Working &gt;&gt;'!$D:$D, 'Supplier Wise Yearly'!$B$1, '&lt;&lt; Working &gt;&gt;'!$R:$R, 'Supplier Wise Yearly'!D$6, '&lt;&lt; Working &gt;&gt;'!$L:$L, 'Supplier Wise Yearly'!$B13, '&lt;&lt; Working &gt;&gt;'!$N:$N, 'Supplier Wise Yearly'!$B$2)</f>
        <v>0</v>
      </c>
      <c r="E13" s="39">
        <f>SUMIFS('&lt;&lt; Working &gt;&gt;'!$J:$J, '&lt;&lt; Working &gt;&gt;'!$D:$D, 'Supplier Wise Yearly'!$B$1, '&lt;&lt; Working &gt;&gt;'!$R:$R, 'Supplier Wise Yearly'!E$6, '&lt;&lt; Working &gt;&gt;'!$L:$L, 'Supplier Wise Yearly'!$B13, '&lt;&lt; Working &gt;&gt;'!$N:$N, 'Supplier Wise Yearly'!$B$2)</f>
        <v>0</v>
      </c>
      <c r="F13" s="39">
        <f>SUMIFS('&lt;&lt; Working &gt;&gt;'!$J:$J, '&lt;&lt; Working &gt;&gt;'!$D:$D, 'Supplier Wise Yearly'!$B$1, '&lt;&lt; Working &gt;&gt;'!$R:$R, 'Supplier Wise Yearly'!F$6, '&lt;&lt; Working &gt;&gt;'!$L:$L, 'Supplier Wise Yearly'!$B13, '&lt;&lt; Working &gt;&gt;'!$N:$N, 'Supplier Wise Yearly'!$B$2)</f>
        <v>0</v>
      </c>
      <c r="G13" s="39">
        <f>SUMIFS('&lt;&lt; Working &gt;&gt;'!$J:$J, '&lt;&lt; Working &gt;&gt;'!$D:$D, 'Supplier Wise Yearly'!$B$1, '&lt;&lt; Working &gt;&gt;'!$R:$R, 'Supplier Wise Yearly'!G$6, '&lt;&lt; Working &gt;&gt;'!$L:$L, 'Supplier Wise Yearly'!$B13, '&lt;&lt; Working &gt;&gt;'!$N:$N, 'Supplier Wise Yearly'!$B$2)</f>
        <v>0</v>
      </c>
      <c r="H13" s="39">
        <f>SUMIFS('&lt;&lt; Working &gt;&gt;'!$J:$J, '&lt;&lt; Working &gt;&gt;'!$D:$D, 'Supplier Wise Yearly'!$B$1, '&lt;&lt; Working &gt;&gt;'!$R:$R, 'Supplier Wise Yearly'!H$6, '&lt;&lt; Working &gt;&gt;'!$L:$L, 'Supplier Wise Yearly'!$B13, '&lt;&lt; Working &gt;&gt;'!$N:$N, 'Supplier Wise Yearly'!$B$2)</f>
        <v>0</v>
      </c>
      <c r="I13" s="39">
        <f>SUMIFS('&lt;&lt; Working &gt;&gt;'!$J:$J, '&lt;&lt; Working &gt;&gt;'!$D:$D, 'Supplier Wise Yearly'!$B$1, '&lt;&lt; Working &gt;&gt;'!$R:$R, 'Supplier Wise Yearly'!I$6, '&lt;&lt; Working &gt;&gt;'!$L:$L, 'Supplier Wise Yearly'!$B13, '&lt;&lt; Working &gt;&gt;'!$N:$N, 'Supplier Wise Yearly'!$B$2)</f>
        <v>0</v>
      </c>
      <c r="J13" s="39">
        <f>SUMIFS('&lt;&lt; Working &gt;&gt;'!$J:$J, '&lt;&lt; Working &gt;&gt;'!$D:$D, 'Supplier Wise Yearly'!$B$1, '&lt;&lt; Working &gt;&gt;'!$R:$R, 'Supplier Wise Yearly'!J$6, '&lt;&lt; Working &gt;&gt;'!$L:$L, 'Supplier Wise Yearly'!$B13, '&lt;&lt; Working &gt;&gt;'!$N:$N, 'Supplier Wise Yearly'!$B$2)</f>
        <v>0</v>
      </c>
      <c r="K13" s="39">
        <f>SUMIFS('&lt;&lt; Working &gt;&gt;'!$J:$J, '&lt;&lt; Working &gt;&gt;'!$D:$D, 'Supplier Wise Yearly'!$B$1, '&lt;&lt; Working &gt;&gt;'!$R:$R, 'Supplier Wise Yearly'!K$6, '&lt;&lt; Working &gt;&gt;'!$L:$L, 'Supplier Wise Yearly'!$B13, '&lt;&lt; Working &gt;&gt;'!$N:$N, 'Supplier Wise Yearly'!$B$2)</f>
        <v>0</v>
      </c>
      <c r="L13" s="39">
        <f>SUMIFS('&lt;&lt; Working &gt;&gt;'!$J:$J, '&lt;&lt; Working &gt;&gt;'!$D:$D, 'Supplier Wise Yearly'!$B$1, '&lt;&lt; Working &gt;&gt;'!$R:$R, 'Supplier Wise Yearly'!L$6, '&lt;&lt; Working &gt;&gt;'!$L:$L, 'Supplier Wise Yearly'!$B13, '&lt;&lt; Working &gt;&gt;'!$N:$N, 'Supplier Wise Yearly'!$B$2)</f>
        <v>0</v>
      </c>
      <c r="M13" s="39">
        <f>SUMIFS('&lt;&lt; Working &gt;&gt;'!$J:$J, '&lt;&lt; Working &gt;&gt;'!$D:$D, 'Supplier Wise Yearly'!$B$1, '&lt;&lt; Working &gt;&gt;'!$R:$R, 'Supplier Wise Yearly'!M$6, '&lt;&lt; Working &gt;&gt;'!$L:$L, 'Supplier Wise Yearly'!$B13, '&lt;&lt; Working &gt;&gt;'!$N:$N, 'Supplier Wise Yearly'!$B$2)</f>
        <v>0</v>
      </c>
      <c r="N13" s="39">
        <f>SUMIFS('&lt;&lt; Working &gt;&gt;'!$J:$J, '&lt;&lt; Working &gt;&gt;'!$D:$D, 'Supplier Wise Yearly'!$B$1, '&lt;&lt; Working &gt;&gt;'!$R:$R, 'Supplier Wise Yearly'!N$6, '&lt;&lt; Working &gt;&gt;'!$L:$L, 'Supplier Wise Yearly'!$B13, '&lt;&lt; Working &gt;&gt;'!$N:$N, 'Supplier Wise Yearly'!$B$2)</f>
        <v>0</v>
      </c>
      <c r="O13" s="39">
        <f t="shared" si="2"/>
        <v>0</v>
      </c>
      <c r="Q13" t="str">
        <f t="shared" si="3"/>
        <v>No</v>
      </c>
    </row>
    <row r="14" spans="1:17" hidden="1" x14ac:dyDescent="0.3">
      <c r="A14" s="21" t="str">
        <f>VLOOKUP(B14, 'Items Master'!E:F,2,0)</f>
        <v>Domestic</v>
      </c>
      <c r="B14" s="21" t="s">
        <v>46</v>
      </c>
      <c r="C14" s="39">
        <f>SUMIFS('&lt;&lt; Working &gt;&gt;'!$J:$J, '&lt;&lt; Working &gt;&gt;'!$D:$D, 'Supplier Wise Yearly'!$B$1, '&lt;&lt; Working &gt;&gt;'!$R:$R, 'Supplier Wise Yearly'!C$6, '&lt;&lt; Working &gt;&gt;'!$L:$L, 'Supplier Wise Yearly'!$B14, '&lt;&lt; Working &gt;&gt;'!$N:$N, 'Supplier Wise Yearly'!$B$2)</f>
        <v>0</v>
      </c>
      <c r="D14" s="39">
        <f>SUMIFS('&lt;&lt; Working &gt;&gt;'!$J:$J, '&lt;&lt; Working &gt;&gt;'!$D:$D, 'Supplier Wise Yearly'!$B$1, '&lt;&lt; Working &gt;&gt;'!$R:$R, 'Supplier Wise Yearly'!D$6, '&lt;&lt; Working &gt;&gt;'!$L:$L, 'Supplier Wise Yearly'!$B14, '&lt;&lt; Working &gt;&gt;'!$N:$N, 'Supplier Wise Yearly'!$B$2)</f>
        <v>0</v>
      </c>
      <c r="E14" s="39">
        <f>SUMIFS('&lt;&lt; Working &gt;&gt;'!$J:$J, '&lt;&lt; Working &gt;&gt;'!$D:$D, 'Supplier Wise Yearly'!$B$1, '&lt;&lt; Working &gt;&gt;'!$R:$R, 'Supplier Wise Yearly'!E$6, '&lt;&lt; Working &gt;&gt;'!$L:$L, 'Supplier Wise Yearly'!$B14, '&lt;&lt; Working &gt;&gt;'!$N:$N, 'Supplier Wise Yearly'!$B$2)</f>
        <v>0</v>
      </c>
      <c r="F14" s="39">
        <f>SUMIFS('&lt;&lt; Working &gt;&gt;'!$J:$J, '&lt;&lt; Working &gt;&gt;'!$D:$D, 'Supplier Wise Yearly'!$B$1, '&lt;&lt; Working &gt;&gt;'!$R:$R, 'Supplier Wise Yearly'!F$6, '&lt;&lt; Working &gt;&gt;'!$L:$L, 'Supplier Wise Yearly'!$B14, '&lt;&lt; Working &gt;&gt;'!$N:$N, 'Supplier Wise Yearly'!$B$2)</f>
        <v>0</v>
      </c>
      <c r="G14" s="39">
        <f>SUMIFS('&lt;&lt; Working &gt;&gt;'!$J:$J, '&lt;&lt; Working &gt;&gt;'!$D:$D, 'Supplier Wise Yearly'!$B$1, '&lt;&lt; Working &gt;&gt;'!$R:$R, 'Supplier Wise Yearly'!G$6, '&lt;&lt; Working &gt;&gt;'!$L:$L, 'Supplier Wise Yearly'!$B14, '&lt;&lt; Working &gt;&gt;'!$N:$N, 'Supplier Wise Yearly'!$B$2)</f>
        <v>0</v>
      </c>
      <c r="H14" s="39">
        <f>SUMIFS('&lt;&lt; Working &gt;&gt;'!$J:$J, '&lt;&lt; Working &gt;&gt;'!$D:$D, 'Supplier Wise Yearly'!$B$1, '&lt;&lt; Working &gt;&gt;'!$R:$R, 'Supplier Wise Yearly'!H$6, '&lt;&lt; Working &gt;&gt;'!$L:$L, 'Supplier Wise Yearly'!$B14, '&lt;&lt; Working &gt;&gt;'!$N:$N, 'Supplier Wise Yearly'!$B$2)</f>
        <v>0</v>
      </c>
      <c r="I14" s="39">
        <f>SUMIFS('&lt;&lt; Working &gt;&gt;'!$J:$J, '&lt;&lt; Working &gt;&gt;'!$D:$D, 'Supplier Wise Yearly'!$B$1, '&lt;&lt; Working &gt;&gt;'!$R:$R, 'Supplier Wise Yearly'!I$6, '&lt;&lt; Working &gt;&gt;'!$L:$L, 'Supplier Wise Yearly'!$B14, '&lt;&lt; Working &gt;&gt;'!$N:$N, 'Supplier Wise Yearly'!$B$2)</f>
        <v>0</v>
      </c>
      <c r="J14" s="39">
        <f>SUMIFS('&lt;&lt; Working &gt;&gt;'!$J:$J, '&lt;&lt; Working &gt;&gt;'!$D:$D, 'Supplier Wise Yearly'!$B$1, '&lt;&lt; Working &gt;&gt;'!$R:$R, 'Supplier Wise Yearly'!J$6, '&lt;&lt; Working &gt;&gt;'!$L:$L, 'Supplier Wise Yearly'!$B14, '&lt;&lt; Working &gt;&gt;'!$N:$N, 'Supplier Wise Yearly'!$B$2)</f>
        <v>0</v>
      </c>
      <c r="K14" s="39">
        <f>SUMIFS('&lt;&lt; Working &gt;&gt;'!$J:$J, '&lt;&lt; Working &gt;&gt;'!$D:$D, 'Supplier Wise Yearly'!$B$1, '&lt;&lt; Working &gt;&gt;'!$R:$R, 'Supplier Wise Yearly'!K$6, '&lt;&lt; Working &gt;&gt;'!$L:$L, 'Supplier Wise Yearly'!$B14, '&lt;&lt; Working &gt;&gt;'!$N:$N, 'Supplier Wise Yearly'!$B$2)</f>
        <v>0</v>
      </c>
      <c r="L14" s="39">
        <f>SUMIFS('&lt;&lt; Working &gt;&gt;'!$J:$J, '&lt;&lt; Working &gt;&gt;'!$D:$D, 'Supplier Wise Yearly'!$B$1, '&lt;&lt; Working &gt;&gt;'!$R:$R, 'Supplier Wise Yearly'!L$6, '&lt;&lt; Working &gt;&gt;'!$L:$L, 'Supplier Wise Yearly'!$B14, '&lt;&lt; Working &gt;&gt;'!$N:$N, 'Supplier Wise Yearly'!$B$2)</f>
        <v>0</v>
      </c>
      <c r="M14" s="39">
        <f>SUMIFS('&lt;&lt; Working &gt;&gt;'!$J:$J, '&lt;&lt; Working &gt;&gt;'!$D:$D, 'Supplier Wise Yearly'!$B$1, '&lt;&lt; Working &gt;&gt;'!$R:$R, 'Supplier Wise Yearly'!M$6, '&lt;&lt; Working &gt;&gt;'!$L:$L, 'Supplier Wise Yearly'!$B14, '&lt;&lt; Working &gt;&gt;'!$N:$N, 'Supplier Wise Yearly'!$B$2)</f>
        <v>0</v>
      </c>
      <c r="N14" s="39">
        <f>SUMIFS('&lt;&lt; Working &gt;&gt;'!$J:$J, '&lt;&lt; Working &gt;&gt;'!$D:$D, 'Supplier Wise Yearly'!$B$1, '&lt;&lt; Working &gt;&gt;'!$R:$R, 'Supplier Wise Yearly'!N$6, '&lt;&lt; Working &gt;&gt;'!$L:$L, 'Supplier Wise Yearly'!$B14, '&lt;&lt; Working &gt;&gt;'!$N:$N, 'Supplier Wise Yearly'!$B$2)</f>
        <v>0</v>
      </c>
      <c r="O14" s="39">
        <f t="shared" si="2"/>
        <v>0</v>
      </c>
      <c r="Q14" t="str">
        <f t="shared" si="3"/>
        <v>No</v>
      </c>
    </row>
    <row r="15" spans="1:17" hidden="1" x14ac:dyDescent="0.3">
      <c r="A15" s="21" t="str">
        <f>VLOOKUP(B15, 'Items Master'!E:F,2,0)</f>
        <v>Import</v>
      </c>
      <c r="B15" s="21" t="s">
        <v>45</v>
      </c>
      <c r="C15" s="39">
        <f>SUMIFS('&lt;&lt; Working &gt;&gt;'!$J:$J, '&lt;&lt; Working &gt;&gt;'!$D:$D, 'Supplier Wise Yearly'!$B$1, '&lt;&lt; Working &gt;&gt;'!$R:$R, 'Supplier Wise Yearly'!C$6, '&lt;&lt; Working &gt;&gt;'!$L:$L, 'Supplier Wise Yearly'!$B15, '&lt;&lt; Working &gt;&gt;'!$N:$N, 'Supplier Wise Yearly'!$B$2)</f>
        <v>0</v>
      </c>
      <c r="D15" s="39">
        <f>SUMIFS('&lt;&lt; Working &gt;&gt;'!$J:$J, '&lt;&lt; Working &gt;&gt;'!$D:$D, 'Supplier Wise Yearly'!$B$1, '&lt;&lt; Working &gt;&gt;'!$R:$R, 'Supplier Wise Yearly'!D$6, '&lt;&lt; Working &gt;&gt;'!$L:$L, 'Supplier Wise Yearly'!$B15, '&lt;&lt; Working &gt;&gt;'!$N:$N, 'Supplier Wise Yearly'!$B$2)</f>
        <v>0</v>
      </c>
      <c r="E15" s="39">
        <f>SUMIFS('&lt;&lt; Working &gt;&gt;'!$J:$J, '&lt;&lt; Working &gt;&gt;'!$D:$D, 'Supplier Wise Yearly'!$B$1, '&lt;&lt; Working &gt;&gt;'!$R:$R, 'Supplier Wise Yearly'!E$6, '&lt;&lt; Working &gt;&gt;'!$L:$L, 'Supplier Wise Yearly'!$B15, '&lt;&lt; Working &gt;&gt;'!$N:$N, 'Supplier Wise Yearly'!$B$2)</f>
        <v>0</v>
      </c>
      <c r="F15" s="39">
        <f>SUMIFS('&lt;&lt; Working &gt;&gt;'!$J:$J, '&lt;&lt; Working &gt;&gt;'!$D:$D, 'Supplier Wise Yearly'!$B$1, '&lt;&lt; Working &gt;&gt;'!$R:$R, 'Supplier Wise Yearly'!F$6, '&lt;&lt; Working &gt;&gt;'!$L:$L, 'Supplier Wise Yearly'!$B15, '&lt;&lt; Working &gt;&gt;'!$N:$N, 'Supplier Wise Yearly'!$B$2)</f>
        <v>0</v>
      </c>
      <c r="G15" s="39">
        <f>SUMIFS('&lt;&lt; Working &gt;&gt;'!$J:$J, '&lt;&lt; Working &gt;&gt;'!$D:$D, 'Supplier Wise Yearly'!$B$1, '&lt;&lt; Working &gt;&gt;'!$R:$R, 'Supplier Wise Yearly'!G$6, '&lt;&lt; Working &gt;&gt;'!$L:$L, 'Supplier Wise Yearly'!$B15, '&lt;&lt; Working &gt;&gt;'!$N:$N, 'Supplier Wise Yearly'!$B$2)</f>
        <v>0</v>
      </c>
      <c r="H15" s="39">
        <f>SUMIFS('&lt;&lt; Working &gt;&gt;'!$J:$J, '&lt;&lt; Working &gt;&gt;'!$D:$D, 'Supplier Wise Yearly'!$B$1, '&lt;&lt; Working &gt;&gt;'!$R:$R, 'Supplier Wise Yearly'!H$6, '&lt;&lt; Working &gt;&gt;'!$L:$L, 'Supplier Wise Yearly'!$B15, '&lt;&lt; Working &gt;&gt;'!$N:$N, 'Supplier Wise Yearly'!$B$2)</f>
        <v>0</v>
      </c>
      <c r="I15" s="39">
        <f>SUMIFS('&lt;&lt; Working &gt;&gt;'!$J:$J, '&lt;&lt; Working &gt;&gt;'!$D:$D, 'Supplier Wise Yearly'!$B$1, '&lt;&lt; Working &gt;&gt;'!$R:$R, 'Supplier Wise Yearly'!I$6, '&lt;&lt; Working &gt;&gt;'!$L:$L, 'Supplier Wise Yearly'!$B15, '&lt;&lt; Working &gt;&gt;'!$N:$N, 'Supplier Wise Yearly'!$B$2)</f>
        <v>0</v>
      </c>
      <c r="J15" s="39">
        <f>SUMIFS('&lt;&lt; Working &gt;&gt;'!$J:$J, '&lt;&lt; Working &gt;&gt;'!$D:$D, 'Supplier Wise Yearly'!$B$1, '&lt;&lt; Working &gt;&gt;'!$R:$R, 'Supplier Wise Yearly'!J$6, '&lt;&lt; Working &gt;&gt;'!$L:$L, 'Supplier Wise Yearly'!$B15, '&lt;&lt; Working &gt;&gt;'!$N:$N, 'Supplier Wise Yearly'!$B$2)</f>
        <v>0</v>
      </c>
      <c r="K15" s="39">
        <f>SUMIFS('&lt;&lt; Working &gt;&gt;'!$J:$J, '&lt;&lt; Working &gt;&gt;'!$D:$D, 'Supplier Wise Yearly'!$B$1, '&lt;&lt; Working &gt;&gt;'!$R:$R, 'Supplier Wise Yearly'!K$6, '&lt;&lt; Working &gt;&gt;'!$L:$L, 'Supplier Wise Yearly'!$B15, '&lt;&lt; Working &gt;&gt;'!$N:$N, 'Supplier Wise Yearly'!$B$2)</f>
        <v>0</v>
      </c>
      <c r="L15" s="39">
        <f>SUMIFS('&lt;&lt; Working &gt;&gt;'!$J:$J, '&lt;&lt; Working &gt;&gt;'!$D:$D, 'Supplier Wise Yearly'!$B$1, '&lt;&lt; Working &gt;&gt;'!$R:$R, 'Supplier Wise Yearly'!L$6, '&lt;&lt; Working &gt;&gt;'!$L:$L, 'Supplier Wise Yearly'!$B15, '&lt;&lt; Working &gt;&gt;'!$N:$N, 'Supplier Wise Yearly'!$B$2)</f>
        <v>0</v>
      </c>
      <c r="M15" s="39">
        <f>SUMIFS('&lt;&lt; Working &gt;&gt;'!$J:$J, '&lt;&lt; Working &gt;&gt;'!$D:$D, 'Supplier Wise Yearly'!$B$1, '&lt;&lt; Working &gt;&gt;'!$R:$R, 'Supplier Wise Yearly'!M$6, '&lt;&lt; Working &gt;&gt;'!$L:$L, 'Supplier Wise Yearly'!$B15, '&lt;&lt; Working &gt;&gt;'!$N:$N, 'Supplier Wise Yearly'!$B$2)</f>
        <v>0</v>
      </c>
      <c r="N15" s="39">
        <f>SUMIFS('&lt;&lt; Working &gt;&gt;'!$J:$J, '&lt;&lt; Working &gt;&gt;'!$D:$D, 'Supplier Wise Yearly'!$B$1, '&lt;&lt; Working &gt;&gt;'!$R:$R, 'Supplier Wise Yearly'!N$6, '&lt;&lt; Working &gt;&gt;'!$L:$L, 'Supplier Wise Yearly'!$B15, '&lt;&lt; Working &gt;&gt;'!$N:$N, 'Supplier Wise Yearly'!$B$2)</f>
        <v>0</v>
      </c>
      <c r="O15" s="39">
        <f t="shared" si="2"/>
        <v>0</v>
      </c>
      <c r="Q15" t="str">
        <f t="shared" si="3"/>
        <v>No</v>
      </c>
    </row>
    <row r="16" spans="1:17" hidden="1" x14ac:dyDescent="0.3">
      <c r="A16" s="21" t="str">
        <f>VLOOKUP(B16, 'Items Master'!E:F,2,0)</f>
        <v>Import</v>
      </c>
      <c r="B16" s="21" t="s">
        <v>42</v>
      </c>
      <c r="C16" s="39">
        <f>SUMIFS('&lt;&lt; Working &gt;&gt;'!$J:$J, '&lt;&lt; Working &gt;&gt;'!$D:$D, 'Supplier Wise Yearly'!$B$1, '&lt;&lt; Working &gt;&gt;'!$R:$R, 'Supplier Wise Yearly'!C$6, '&lt;&lt; Working &gt;&gt;'!$L:$L, 'Supplier Wise Yearly'!$B16, '&lt;&lt; Working &gt;&gt;'!$N:$N, 'Supplier Wise Yearly'!$B$2)</f>
        <v>0</v>
      </c>
      <c r="D16" s="39">
        <f>SUMIFS('&lt;&lt; Working &gt;&gt;'!$J:$J, '&lt;&lt; Working &gt;&gt;'!$D:$D, 'Supplier Wise Yearly'!$B$1, '&lt;&lt; Working &gt;&gt;'!$R:$R, 'Supplier Wise Yearly'!D$6, '&lt;&lt; Working &gt;&gt;'!$L:$L, 'Supplier Wise Yearly'!$B16, '&lt;&lt; Working &gt;&gt;'!$N:$N, 'Supplier Wise Yearly'!$B$2)</f>
        <v>0</v>
      </c>
      <c r="E16" s="39">
        <f>SUMIFS('&lt;&lt; Working &gt;&gt;'!$J:$J, '&lt;&lt; Working &gt;&gt;'!$D:$D, 'Supplier Wise Yearly'!$B$1, '&lt;&lt; Working &gt;&gt;'!$R:$R, 'Supplier Wise Yearly'!E$6, '&lt;&lt; Working &gt;&gt;'!$L:$L, 'Supplier Wise Yearly'!$B16, '&lt;&lt; Working &gt;&gt;'!$N:$N, 'Supplier Wise Yearly'!$B$2)</f>
        <v>0</v>
      </c>
      <c r="F16" s="39">
        <f>SUMIFS('&lt;&lt; Working &gt;&gt;'!$J:$J, '&lt;&lt; Working &gt;&gt;'!$D:$D, 'Supplier Wise Yearly'!$B$1, '&lt;&lt; Working &gt;&gt;'!$R:$R, 'Supplier Wise Yearly'!F$6, '&lt;&lt; Working &gt;&gt;'!$L:$L, 'Supplier Wise Yearly'!$B16, '&lt;&lt; Working &gt;&gt;'!$N:$N, 'Supplier Wise Yearly'!$B$2)</f>
        <v>0</v>
      </c>
      <c r="G16" s="39">
        <f>SUMIFS('&lt;&lt; Working &gt;&gt;'!$J:$J, '&lt;&lt; Working &gt;&gt;'!$D:$D, 'Supplier Wise Yearly'!$B$1, '&lt;&lt; Working &gt;&gt;'!$R:$R, 'Supplier Wise Yearly'!G$6, '&lt;&lt; Working &gt;&gt;'!$L:$L, 'Supplier Wise Yearly'!$B16, '&lt;&lt; Working &gt;&gt;'!$N:$N, 'Supplier Wise Yearly'!$B$2)</f>
        <v>0</v>
      </c>
      <c r="H16" s="39">
        <f>SUMIFS('&lt;&lt; Working &gt;&gt;'!$J:$J, '&lt;&lt; Working &gt;&gt;'!$D:$D, 'Supplier Wise Yearly'!$B$1, '&lt;&lt; Working &gt;&gt;'!$R:$R, 'Supplier Wise Yearly'!H$6, '&lt;&lt; Working &gt;&gt;'!$L:$L, 'Supplier Wise Yearly'!$B16, '&lt;&lt; Working &gt;&gt;'!$N:$N, 'Supplier Wise Yearly'!$B$2)</f>
        <v>0</v>
      </c>
      <c r="I16" s="39">
        <f>SUMIFS('&lt;&lt; Working &gt;&gt;'!$J:$J, '&lt;&lt; Working &gt;&gt;'!$D:$D, 'Supplier Wise Yearly'!$B$1, '&lt;&lt; Working &gt;&gt;'!$R:$R, 'Supplier Wise Yearly'!I$6, '&lt;&lt; Working &gt;&gt;'!$L:$L, 'Supplier Wise Yearly'!$B16, '&lt;&lt; Working &gt;&gt;'!$N:$N, 'Supplier Wise Yearly'!$B$2)</f>
        <v>0</v>
      </c>
      <c r="J16" s="39">
        <f>SUMIFS('&lt;&lt; Working &gt;&gt;'!$J:$J, '&lt;&lt; Working &gt;&gt;'!$D:$D, 'Supplier Wise Yearly'!$B$1, '&lt;&lt; Working &gt;&gt;'!$R:$R, 'Supplier Wise Yearly'!J$6, '&lt;&lt; Working &gt;&gt;'!$L:$L, 'Supplier Wise Yearly'!$B16, '&lt;&lt; Working &gt;&gt;'!$N:$N, 'Supplier Wise Yearly'!$B$2)</f>
        <v>0</v>
      </c>
      <c r="K16" s="39">
        <f>SUMIFS('&lt;&lt; Working &gt;&gt;'!$J:$J, '&lt;&lt; Working &gt;&gt;'!$D:$D, 'Supplier Wise Yearly'!$B$1, '&lt;&lt; Working &gt;&gt;'!$R:$R, 'Supplier Wise Yearly'!K$6, '&lt;&lt; Working &gt;&gt;'!$L:$L, 'Supplier Wise Yearly'!$B16, '&lt;&lt; Working &gt;&gt;'!$N:$N, 'Supplier Wise Yearly'!$B$2)</f>
        <v>0</v>
      </c>
      <c r="L16" s="39">
        <f>SUMIFS('&lt;&lt; Working &gt;&gt;'!$J:$J, '&lt;&lt; Working &gt;&gt;'!$D:$D, 'Supplier Wise Yearly'!$B$1, '&lt;&lt; Working &gt;&gt;'!$R:$R, 'Supplier Wise Yearly'!L$6, '&lt;&lt; Working &gt;&gt;'!$L:$L, 'Supplier Wise Yearly'!$B16, '&lt;&lt; Working &gt;&gt;'!$N:$N, 'Supplier Wise Yearly'!$B$2)</f>
        <v>0</v>
      </c>
      <c r="M16" s="39">
        <f>SUMIFS('&lt;&lt; Working &gt;&gt;'!$J:$J, '&lt;&lt; Working &gt;&gt;'!$D:$D, 'Supplier Wise Yearly'!$B$1, '&lt;&lt; Working &gt;&gt;'!$R:$R, 'Supplier Wise Yearly'!M$6, '&lt;&lt; Working &gt;&gt;'!$L:$L, 'Supplier Wise Yearly'!$B16, '&lt;&lt; Working &gt;&gt;'!$N:$N, 'Supplier Wise Yearly'!$B$2)</f>
        <v>0</v>
      </c>
      <c r="N16" s="39">
        <f>SUMIFS('&lt;&lt; Working &gt;&gt;'!$J:$J, '&lt;&lt; Working &gt;&gt;'!$D:$D, 'Supplier Wise Yearly'!$B$1, '&lt;&lt; Working &gt;&gt;'!$R:$R, 'Supplier Wise Yearly'!N$6, '&lt;&lt; Working &gt;&gt;'!$L:$L, 'Supplier Wise Yearly'!$B16, '&lt;&lt; Working &gt;&gt;'!$N:$N, 'Supplier Wise Yearly'!$B$2)</f>
        <v>0</v>
      </c>
      <c r="O16" s="39">
        <f t="shared" si="2"/>
        <v>0</v>
      </c>
      <c r="Q16" t="str">
        <f t="shared" si="3"/>
        <v>No</v>
      </c>
    </row>
    <row r="17" spans="1:17" hidden="1" x14ac:dyDescent="0.3">
      <c r="A17" s="21" t="str">
        <f>VLOOKUP(B17, 'Items Master'!E:F,2,0)</f>
        <v>Import</v>
      </c>
      <c r="B17" s="21" t="s">
        <v>47</v>
      </c>
      <c r="C17" s="39">
        <f>SUMIFS('&lt;&lt; Working &gt;&gt;'!$J:$J, '&lt;&lt; Working &gt;&gt;'!$D:$D, 'Supplier Wise Yearly'!$B$1, '&lt;&lt; Working &gt;&gt;'!$R:$R, 'Supplier Wise Yearly'!C$6, '&lt;&lt; Working &gt;&gt;'!$L:$L, 'Supplier Wise Yearly'!$B17, '&lt;&lt; Working &gt;&gt;'!$N:$N, 'Supplier Wise Yearly'!$B$2)</f>
        <v>0</v>
      </c>
      <c r="D17" s="39">
        <f>SUMIFS('&lt;&lt; Working &gt;&gt;'!$J:$J, '&lt;&lt; Working &gt;&gt;'!$D:$D, 'Supplier Wise Yearly'!$B$1, '&lt;&lt; Working &gt;&gt;'!$R:$R, 'Supplier Wise Yearly'!D$6, '&lt;&lt; Working &gt;&gt;'!$L:$L, 'Supplier Wise Yearly'!$B17, '&lt;&lt; Working &gt;&gt;'!$N:$N, 'Supplier Wise Yearly'!$B$2)</f>
        <v>0</v>
      </c>
      <c r="E17" s="39">
        <f>SUMIFS('&lt;&lt; Working &gt;&gt;'!$J:$J, '&lt;&lt; Working &gt;&gt;'!$D:$D, 'Supplier Wise Yearly'!$B$1, '&lt;&lt; Working &gt;&gt;'!$R:$R, 'Supplier Wise Yearly'!E$6, '&lt;&lt; Working &gt;&gt;'!$L:$L, 'Supplier Wise Yearly'!$B17, '&lt;&lt; Working &gt;&gt;'!$N:$N, 'Supplier Wise Yearly'!$B$2)</f>
        <v>0</v>
      </c>
      <c r="F17" s="39">
        <f>SUMIFS('&lt;&lt; Working &gt;&gt;'!$J:$J, '&lt;&lt; Working &gt;&gt;'!$D:$D, 'Supplier Wise Yearly'!$B$1, '&lt;&lt; Working &gt;&gt;'!$R:$R, 'Supplier Wise Yearly'!F$6, '&lt;&lt; Working &gt;&gt;'!$L:$L, 'Supplier Wise Yearly'!$B17, '&lt;&lt; Working &gt;&gt;'!$N:$N, 'Supplier Wise Yearly'!$B$2)</f>
        <v>0</v>
      </c>
      <c r="G17" s="39">
        <f>SUMIFS('&lt;&lt; Working &gt;&gt;'!$J:$J, '&lt;&lt; Working &gt;&gt;'!$D:$D, 'Supplier Wise Yearly'!$B$1, '&lt;&lt; Working &gt;&gt;'!$R:$R, 'Supplier Wise Yearly'!G$6, '&lt;&lt; Working &gt;&gt;'!$L:$L, 'Supplier Wise Yearly'!$B17, '&lt;&lt; Working &gt;&gt;'!$N:$N, 'Supplier Wise Yearly'!$B$2)</f>
        <v>0</v>
      </c>
      <c r="H17" s="39">
        <f>SUMIFS('&lt;&lt; Working &gt;&gt;'!$J:$J, '&lt;&lt; Working &gt;&gt;'!$D:$D, 'Supplier Wise Yearly'!$B$1, '&lt;&lt; Working &gt;&gt;'!$R:$R, 'Supplier Wise Yearly'!H$6, '&lt;&lt; Working &gt;&gt;'!$L:$L, 'Supplier Wise Yearly'!$B17, '&lt;&lt; Working &gt;&gt;'!$N:$N, 'Supplier Wise Yearly'!$B$2)</f>
        <v>0</v>
      </c>
      <c r="I17" s="39">
        <f>SUMIFS('&lt;&lt; Working &gt;&gt;'!$J:$J, '&lt;&lt; Working &gt;&gt;'!$D:$D, 'Supplier Wise Yearly'!$B$1, '&lt;&lt; Working &gt;&gt;'!$R:$R, 'Supplier Wise Yearly'!I$6, '&lt;&lt; Working &gt;&gt;'!$L:$L, 'Supplier Wise Yearly'!$B17, '&lt;&lt; Working &gt;&gt;'!$N:$N, 'Supplier Wise Yearly'!$B$2)</f>
        <v>0</v>
      </c>
      <c r="J17" s="39">
        <f>SUMIFS('&lt;&lt; Working &gt;&gt;'!$J:$J, '&lt;&lt; Working &gt;&gt;'!$D:$D, 'Supplier Wise Yearly'!$B$1, '&lt;&lt; Working &gt;&gt;'!$R:$R, 'Supplier Wise Yearly'!J$6, '&lt;&lt; Working &gt;&gt;'!$L:$L, 'Supplier Wise Yearly'!$B17, '&lt;&lt; Working &gt;&gt;'!$N:$N, 'Supplier Wise Yearly'!$B$2)</f>
        <v>0</v>
      </c>
      <c r="K17" s="39">
        <f>SUMIFS('&lt;&lt; Working &gt;&gt;'!$J:$J, '&lt;&lt; Working &gt;&gt;'!$D:$D, 'Supplier Wise Yearly'!$B$1, '&lt;&lt; Working &gt;&gt;'!$R:$R, 'Supplier Wise Yearly'!K$6, '&lt;&lt; Working &gt;&gt;'!$L:$L, 'Supplier Wise Yearly'!$B17, '&lt;&lt; Working &gt;&gt;'!$N:$N, 'Supplier Wise Yearly'!$B$2)</f>
        <v>0</v>
      </c>
      <c r="L17" s="39">
        <f>SUMIFS('&lt;&lt; Working &gt;&gt;'!$J:$J, '&lt;&lt; Working &gt;&gt;'!$D:$D, 'Supplier Wise Yearly'!$B$1, '&lt;&lt; Working &gt;&gt;'!$R:$R, 'Supplier Wise Yearly'!L$6, '&lt;&lt; Working &gt;&gt;'!$L:$L, 'Supplier Wise Yearly'!$B17, '&lt;&lt; Working &gt;&gt;'!$N:$N, 'Supplier Wise Yearly'!$B$2)</f>
        <v>0</v>
      </c>
      <c r="M17" s="39">
        <f>SUMIFS('&lt;&lt; Working &gt;&gt;'!$J:$J, '&lt;&lt; Working &gt;&gt;'!$D:$D, 'Supplier Wise Yearly'!$B$1, '&lt;&lt; Working &gt;&gt;'!$R:$R, 'Supplier Wise Yearly'!M$6, '&lt;&lt; Working &gt;&gt;'!$L:$L, 'Supplier Wise Yearly'!$B17, '&lt;&lt; Working &gt;&gt;'!$N:$N, 'Supplier Wise Yearly'!$B$2)</f>
        <v>0</v>
      </c>
      <c r="N17" s="39">
        <f>SUMIFS('&lt;&lt; Working &gt;&gt;'!$J:$J, '&lt;&lt; Working &gt;&gt;'!$D:$D, 'Supplier Wise Yearly'!$B$1, '&lt;&lt; Working &gt;&gt;'!$R:$R, 'Supplier Wise Yearly'!N$6, '&lt;&lt; Working &gt;&gt;'!$L:$L, 'Supplier Wise Yearly'!$B17, '&lt;&lt; Working &gt;&gt;'!$N:$N, 'Supplier Wise Yearly'!$B$2)</f>
        <v>0</v>
      </c>
      <c r="O17" s="39">
        <f t="shared" si="2"/>
        <v>0</v>
      </c>
      <c r="Q17" t="str">
        <f t="shared" si="3"/>
        <v>No</v>
      </c>
    </row>
    <row r="18" spans="1:17" hidden="1" x14ac:dyDescent="0.3">
      <c r="A18" s="21" t="str">
        <f>VLOOKUP(B18, 'Items Master'!E:F,2,0)</f>
        <v>Import</v>
      </c>
      <c r="B18" s="21" t="s">
        <v>1037</v>
      </c>
      <c r="C18" s="39">
        <f>SUMIFS('&lt;&lt; Working &gt;&gt;'!$J:$J, '&lt;&lt; Working &gt;&gt;'!$D:$D, 'Supplier Wise Yearly'!$B$1, '&lt;&lt; Working &gt;&gt;'!$R:$R, 'Supplier Wise Yearly'!C$6, '&lt;&lt; Working &gt;&gt;'!$L:$L, 'Supplier Wise Yearly'!$B18, '&lt;&lt; Working &gt;&gt;'!$N:$N, 'Supplier Wise Yearly'!$B$2)</f>
        <v>0</v>
      </c>
      <c r="D18" s="39">
        <f>SUMIFS('&lt;&lt; Working &gt;&gt;'!$J:$J, '&lt;&lt; Working &gt;&gt;'!$D:$D, 'Supplier Wise Yearly'!$B$1, '&lt;&lt; Working &gt;&gt;'!$R:$R, 'Supplier Wise Yearly'!D$6, '&lt;&lt; Working &gt;&gt;'!$L:$L, 'Supplier Wise Yearly'!$B18, '&lt;&lt; Working &gt;&gt;'!$N:$N, 'Supplier Wise Yearly'!$B$2)</f>
        <v>0</v>
      </c>
      <c r="E18" s="39">
        <f>SUMIFS('&lt;&lt; Working &gt;&gt;'!$J:$J, '&lt;&lt; Working &gt;&gt;'!$D:$D, 'Supplier Wise Yearly'!$B$1, '&lt;&lt; Working &gt;&gt;'!$R:$R, 'Supplier Wise Yearly'!E$6, '&lt;&lt; Working &gt;&gt;'!$L:$L, 'Supplier Wise Yearly'!$B18, '&lt;&lt; Working &gt;&gt;'!$N:$N, 'Supplier Wise Yearly'!$B$2)</f>
        <v>0</v>
      </c>
      <c r="F18" s="39">
        <f>SUMIFS('&lt;&lt; Working &gt;&gt;'!$J:$J, '&lt;&lt; Working &gt;&gt;'!$D:$D, 'Supplier Wise Yearly'!$B$1, '&lt;&lt; Working &gt;&gt;'!$R:$R, 'Supplier Wise Yearly'!F$6, '&lt;&lt; Working &gt;&gt;'!$L:$L, 'Supplier Wise Yearly'!$B18, '&lt;&lt; Working &gt;&gt;'!$N:$N, 'Supplier Wise Yearly'!$B$2)</f>
        <v>0</v>
      </c>
      <c r="G18" s="39">
        <f>SUMIFS('&lt;&lt; Working &gt;&gt;'!$J:$J, '&lt;&lt; Working &gt;&gt;'!$D:$D, 'Supplier Wise Yearly'!$B$1, '&lt;&lt; Working &gt;&gt;'!$R:$R, 'Supplier Wise Yearly'!G$6, '&lt;&lt; Working &gt;&gt;'!$L:$L, 'Supplier Wise Yearly'!$B18, '&lt;&lt; Working &gt;&gt;'!$N:$N, 'Supplier Wise Yearly'!$B$2)</f>
        <v>0</v>
      </c>
      <c r="H18" s="39">
        <f>SUMIFS('&lt;&lt; Working &gt;&gt;'!$J:$J, '&lt;&lt; Working &gt;&gt;'!$D:$D, 'Supplier Wise Yearly'!$B$1, '&lt;&lt; Working &gt;&gt;'!$R:$R, 'Supplier Wise Yearly'!H$6, '&lt;&lt; Working &gt;&gt;'!$L:$L, 'Supplier Wise Yearly'!$B18, '&lt;&lt; Working &gt;&gt;'!$N:$N, 'Supplier Wise Yearly'!$B$2)</f>
        <v>0</v>
      </c>
      <c r="I18" s="39">
        <f>SUMIFS('&lt;&lt; Working &gt;&gt;'!$J:$J, '&lt;&lt; Working &gt;&gt;'!$D:$D, 'Supplier Wise Yearly'!$B$1, '&lt;&lt; Working &gt;&gt;'!$R:$R, 'Supplier Wise Yearly'!I$6, '&lt;&lt; Working &gt;&gt;'!$L:$L, 'Supplier Wise Yearly'!$B18, '&lt;&lt; Working &gt;&gt;'!$N:$N, 'Supplier Wise Yearly'!$B$2)</f>
        <v>0</v>
      </c>
      <c r="J18" s="39">
        <f>SUMIFS('&lt;&lt; Working &gt;&gt;'!$J:$J, '&lt;&lt; Working &gt;&gt;'!$D:$D, 'Supplier Wise Yearly'!$B$1, '&lt;&lt; Working &gt;&gt;'!$R:$R, 'Supplier Wise Yearly'!J$6, '&lt;&lt; Working &gt;&gt;'!$L:$L, 'Supplier Wise Yearly'!$B18, '&lt;&lt; Working &gt;&gt;'!$N:$N, 'Supplier Wise Yearly'!$B$2)</f>
        <v>0</v>
      </c>
      <c r="K18" s="39">
        <f>SUMIFS('&lt;&lt; Working &gt;&gt;'!$J:$J, '&lt;&lt; Working &gt;&gt;'!$D:$D, 'Supplier Wise Yearly'!$B$1, '&lt;&lt; Working &gt;&gt;'!$R:$R, 'Supplier Wise Yearly'!K$6, '&lt;&lt; Working &gt;&gt;'!$L:$L, 'Supplier Wise Yearly'!$B18, '&lt;&lt; Working &gt;&gt;'!$N:$N, 'Supplier Wise Yearly'!$B$2)</f>
        <v>0</v>
      </c>
      <c r="L18" s="39">
        <f>SUMIFS('&lt;&lt; Working &gt;&gt;'!$J:$J, '&lt;&lt; Working &gt;&gt;'!$D:$D, 'Supplier Wise Yearly'!$B$1, '&lt;&lt; Working &gt;&gt;'!$R:$R, 'Supplier Wise Yearly'!L$6, '&lt;&lt; Working &gt;&gt;'!$L:$L, 'Supplier Wise Yearly'!$B18, '&lt;&lt; Working &gt;&gt;'!$N:$N, 'Supplier Wise Yearly'!$B$2)</f>
        <v>0</v>
      </c>
      <c r="M18" s="39">
        <f>SUMIFS('&lt;&lt; Working &gt;&gt;'!$J:$J, '&lt;&lt; Working &gt;&gt;'!$D:$D, 'Supplier Wise Yearly'!$B$1, '&lt;&lt; Working &gt;&gt;'!$R:$R, 'Supplier Wise Yearly'!M$6, '&lt;&lt; Working &gt;&gt;'!$L:$L, 'Supplier Wise Yearly'!$B18, '&lt;&lt; Working &gt;&gt;'!$N:$N, 'Supplier Wise Yearly'!$B$2)</f>
        <v>0</v>
      </c>
      <c r="N18" s="39">
        <f>SUMIFS('&lt;&lt; Working &gt;&gt;'!$J:$J, '&lt;&lt; Working &gt;&gt;'!$D:$D, 'Supplier Wise Yearly'!$B$1, '&lt;&lt; Working &gt;&gt;'!$R:$R, 'Supplier Wise Yearly'!N$6, '&lt;&lt; Working &gt;&gt;'!$L:$L, 'Supplier Wise Yearly'!$B18, '&lt;&lt; Working &gt;&gt;'!$N:$N, 'Supplier Wise Yearly'!$B$2)</f>
        <v>0</v>
      </c>
      <c r="O18" s="39">
        <f t="shared" si="2"/>
        <v>0</v>
      </c>
      <c r="Q18" t="str">
        <f t="shared" si="3"/>
        <v>No</v>
      </c>
    </row>
    <row r="19" spans="1:17" hidden="1" x14ac:dyDescent="0.3">
      <c r="A19" s="21" t="str">
        <f>VLOOKUP(B19, 'Items Master'!E:F,2,0)</f>
        <v>Others</v>
      </c>
      <c r="B19" s="21" t="s">
        <v>1041</v>
      </c>
      <c r="C19" s="39">
        <f>SUMIFS('&lt;&lt; Working &gt;&gt;'!$J:$J, '&lt;&lt; Working &gt;&gt;'!$D:$D, 'Supplier Wise Yearly'!$B$1, '&lt;&lt; Working &gt;&gt;'!$R:$R, 'Supplier Wise Yearly'!C$6, '&lt;&lt; Working &gt;&gt;'!$L:$L, 'Supplier Wise Yearly'!$B19, '&lt;&lt; Working &gt;&gt;'!$N:$N, 'Supplier Wise Yearly'!$B$2)</f>
        <v>0</v>
      </c>
      <c r="D19" s="39">
        <f>SUMIFS('&lt;&lt; Working &gt;&gt;'!$J:$J, '&lt;&lt; Working &gt;&gt;'!$D:$D, 'Supplier Wise Yearly'!$B$1, '&lt;&lt; Working &gt;&gt;'!$R:$R, 'Supplier Wise Yearly'!D$6, '&lt;&lt; Working &gt;&gt;'!$L:$L, 'Supplier Wise Yearly'!$B19, '&lt;&lt; Working &gt;&gt;'!$N:$N, 'Supplier Wise Yearly'!$B$2)</f>
        <v>0</v>
      </c>
      <c r="E19" s="39">
        <f>SUMIFS('&lt;&lt; Working &gt;&gt;'!$J:$J, '&lt;&lt; Working &gt;&gt;'!$D:$D, 'Supplier Wise Yearly'!$B$1, '&lt;&lt; Working &gt;&gt;'!$R:$R, 'Supplier Wise Yearly'!E$6, '&lt;&lt; Working &gt;&gt;'!$L:$L, 'Supplier Wise Yearly'!$B19, '&lt;&lt; Working &gt;&gt;'!$N:$N, 'Supplier Wise Yearly'!$B$2)</f>
        <v>0</v>
      </c>
      <c r="F19" s="39">
        <f>SUMIFS('&lt;&lt; Working &gt;&gt;'!$J:$J, '&lt;&lt; Working &gt;&gt;'!$D:$D, 'Supplier Wise Yearly'!$B$1, '&lt;&lt; Working &gt;&gt;'!$R:$R, 'Supplier Wise Yearly'!F$6, '&lt;&lt; Working &gt;&gt;'!$L:$L, 'Supplier Wise Yearly'!$B19, '&lt;&lt; Working &gt;&gt;'!$N:$N, 'Supplier Wise Yearly'!$B$2)</f>
        <v>0</v>
      </c>
      <c r="G19" s="39">
        <f>SUMIFS('&lt;&lt; Working &gt;&gt;'!$J:$J, '&lt;&lt; Working &gt;&gt;'!$D:$D, 'Supplier Wise Yearly'!$B$1, '&lt;&lt; Working &gt;&gt;'!$R:$R, 'Supplier Wise Yearly'!G$6, '&lt;&lt; Working &gt;&gt;'!$L:$L, 'Supplier Wise Yearly'!$B19, '&lt;&lt; Working &gt;&gt;'!$N:$N, 'Supplier Wise Yearly'!$B$2)</f>
        <v>0</v>
      </c>
      <c r="H19" s="39">
        <f>SUMIFS('&lt;&lt; Working &gt;&gt;'!$J:$J, '&lt;&lt; Working &gt;&gt;'!$D:$D, 'Supplier Wise Yearly'!$B$1, '&lt;&lt; Working &gt;&gt;'!$R:$R, 'Supplier Wise Yearly'!H$6, '&lt;&lt; Working &gt;&gt;'!$L:$L, 'Supplier Wise Yearly'!$B19, '&lt;&lt; Working &gt;&gt;'!$N:$N, 'Supplier Wise Yearly'!$B$2)</f>
        <v>0</v>
      </c>
      <c r="I19" s="39">
        <f>SUMIFS('&lt;&lt; Working &gt;&gt;'!$J:$J, '&lt;&lt; Working &gt;&gt;'!$D:$D, 'Supplier Wise Yearly'!$B$1, '&lt;&lt; Working &gt;&gt;'!$R:$R, 'Supplier Wise Yearly'!I$6, '&lt;&lt; Working &gt;&gt;'!$L:$L, 'Supplier Wise Yearly'!$B19, '&lt;&lt; Working &gt;&gt;'!$N:$N, 'Supplier Wise Yearly'!$B$2)</f>
        <v>0</v>
      </c>
      <c r="J19" s="39">
        <f>SUMIFS('&lt;&lt; Working &gt;&gt;'!$J:$J, '&lt;&lt; Working &gt;&gt;'!$D:$D, 'Supplier Wise Yearly'!$B$1, '&lt;&lt; Working &gt;&gt;'!$R:$R, 'Supplier Wise Yearly'!J$6, '&lt;&lt; Working &gt;&gt;'!$L:$L, 'Supplier Wise Yearly'!$B19, '&lt;&lt; Working &gt;&gt;'!$N:$N, 'Supplier Wise Yearly'!$B$2)</f>
        <v>0</v>
      </c>
      <c r="K19" s="39">
        <f>SUMIFS('&lt;&lt; Working &gt;&gt;'!$J:$J, '&lt;&lt; Working &gt;&gt;'!$D:$D, 'Supplier Wise Yearly'!$B$1, '&lt;&lt; Working &gt;&gt;'!$R:$R, 'Supplier Wise Yearly'!K$6, '&lt;&lt; Working &gt;&gt;'!$L:$L, 'Supplier Wise Yearly'!$B19, '&lt;&lt; Working &gt;&gt;'!$N:$N, 'Supplier Wise Yearly'!$B$2)</f>
        <v>0</v>
      </c>
      <c r="L19" s="39">
        <f>SUMIFS('&lt;&lt; Working &gt;&gt;'!$J:$J, '&lt;&lt; Working &gt;&gt;'!$D:$D, 'Supplier Wise Yearly'!$B$1, '&lt;&lt; Working &gt;&gt;'!$R:$R, 'Supplier Wise Yearly'!L$6, '&lt;&lt; Working &gt;&gt;'!$L:$L, 'Supplier Wise Yearly'!$B19, '&lt;&lt; Working &gt;&gt;'!$N:$N, 'Supplier Wise Yearly'!$B$2)</f>
        <v>0</v>
      </c>
      <c r="M19" s="39">
        <f>SUMIFS('&lt;&lt; Working &gt;&gt;'!$J:$J, '&lt;&lt; Working &gt;&gt;'!$D:$D, 'Supplier Wise Yearly'!$B$1, '&lt;&lt; Working &gt;&gt;'!$R:$R, 'Supplier Wise Yearly'!M$6, '&lt;&lt; Working &gt;&gt;'!$L:$L, 'Supplier Wise Yearly'!$B19, '&lt;&lt; Working &gt;&gt;'!$N:$N, 'Supplier Wise Yearly'!$B$2)</f>
        <v>0</v>
      </c>
      <c r="N19" s="39">
        <f>SUMIFS('&lt;&lt; Working &gt;&gt;'!$J:$J, '&lt;&lt; Working &gt;&gt;'!$D:$D, 'Supplier Wise Yearly'!$B$1, '&lt;&lt; Working &gt;&gt;'!$R:$R, 'Supplier Wise Yearly'!N$6, '&lt;&lt; Working &gt;&gt;'!$L:$L, 'Supplier Wise Yearly'!$B19, '&lt;&lt; Working &gt;&gt;'!$N:$N, 'Supplier Wise Yearly'!$B$2)</f>
        <v>0</v>
      </c>
      <c r="O19" s="39">
        <f t="shared" si="2"/>
        <v>0</v>
      </c>
      <c r="Q19" t="str">
        <f t="shared" si="3"/>
        <v>No</v>
      </c>
    </row>
    <row r="20" spans="1:17" hidden="1" x14ac:dyDescent="0.3">
      <c r="A20" s="21" t="str">
        <f>VLOOKUP(B20, 'Items Master'!E:F,2,0)</f>
        <v>Import</v>
      </c>
      <c r="B20" s="21" t="s">
        <v>1047</v>
      </c>
      <c r="C20" s="39">
        <f>SUMIFS('&lt;&lt; Working &gt;&gt;'!$J:$J, '&lt;&lt; Working &gt;&gt;'!$D:$D, 'Supplier Wise Yearly'!$B$1, '&lt;&lt; Working &gt;&gt;'!$R:$R, 'Supplier Wise Yearly'!C$6, '&lt;&lt; Working &gt;&gt;'!$L:$L, 'Supplier Wise Yearly'!$B20, '&lt;&lt; Working &gt;&gt;'!$N:$N, 'Supplier Wise Yearly'!$B$2)</f>
        <v>0</v>
      </c>
      <c r="D20" s="39">
        <f>SUMIFS('&lt;&lt; Working &gt;&gt;'!$J:$J, '&lt;&lt; Working &gt;&gt;'!$D:$D, 'Supplier Wise Yearly'!$B$1, '&lt;&lt; Working &gt;&gt;'!$R:$R, 'Supplier Wise Yearly'!D$6, '&lt;&lt; Working &gt;&gt;'!$L:$L, 'Supplier Wise Yearly'!$B20, '&lt;&lt; Working &gt;&gt;'!$N:$N, 'Supplier Wise Yearly'!$B$2)</f>
        <v>0</v>
      </c>
      <c r="E20" s="39">
        <f>SUMIFS('&lt;&lt; Working &gt;&gt;'!$J:$J, '&lt;&lt; Working &gt;&gt;'!$D:$D, 'Supplier Wise Yearly'!$B$1, '&lt;&lt; Working &gt;&gt;'!$R:$R, 'Supplier Wise Yearly'!E$6, '&lt;&lt; Working &gt;&gt;'!$L:$L, 'Supplier Wise Yearly'!$B20, '&lt;&lt; Working &gt;&gt;'!$N:$N, 'Supplier Wise Yearly'!$B$2)</f>
        <v>0</v>
      </c>
      <c r="F20" s="39">
        <f>SUMIFS('&lt;&lt; Working &gt;&gt;'!$J:$J, '&lt;&lt; Working &gt;&gt;'!$D:$D, 'Supplier Wise Yearly'!$B$1, '&lt;&lt; Working &gt;&gt;'!$R:$R, 'Supplier Wise Yearly'!F$6, '&lt;&lt; Working &gt;&gt;'!$L:$L, 'Supplier Wise Yearly'!$B20, '&lt;&lt; Working &gt;&gt;'!$N:$N, 'Supplier Wise Yearly'!$B$2)</f>
        <v>0</v>
      </c>
      <c r="G20" s="39">
        <f>SUMIFS('&lt;&lt; Working &gt;&gt;'!$J:$J, '&lt;&lt; Working &gt;&gt;'!$D:$D, 'Supplier Wise Yearly'!$B$1, '&lt;&lt; Working &gt;&gt;'!$R:$R, 'Supplier Wise Yearly'!G$6, '&lt;&lt; Working &gt;&gt;'!$L:$L, 'Supplier Wise Yearly'!$B20, '&lt;&lt; Working &gt;&gt;'!$N:$N, 'Supplier Wise Yearly'!$B$2)</f>
        <v>0</v>
      </c>
      <c r="H20" s="39">
        <f>SUMIFS('&lt;&lt; Working &gt;&gt;'!$J:$J, '&lt;&lt; Working &gt;&gt;'!$D:$D, 'Supplier Wise Yearly'!$B$1, '&lt;&lt; Working &gt;&gt;'!$R:$R, 'Supplier Wise Yearly'!H$6, '&lt;&lt; Working &gt;&gt;'!$L:$L, 'Supplier Wise Yearly'!$B20, '&lt;&lt; Working &gt;&gt;'!$N:$N, 'Supplier Wise Yearly'!$B$2)</f>
        <v>0</v>
      </c>
      <c r="I20" s="39">
        <f>SUMIFS('&lt;&lt; Working &gt;&gt;'!$J:$J, '&lt;&lt; Working &gt;&gt;'!$D:$D, 'Supplier Wise Yearly'!$B$1, '&lt;&lt; Working &gt;&gt;'!$R:$R, 'Supplier Wise Yearly'!I$6, '&lt;&lt; Working &gt;&gt;'!$L:$L, 'Supplier Wise Yearly'!$B20, '&lt;&lt; Working &gt;&gt;'!$N:$N, 'Supplier Wise Yearly'!$B$2)</f>
        <v>0</v>
      </c>
      <c r="J20" s="39">
        <f>SUMIFS('&lt;&lt; Working &gt;&gt;'!$J:$J, '&lt;&lt; Working &gt;&gt;'!$D:$D, 'Supplier Wise Yearly'!$B$1, '&lt;&lt; Working &gt;&gt;'!$R:$R, 'Supplier Wise Yearly'!J$6, '&lt;&lt; Working &gt;&gt;'!$L:$L, 'Supplier Wise Yearly'!$B20, '&lt;&lt; Working &gt;&gt;'!$N:$N, 'Supplier Wise Yearly'!$B$2)</f>
        <v>0</v>
      </c>
      <c r="K20" s="39">
        <f>SUMIFS('&lt;&lt; Working &gt;&gt;'!$J:$J, '&lt;&lt; Working &gt;&gt;'!$D:$D, 'Supplier Wise Yearly'!$B$1, '&lt;&lt; Working &gt;&gt;'!$R:$R, 'Supplier Wise Yearly'!K$6, '&lt;&lt; Working &gt;&gt;'!$L:$L, 'Supplier Wise Yearly'!$B20, '&lt;&lt; Working &gt;&gt;'!$N:$N, 'Supplier Wise Yearly'!$B$2)</f>
        <v>0</v>
      </c>
      <c r="L20" s="39">
        <f>SUMIFS('&lt;&lt; Working &gt;&gt;'!$J:$J, '&lt;&lt; Working &gt;&gt;'!$D:$D, 'Supplier Wise Yearly'!$B$1, '&lt;&lt; Working &gt;&gt;'!$R:$R, 'Supplier Wise Yearly'!L$6, '&lt;&lt; Working &gt;&gt;'!$L:$L, 'Supplier Wise Yearly'!$B20, '&lt;&lt; Working &gt;&gt;'!$N:$N, 'Supplier Wise Yearly'!$B$2)</f>
        <v>0</v>
      </c>
      <c r="M20" s="39">
        <f>SUMIFS('&lt;&lt; Working &gt;&gt;'!$J:$J, '&lt;&lt; Working &gt;&gt;'!$D:$D, 'Supplier Wise Yearly'!$B$1, '&lt;&lt; Working &gt;&gt;'!$R:$R, 'Supplier Wise Yearly'!M$6, '&lt;&lt; Working &gt;&gt;'!$L:$L, 'Supplier Wise Yearly'!$B20, '&lt;&lt; Working &gt;&gt;'!$N:$N, 'Supplier Wise Yearly'!$B$2)</f>
        <v>0</v>
      </c>
      <c r="N20" s="39">
        <f>SUMIFS('&lt;&lt; Working &gt;&gt;'!$J:$J, '&lt;&lt; Working &gt;&gt;'!$D:$D, 'Supplier Wise Yearly'!$B$1, '&lt;&lt; Working &gt;&gt;'!$R:$R, 'Supplier Wise Yearly'!N$6, '&lt;&lt; Working &gt;&gt;'!$L:$L, 'Supplier Wise Yearly'!$B20, '&lt;&lt; Working &gt;&gt;'!$N:$N, 'Supplier Wise Yearly'!$B$2)</f>
        <v>0</v>
      </c>
      <c r="O20" s="39">
        <f t="shared" si="2"/>
        <v>0</v>
      </c>
      <c r="Q20" t="str">
        <f t="shared" si="3"/>
        <v>No</v>
      </c>
    </row>
    <row r="21" spans="1:17" hidden="1" x14ac:dyDescent="0.3">
      <c r="A21" s="21" t="str">
        <f>VLOOKUP(B21, 'Items Master'!E:F,2,0)</f>
        <v>Import</v>
      </c>
      <c r="B21" s="21" t="s">
        <v>1051</v>
      </c>
      <c r="C21" s="39">
        <f>SUMIFS('&lt;&lt; Working &gt;&gt;'!$J:$J, '&lt;&lt; Working &gt;&gt;'!$D:$D, 'Supplier Wise Yearly'!$B$1, '&lt;&lt; Working &gt;&gt;'!$R:$R, 'Supplier Wise Yearly'!C$6, '&lt;&lt; Working &gt;&gt;'!$L:$L, 'Supplier Wise Yearly'!$B21, '&lt;&lt; Working &gt;&gt;'!$N:$N, 'Supplier Wise Yearly'!$B$2)</f>
        <v>0</v>
      </c>
      <c r="D21" s="39">
        <f>SUMIFS('&lt;&lt; Working &gt;&gt;'!$J:$J, '&lt;&lt; Working &gt;&gt;'!$D:$D, 'Supplier Wise Yearly'!$B$1, '&lt;&lt; Working &gt;&gt;'!$R:$R, 'Supplier Wise Yearly'!D$6, '&lt;&lt; Working &gt;&gt;'!$L:$L, 'Supplier Wise Yearly'!$B21, '&lt;&lt; Working &gt;&gt;'!$N:$N, 'Supplier Wise Yearly'!$B$2)</f>
        <v>0</v>
      </c>
      <c r="E21" s="39">
        <f>SUMIFS('&lt;&lt; Working &gt;&gt;'!$J:$J, '&lt;&lt; Working &gt;&gt;'!$D:$D, 'Supplier Wise Yearly'!$B$1, '&lt;&lt; Working &gt;&gt;'!$R:$R, 'Supplier Wise Yearly'!E$6, '&lt;&lt; Working &gt;&gt;'!$L:$L, 'Supplier Wise Yearly'!$B21, '&lt;&lt; Working &gt;&gt;'!$N:$N, 'Supplier Wise Yearly'!$B$2)</f>
        <v>0</v>
      </c>
      <c r="F21" s="39">
        <f>SUMIFS('&lt;&lt; Working &gt;&gt;'!$J:$J, '&lt;&lt; Working &gt;&gt;'!$D:$D, 'Supplier Wise Yearly'!$B$1, '&lt;&lt; Working &gt;&gt;'!$R:$R, 'Supplier Wise Yearly'!F$6, '&lt;&lt; Working &gt;&gt;'!$L:$L, 'Supplier Wise Yearly'!$B21, '&lt;&lt; Working &gt;&gt;'!$N:$N, 'Supplier Wise Yearly'!$B$2)</f>
        <v>0</v>
      </c>
      <c r="G21" s="39">
        <f>SUMIFS('&lt;&lt; Working &gt;&gt;'!$J:$J, '&lt;&lt; Working &gt;&gt;'!$D:$D, 'Supplier Wise Yearly'!$B$1, '&lt;&lt; Working &gt;&gt;'!$R:$R, 'Supplier Wise Yearly'!G$6, '&lt;&lt; Working &gt;&gt;'!$L:$L, 'Supplier Wise Yearly'!$B21, '&lt;&lt; Working &gt;&gt;'!$N:$N, 'Supplier Wise Yearly'!$B$2)</f>
        <v>0</v>
      </c>
      <c r="H21" s="39">
        <f>SUMIFS('&lt;&lt; Working &gt;&gt;'!$J:$J, '&lt;&lt; Working &gt;&gt;'!$D:$D, 'Supplier Wise Yearly'!$B$1, '&lt;&lt; Working &gt;&gt;'!$R:$R, 'Supplier Wise Yearly'!H$6, '&lt;&lt; Working &gt;&gt;'!$L:$L, 'Supplier Wise Yearly'!$B21, '&lt;&lt; Working &gt;&gt;'!$N:$N, 'Supplier Wise Yearly'!$B$2)</f>
        <v>0</v>
      </c>
      <c r="I21" s="39">
        <f>SUMIFS('&lt;&lt; Working &gt;&gt;'!$J:$J, '&lt;&lt; Working &gt;&gt;'!$D:$D, 'Supplier Wise Yearly'!$B$1, '&lt;&lt; Working &gt;&gt;'!$R:$R, 'Supplier Wise Yearly'!I$6, '&lt;&lt; Working &gt;&gt;'!$L:$L, 'Supplier Wise Yearly'!$B21, '&lt;&lt; Working &gt;&gt;'!$N:$N, 'Supplier Wise Yearly'!$B$2)</f>
        <v>0</v>
      </c>
      <c r="J21" s="39">
        <f>SUMIFS('&lt;&lt; Working &gt;&gt;'!$J:$J, '&lt;&lt; Working &gt;&gt;'!$D:$D, 'Supplier Wise Yearly'!$B$1, '&lt;&lt; Working &gt;&gt;'!$R:$R, 'Supplier Wise Yearly'!J$6, '&lt;&lt; Working &gt;&gt;'!$L:$L, 'Supplier Wise Yearly'!$B21, '&lt;&lt; Working &gt;&gt;'!$N:$N, 'Supplier Wise Yearly'!$B$2)</f>
        <v>0</v>
      </c>
      <c r="K21" s="39">
        <f>SUMIFS('&lt;&lt; Working &gt;&gt;'!$J:$J, '&lt;&lt; Working &gt;&gt;'!$D:$D, 'Supplier Wise Yearly'!$B$1, '&lt;&lt; Working &gt;&gt;'!$R:$R, 'Supplier Wise Yearly'!K$6, '&lt;&lt; Working &gt;&gt;'!$L:$L, 'Supplier Wise Yearly'!$B21, '&lt;&lt; Working &gt;&gt;'!$N:$N, 'Supplier Wise Yearly'!$B$2)</f>
        <v>0</v>
      </c>
      <c r="L21" s="39">
        <f>SUMIFS('&lt;&lt; Working &gt;&gt;'!$J:$J, '&lt;&lt; Working &gt;&gt;'!$D:$D, 'Supplier Wise Yearly'!$B$1, '&lt;&lt; Working &gt;&gt;'!$R:$R, 'Supplier Wise Yearly'!L$6, '&lt;&lt; Working &gt;&gt;'!$L:$L, 'Supplier Wise Yearly'!$B21, '&lt;&lt; Working &gt;&gt;'!$N:$N, 'Supplier Wise Yearly'!$B$2)</f>
        <v>0</v>
      </c>
      <c r="M21" s="39">
        <f>SUMIFS('&lt;&lt; Working &gt;&gt;'!$J:$J, '&lt;&lt; Working &gt;&gt;'!$D:$D, 'Supplier Wise Yearly'!$B$1, '&lt;&lt; Working &gt;&gt;'!$R:$R, 'Supplier Wise Yearly'!M$6, '&lt;&lt; Working &gt;&gt;'!$L:$L, 'Supplier Wise Yearly'!$B21, '&lt;&lt; Working &gt;&gt;'!$N:$N, 'Supplier Wise Yearly'!$B$2)</f>
        <v>0</v>
      </c>
      <c r="N21" s="39">
        <f>SUMIFS('&lt;&lt; Working &gt;&gt;'!$J:$J, '&lt;&lt; Working &gt;&gt;'!$D:$D, 'Supplier Wise Yearly'!$B$1, '&lt;&lt; Working &gt;&gt;'!$R:$R, 'Supplier Wise Yearly'!N$6, '&lt;&lt; Working &gt;&gt;'!$L:$L, 'Supplier Wise Yearly'!$B21, '&lt;&lt; Working &gt;&gt;'!$N:$N, 'Supplier Wise Yearly'!$B$2)</f>
        <v>0</v>
      </c>
      <c r="O21" s="39">
        <f t="shared" si="2"/>
        <v>0</v>
      </c>
      <c r="Q21" t="str">
        <f t="shared" si="3"/>
        <v>No</v>
      </c>
    </row>
    <row r="22" spans="1:17" hidden="1" x14ac:dyDescent="0.3">
      <c r="A22" s="21" t="str">
        <f>VLOOKUP(B22, 'Items Master'!E:F,2,0)</f>
        <v>Import</v>
      </c>
      <c r="B22" s="21" t="s">
        <v>44</v>
      </c>
      <c r="C22" s="39">
        <f>SUMIFS('&lt;&lt; Working &gt;&gt;'!$J:$J, '&lt;&lt; Working &gt;&gt;'!$D:$D, 'Supplier Wise Yearly'!$B$1, '&lt;&lt; Working &gt;&gt;'!$R:$R, 'Supplier Wise Yearly'!C$6, '&lt;&lt; Working &gt;&gt;'!$L:$L, 'Supplier Wise Yearly'!$B22, '&lt;&lt; Working &gt;&gt;'!$N:$N, 'Supplier Wise Yearly'!$B$2)</f>
        <v>0</v>
      </c>
      <c r="D22" s="39">
        <f>SUMIFS('&lt;&lt; Working &gt;&gt;'!$J:$J, '&lt;&lt; Working &gt;&gt;'!$D:$D, 'Supplier Wise Yearly'!$B$1, '&lt;&lt; Working &gt;&gt;'!$R:$R, 'Supplier Wise Yearly'!D$6, '&lt;&lt; Working &gt;&gt;'!$L:$L, 'Supplier Wise Yearly'!$B22, '&lt;&lt; Working &gt;&gt;'!$N:$N, 'Supplier Wise Yearly'!$B$2)</f>
        <v>0</v>
      </c>
      <c r="E22" s="39">
        <f>SUMIFS('&lt;&lt; Working &gt;&gt;'!$J:$J, '&lt;&lt; Working &gt;&gt;'!$D:$D, 'Supplier Wise Yearly'!$B$1, '&lt;&lt; Working &gt;&gt;'!$R:$R, 'Supplier Wise Yearly'!E$6, '&lt;&lt; Working &gt;&gt;'!$L:$L, 'Supplier Wise Yearly'!$B22, '&lt;&lt; Working &gt;&gt;'!$N:$N, 'Supplier Wise Yearly'!$B$2)</f>
        <v>0</v>
      </c>
      <c r="F22" s="39">
        <f>SUMIFS('&lt;&lt; Working &gt;&gt;'!$J:$J, '&lt;&lt; Working &gt;&gt;'!$D:$D, 'Supplier Wise Yearly'!$B$1, '&lt;&lt; Working &gt;&gt;'!$R:$R, 'Supplier Wise Yearly'!F$6, '&lt;&lt; Working &gt;&gt;'!$L:$L, 'Supplier Wise Yearly'!$B22, '&lt;&lt; Working &gt;&gt;'!$N:$N, 'Supplier Wise Yearly'!$B$2)</f>
        <v>0</v>
      </c>
      <c r="G22" s="39">
        <f>SUMIFS('&lt;&lt; Working &gt;&gt;'!$J:$J, '&lt;&lt; Working &gt;&gt;'!$D:$D, 'Supplier Wise Yearly'!$B$1, '&lt;&lt; Working &gt;&gt;'!$R:$R, 'Supplier Wise Yearly'!G$6, '&lt;&lt; Working &gt;&gt;'!$L:$L, 'Supplier Wise Yearly'!$B22, '&lt;&lt; Working &gt;&gt;'!$N:$N, 'Supplier Wise Yearly'!$B$2)</f>
        <v>0</v>
      </c>
      <c r="H22" s="39">
        <f>SUMIFS('&lt;&lt; Working &gt;&gt;'!$J:$J, '&lt;&lt; Working &gt;&gt;'!$D:$D, 'Supplier Wise Yearly'!$B$1, '&lt;&lt; Working &gt;&gt;'!$R:$R, 'Supplier Wise Yearly'!H$6, '&lt;&lt; Working &gt;&gt;'!$L:$L, 'Supplier Wise Yearly'!$B22, '&lt;&lt; Working &gt;&gt;'!$N:$N, 'Supplier Wise Yearly'!$B$2)</f>
        <v>0</v>
      </c>
      <c r="I22" s="39">
        <f>SUMIFS('&lt;&lt; Working &gt;&gt;'!$J:$J, '&lt;&lt; Working &gt;&gt;'!$D:$D, 'Supplier Wise Yearly'!$B$1, '&lt;&lt; Working &gt;&gt;'!$R:$R, 'Supplier Wise Yearly'!I$6, '&lt;&lt; Working &gt;&gt;'!$L:$L, 'Supplier Wise Yearly'!$B22, '&lt;&lt; Working &gt;&gt;'!$N:$N, 'Supplier Wise Yearly'!$B$2)</f>
        <v>0</v>
      </c>
      <c r="J22" s="39">
        <f>SUMIFS('&lt;&lt; Working &gt;&gt;'!$J:$J, '&lt;&lt; Working &gt;&gt;'!$D:$D, 'Supplier Wise Yearly'!$B$1, '&lt;&lt; Working &gt;&gt;'!$R:$R, 'Supplier Wise Yearly'!J$6, '&lt;&lt; Working &gt;&gt;'!$L:$L, 'Supplier Wise Yearly'!$B22, '&lt;&lt; Working &gt;&gt;'!$N:$N, 'Supplier Wise Yearly'!$B$2)</f>
        <v>0</v>
      </c>
      <c r="K22" s="39">
        <f>SUMIFS('&lt;&lt; Working &gt;&gt;'!$J:$J, '&lt;&lt; Working &gt;&gt;'!$D:$D, 'Supplier Wise Yearly'!$B$1, '&lt;&lt; Working &gt;&gt;'!$R:$R, 'Supplier Wise Yearly'!K$6, '&lt;&lt; Working &gt;&gt;'!$L:$L, 'Supplier Wise Yearly'!$B22, '&lt;&lt; Working &gt;&gt;'!$N:$N, 'Supplier Wise Yearly'!$B$2)</f>
        <v>0</v>
      </c>
      <c r="L22" s="39">
        <f>SUMIFS('&lt;&lt; Working &gt;&gt;'!$J:$J, '&lt;&lt; Working &gt;&gt;'!$D:$D, 'Supplier Wise Yearly'!$B$1, '&lt;&lt; Working &gt;&gt;'!$R:$R, 'Supplier Wise Yearly'!L$6, '&lt;&lt; Working &gt;&gt;'!$L:$L, 'Supplier Wise Yearly'!$B22, '&lt;&lt; Working &gt;&gt;'!$N:$N, 'Supplier Wise Yearly'!$B$2)</f>
        <v>0</v>
      </c>
      <c r="M22" s="39">
        <f>SUMIFS('&lt;&lt; Working &gt;&gt;'!$J:$J, '&lt;&lt; Working &gt;&gt;'!$D:$D, 'Supplier Wise Yearly'!$B$1, '&lt;&lt; Working &gt;&gt;'!$R:$R, 'Supplier Wise Yearly'!M$6, '&lt;&lt; Working &gt;&gt;'!$L:$L, 'Supplier Wise Yearly'!$B22, '&lt;&lt; Working &gt;&gt;'!$N:$N, 'Supplier Wise Yearly'!$B$2)</f>
        <v>0</v>
      </c>
      <c r="N22" s="39">
        <f>SUMIFS('&lt;&lt; Working &gt;&gt;'!$J:$J, '&lt;&lt; Working &gt;&gt;'!$D:$D, 'Supplier Wise Yearly'!$B$1, '&lt;&lt; Working &gt;&gt;'!$R:$R, 'Supplier Wise Yearly'!N$6, '&lt;&lt; Working &gt;&gt;'!$L:$L, 'Supplier Wise Yearly'!$B22, '&lt;&lt; Working &gt;&gt;'!$N:$N, 'Supplier Wise Yearly'!$B$2)</f>
        <v>0</v>
      </c>
      <c r="O22" s="39">
        <f t="shared" si="2"/>
        <v>0</v>
      </c>
      <c r="Q22" t="str">
        <f t="shared" si="3"/>
        <v>No</v>
      </c>
    </row>
    <row r="23" spans="1:17" hidden="1" x14ac:dyDescent="0.3">
      <c r="A23" s="21" t="str">
        <f>VLOOKUP(B23, 'Items Master'!E:F,2,0)</f>
        <v>Import</v>
      </c>
      <c r="B23" s="21" t="s">
        <v>1058</v>
      </c>
      <c r="C23" s="39">
        <f>SUMIFS('&lt;&lt; Working &gt;&gt;'!$J:$J, '&lt;&lt; Working &gt;&gt;'!$D:$D, 'Supplier Wise Yearly'!$B$1, '&lt;&lt; Working &gt;&gt;'!$R:$R, 'Supplier Wise Yearly'!C$6, '&lt;&lt; Working &gt;&gt;'!$L:$L, 'Supplier Wise Yearly'!$B23, '&lt;&lt; Working &gt;&gt;'!$N:$N, 'Supplier Wise Yearly'!$B$2)</f>
        <v>0</v>
      </c>
      <c r="D23" s="39">
        <f>SUMIFS('&lt;&lt; Working &gt;&gt;'!$J:$J, '&lt;&lt; Working &gt;&gt;'!$D:$D, 'Supplier Wise Yearly'!$B$1, '&lt;&lt; Working &gt;&gt;'!$R:$R, 'Supplier Wise Yearly'!D$6, '&lt;&lt; Working &gt;&gt;'!$L:$L, 'Supplier Wise Yearly'!$B23, '&lt;&lt; Working &gt;&gt;'!$N:$N, 'Supplier Wise Yearly'!$B$2)</f>
        <v>0</v>
      </c>
      <c r="E23" s="39">
        <f>SUMIFS('&lt;&lt; Working &gt;&gt;'!$J:$J, '&lt;&lt; Working &gt;&gt;'!$D:$D, 'Supplier Wise Yearly'!$B$1, '&lt;&lt; Working &gt;&gt;'!$R:$R, 'Supplier Wise Yearly'!E$6, '&lt;&lt; Working &gt;&gt;'!$L:$L, 'Supplier Wise Yearly'!$B23, '&lt;&lt; Working &gt;&gt;'!$N:$N, 'Supplier Wise Yearly'!$B$2)</f>
        <v>0</v>
      </c>
      <c r="F23" s="39">
        <f>SUMIFS('&lt;&lt; Working &gt;&gt;'!$J:$J, '&lt;&lt; Working &gt;&gt;'!$D:$D, 'Supplier Wise Yearly'!$B$1, '&lt;&lt; Working &gt;&gt;'!$R:$R, 'Supplier Wise Yearly'!F$6, '&lt;&lt; Working &gt;&gt;'!$L:$L, 'Supplier Wise Yearly'!$B23, '&lt;&lt; Working &gt;&gt;'!$N:$N, 'Supplier Wise Yearly'!$B$2)</f>
        <v>0</v>
      </c>
      <c r="G23" s="39">
        <f>SUMIFS('&lt;&lt; Working &gt;&gt;'!$J:$J, '&lt;&lt; Working &gt;&gt;'!$D:$D, 'Supplier Wise Yearly'!$B$1, '&lt;&lt; Working &gt;&gt;'!$R:$R, 'Supplier Wise Yearly'!G$6, '&lt;&lt; Working &gt;&gt;'!$L:$L, 'Supplier Wise Yearly'!$B23, '&lt;&lt; Working &gt;&gt;'!$N:$N, 'Supplier Wise Yearly'!$B$2)</f>
        <v>0</v>
      </c>
      <c r="H23" s="39">
        <f>SUMIFS('&lt;&lt; Working &gt;&gt;'!$J:$J, '&lt;&lt; Working &gt;&gt;'!$D:$D, 'Supplier Wise Yearly'!$B$1, '&lt;&lt; Working &gt;&gt;'!$R:$R, 'Supplier Wise Yearly'!H$6, '&lt;&lt; Working &gt;&gt;'!$L:$L, 'Supplier Wise Yearly'!$B23, '&lt;&lt; Working &gt;&gt;'!$N:$N, 'Supplier Wise Yearly'!$B$2)</f>
        <v>0</v>
      </c>
      <c r="I23" s="39">
        <f>SUMIFS('&lt;&lt; Working &gt;&gt;'!$J:$J, '&lt;&lt; Working &gt;&gt;'!$D:$D, 'Supplier Wise Yearly'!$B$1, '&lt;&lt; Working &gt;&gt;'!$R:$R, 'Supplier Wise Yearly'!I$6, '&lt;&lt; Working &gt;&gt;'!$L:$L, 'Supplier Wise Yearly'!$B23, '&lt;&lt; Working &gt;&gt;'!$N:$N, 'Supplier Wise Yearly'!$B$2)</f>
        <v>0</v>
      </c>
      <c r="J23" s="39">
        <f>SUMIFS('&lt;&lt; Working &gt;&gt;'!$J:$J, '&lt;&lt; Working &gt;&gt;'!$D:$D, 'Supplier Wise Yearly'!$B$1, '&lt;&lt; Working &gt;&gt;'!$R:$R, 'Supplier Wise Yearly'!J$6, '&lt;&lt; Working &gt;&gt;'!$L:$L, 'Supplier Wise Yearly'!$B23, '&lt;&lt; Working &gt;&gt;'!$N:$N, 'Supplier Wise Yearly'!$B$2)</f>
        <v>0</v>
      </c>
      <c r="K23" s="39">
        <f>SUMIFS('&lt;&lt; Working &gt;&gt;'!$J:$J, '&lt;&lt; Working &gt;&gt;'!$D:$D, 'Supplier Wise Yearly'!$B$1, '&lt;&lt; Working &gt;&gt;'!$R:$R, 'Supplier Wise Yearly'!K$6, '&lt;&lt; Working &gt;&gt;'!$L:$L, 'Supplier Wise Yearly'!$B23, '&lt;&lt; Working &gt;&gt;'!$N:$N, 'Supplier Wise Yearly'!$B$2)</f>
        <v>0</v>
      </c>
      <c r="L23" s="39">
        <f>SUMIFS('&lt;&lt; Working &gt;&gt;'!$J:$J, '&lt;&lt; Working &gt;&gt;'!$D:$D, 'Supplier Wise Yearly'!$B$1, '&lt;&lt; Working &gt;&gt;'!$R:$R, 'Supplier Wise Yearly'!L$6, '&lt;&lt; Working &gt;&gt;'!$L:$L, 'Supplier Wise Yearly'!$B23, '&lt;&lt; Working &gt;&gt;'!$N:$N, 'Supplier Wise Yearly'!$B$2)</f>
        <v>0</v>
      </c>
      <c r="M23" s="39">
        <f>SUMIFS('&lt;&lt; Working &gt;&gt;'!$J:$J, '&lt;&lt; Working &gt;&gt;'!$D:$D, 'Supplier Wise Yearly'!$B$1, '&lt;&lt; Working &gt;&gt;'!$R:$R, 'Supplier Wise Yearly'!M$6, '&lt;&lt; Working &gt;&gt;'!$L:$L, 'Supplier Wise Yearly'!$B23, '&lt;&lt; Working &gt;&gt;'!$N:$N, 'Supplier Wise Yearly'!$B$2)</f>
        <v>0</v>
      </c>
      <c r="N23" s="39">
        <f>SUMIFS('&lt;&lt; Working &gt;&gt;'!$J:$J, '&lt;&lt; Working &gt;&gt;'!$D:$D, 'Supplier Wise Yearly'!$B$1, '&lt;&lt; Working &gt;&gt;'!$R:$R, 'Supplier Wise Yearly'!N$6, '&lt;&lt; Working &gt;&gt;'!$L:$L, 'Supplier Wise Yearly'!$B23, '&lt;&lt; Working &gt;&gt;'!$N:$N, 'Supplier Wise Yearly'!$B$2)</f>
        <v>0</v>
      </c>
      <c r="O23" s="39">
        <f t="shared" si="2"/>
        <v>0</v>
      </c>
      <c r="Q23" t="str">
        <f t="shared" si="3"/>
        <v>No</v>
      </c>
    </row>
    <row r="24" spans="1:17" hidden="1" x14ac:dyDescent="0.3">
      <c r="A24" s="21" t="str">
        <f>VLOOKUP(B24, 'Items Master'!E:F,2,0)</f>
        <v>Import</v>
      </c>
      <c r="B24" s="21" t="s">
        <v>1070</v>
      </c>
      <c r="C24" s="39">
        <f>SUMIFS('&lt;&lt; Working &gt;&gt;'!$J:$J, '&lt;&lt; Working &gt;&gt;'!$D:$D, 'Supplier Wise Yearly'!$B$1, '&lt;&lt; Working &gt;&gt;'!$R:$R, 'Supplier Wise Yearly'!C$6, '&lt;&lt; Working &gt;&gt;'!$L:$L, 'Supplier Wise Yearly'!$B24, '&lt;&lt; Working &gt;&gt;'!$N:$N, 'Supplier Wise Yearly'!$B$2)</f>
        <v>0</v>
      </c>
      <c r="D24" s="39">
        <f>SUMIFS('&lt;&lt; Working &gt;&gt;'!$J:$J, '&lt;&lt; Working &gt;&gt;'!$D:$D, 'Supplier Wise Yearly'!$B$1, '&lt;&lt; Working &gt;&gt;'!$R:$R, 'Supplier Wise Yearly'!D$6, '&lt;&lt; Working &gt;&gt;'!$L:$L, 'Supplier Wise Yearly'!$B24, '&lt;&lt; Working &gt;&gt;'!$N:$N, 'Supplier Wise Yearly'!$B$2)</f>
        <v>0</v>
      </c>
      <c r="E24" s="39">
        <f>SUMIFS('&lt;&lt; Working &gt;&gt;'!$J:$J, '&lt;&lt; Working &gt;&gt;'!$D:$D, 'Supplier Wise Yearly'!$B$1, '&lt;&lt; Working &gt;&gt;'!$R:$R, 'Supplier Wise Yearly'!E$6, '&lt;&lt; Working &gt;&gt;'!$L:$L, 'Supplier Wise Yearly'!$B24, '&lt;&lt; Working &gt;&gt;'!$N:$N, 'Supplier Wise Yearly'!$B$2)</f>
        <v>0</v>
      </c>
      <c r="F24" s="39">
        <f>SUMIFS('&lt;&lt; Working &gt;&gt;'!$J:$J, '&lt;&lt; Working &gt;&gt;'!$D:$D, 'Supplier Wise Yearly'!$B$1, '&lt;&lt; Working &gt;&gt;'!$R:$R, 'Supplier Wise Yearly'!F$6, '&lt;&lt; Working &gt;&gt;'!$L:$L, 'Supplier Wise Yearly'!$B24, '&lt;&lt; Working &gt;&gt;'!$N:$N, 'Supplier Wise Yearly'!$B$2)</f>
        <v>0</v>
      </c>
      <c r="G24" s="39">
        <f>SUMIFS('&lt;&lt; Working &gt;&gt;'!$J:$J, '&lt;&lt; Working &gt;&gt;'!$D:$D, 'Supplier Wise Yearly'!$B$1, '&lt;&lt; Working &gt;&gt;'!$R:$R, 'Supplier Wise Yearly'!G$6, '&lt;&lt; Working &gt;&gt;'!$L:$L, 'Supplier Wise Yearly'!$B24, '&lt;&lt; Working &gt;&gt;'!$N:$N, 'Supplier Wise Yearly'!$B$2)</f>
        <v>0</v>
      </c>
      <c r="H24" s="39">
        <f>SUMIFS('&lt;&lt; Working &gt;&gt;'!$J:$J, '&lt;&lt; Working &gt;&gt;'!$D:$D, 'Supplier Wise Yearly'!$B$1, '&lt;&lt; Working &gt;&gt;'!$R:$R, 'Supplier Wise Yearly'!H$6, '&lt;&lt; Working &gt;&gt;'!$L:$L, 'Supplier Wise Yearly'!$B24, '&lt;&lt; Working &gt;&gt;'!$N:$N, 'Supplier Wise Yearly'!$B$2)</f>
        <v>0</v>
      </c>
      <c r="I24" s="39">
        <f>SUMIFS('&lt;&lt; Working &gt;&gt;'!$J:$J, '&lt;&lt; Working &gt;&gt;'!$D:$D, 'Supplier Wise Yearly'!$B$1, '&lt;&lt; Working &gt;&gt;'!$R:$R, 'Supplier Wise Yearly'!I$6, '&lt;&lt; Working &gt;&gt;'!$L:$L, 'Supplier Wise Yearly'!$B24, '&lt;&lt; Working &gt;&gt;'!$N:$N, 'Supplier Wise Yearly'!$B$2)</f>
        <v>0</v>
      </c>
      <c r="J24" s="39">
        <f>SUMIFS('&lt;&lt; Working &gt;&gt;'!$J:$J, '&lt;&lt; Working &gt;&gt;'!$D:$D, 'Supplier Wise Yearly'!$B$1, '&lt;&lt; Working &gt;&gt;'!$R:$R, 'Supplier Wise Yearly'!J$6, '&lt;&lt; Working &gt;&gt;'!$L:$L, 'Supplier Wise Yearly'!$B24, '&lt;&lt; Working &gt;&gt;'!$N:$N, 'Supplier Wise Yearly'!$B$2)</f>
        <v>0</v>
      </c>
      <c r="K24" s="39">
        <f>SUMIFS('&lt;&lt; Working &gt;&gt;'!$J:$J, '&lt;&lt; Working &gt;&gt;'!$D:$D, 'Supplier Wise Yearly'!$B$1, '&lt;&lt; Working &gt;&gt;'!$R:$R, 'Supplier Wise Yearly'!K$6, '&lt;&lt; Working &gt;&gt;'!$L:$L, 'Supplier Wise Yearly'!$B24, '&lt;&lt; Working &gt;&gt;'!$N:$N, 'Supplier Wise Yearly'!$B$2)</f>
        <v>0</v>
      </c>
      <c r="L24" s="39">
        <f>SUMIFS('&lt;&lt; Working &gt;&gt;'!$J:$J, '&lt;&lt; Working &gt;&gt;'!$D:$D, 'Supplier Wise Yearly'!$B$1, '&lt;&lt; Working &gt;&gt;'!$R:$R, 'Supplier Wise Yearly'!L$6, '&lt;&lt; Working &gt;&gt;'!$L:$L, 'Supplier Wise Yearly'!$B24, '&lt;&lt; Working &gt;&gt;'!$N:$N, 'Supplier Wise Yearly'!$B$2)</f>
        <v>0</v>
      </c>
      <c r="M24" s="39">
        <f>SUMIFS('&lt;&lt; Working &gt;&gt;'!$J:$J, '&lt;&lt; Working &gt;&gt;'!$D:$D, 'Supplier Wise Yearly'!$B$1, '&lt;&lt; Working &gt;&gt;'!$R:$R, 'Supplier Wise Yearly'!M$6, '&lt;&lt; Working &gt;&gt;'!$L:$L, 'Supplier Wise Yearly'!$B24, '&lt;&lt; Working &gt;&gt;'!$N:$N, 'Supplier Wise Yearly'!$B$2)</f>
        <v>0</v>
      </c>
      <c r="N24" s="39">
        <f>SUMIFS('&lt;&lt; Working &gt;&gt;'!$J:$J, '&lt;&lt; Working &gt;&gt;'!$D:$D, 'Supplier Wise Yearly'!$B$1, '&lt;&lt; Working &gt;&gt;'!$R:$R, 'Supplier Wise Yearly'!N$6, '&lt;&lt; Working &gt;&gt;'!$L:$L, 'Supplier Wise Yearly'!$B24, '&lt;&lt; Working &gt;&gt;'!$N:$N, 'Supplier Wise Yearly'!$B$2)</f>
        <v>0</v>
      </c>
      <c r="O24" s="39">
        <f t="shared" si="2"/>
        <v>0</v>
      </c>
      <c r="Q24" t="str">
        <f t="shared" si="3"/>
        <v>No</v>
      </c>
    </row>
    <row r="25" spans="1:17" hidden="1" x14ac:dyDescent="0.3">
      <c r="A25" s="21" t="str">
        <f>VLOOKUP(B25, 'Items Master'!E:F,2,0)</f>
        <v>Import</v>
      </c>
      <c r="B25" s="21" t="s">
        <v>1074</v>
      </c>
      <c r="C25" s="39">
        <f>SUMIFS('&lt;&lt; Working &gt;&gt;'!$J:$J, '&lt;&lt; Working &gt;&gt;'!$D:$D, 'Supplier Wise Yearly'!$B$1, '&lt;&lt; Working &gt;&gt;'!$R:$R, 'Supplier Wise Yearly'!C$6, '&lt;&lt; Working &gt;&gt;'!$L:$L, 'Supplier Wise Yearly'!$B25, '&lt;&lt; Working &gt;&gt;'!$N:$N, 'Supplier Wise Yearly'!$B$2)</f>
        <v>0</v>
      </c>
      <c r="D25" s="39">
        <f>SUMIFS('&lt;&lt; Working &gt;&gt;'!$J:$J, '&lt;&lt; Working &gt;&gt;'!$D:$D, 'Supplier Wise Yearly'!$B$1, '&lt;&lt; Working &gt;&gt;'!$R:$R, 'Supplier Wise Yearly'!D$6, '&lt;&lt; Working &gt;&gt;'!$L:$L, 'Supplier Wise Yearly'!$B25, '&lt;&lt; Working &gt;&gt;'!$N:$N, 'Supplier Wise Yearly'!$B$2)</f>
        <v>0</v>
      </c>
      <c r="E25" s="39">
        <f>SUMIFS('&lt;&lt; Working &gt;&gt;'!$J:$J, '&lt;&lt; Working &gt;&gt;'!$D:$D, 'Supplier Wise Yearly'!$B$1, '&lt;&lt; Working &gt;&gt;'!$R:$R, 'Supplier Wise Yearly'!E$6, '&lt;&lt; Working &gt;&gt;'!$L:$L, 'Supplier Wise Yearly'!$B25, '&lt;&lt; Working &gt;&gt;'!$N:$N, 'Supplier Wise Yearly'!$B$2)</f>
        <v>0</v>
      </c>
      <c r="F25" s="39">
        <f>SUMIFS('&lt;&lt; Working &gt;&gt;'!$J:$J, '&lt;&lt; Working &gt;&gt;'!$D:$D, 'Supplier Wise Yearly'!$B$1, '&lt;&lt; Working &gt;&gt;'!$R:$R, 'Supplier Wise Yearly'!F$6, '&lt;&lt; Working &gt;&gt;'!$L:$L, 'Supplier Wise Yearly'!$B25, '&lt;&lt; Working &gt;&gt;'!$N:$N, 'Supplier Wise Yearly'!$B$2)</f>
        <v>0</v>
      </c>
      <c r="G25" s="39">
        <f>SUMIFS('&lt;&lt; Working &gt;&gt;'!$J:$J, '&lt;&lt; Working &gt;&gt;'!$D:$D, 'Supplier Wise Yearly'!$B$1, '&lt;&lt; Working &gt;&gt;'!$R:$R, 'Supplier Wise Yearly'!G$6, '&lt;&lt; Working &gt;&gt;'!$L:$L, 'Supplier Wise Yearly'!$B25, '&lt;&lt; Working &gt;&gt;'!$N:$N, 'Supplier Wise Yearly'!$B$2)</f>
        <v>0</v>
      </c>
      <c r="H25" s="39">
        <f>SUMIFS('&lt;&lt; Working &gt;&gt;'!$J:$J, '&lt;&lt; Working &gt;&gt;'!$D:$D, 'Supplier Wise Yearly'!$B$1, '&lt;&lt; Working &gt;&gt;'!$R:$R, 'Supplier Wise Yearly'!H$6, '&lt;&lt; Working &gt;&gt;'!$L:$L, 'Supplier Wise Yearly'!$B25, '&lt;&lt; Working &gt;&gt;'!$N:$N, 'Supplier Wise Yearly'!$B$2)</f>
        <v>0</v>
      </c>
      <c r="I25" s="39">
        <f>SUMIFS('&lt;&lt; Working &gt;&gt;'!$J:$J, '&lt;&lt; Working &gt;&gt;'!$D:$D, 'Supplier Wise Yearly'!$B$1, '&lt;&lt; Working &gt;&gt;'!$R:$R, 'Supplier Wise Yearly'!I$6, '&lt;&lt; Working &gt;&gt;'!$L:$L, 'Supplier Wise Yearly'!$B25, '&lt;&lt; Working &gt;&gt;'!$N:$N, 'Supplier Wise Yearly'!$B$2)</f>
        <v>0</v>
      </c>
      <c r="J25" s="39">
        <f>SUMIFS('&lt;&lt; Working &gt;&gt;'!$J:$J, '&lt;&lt; Working &gt;&gt;'!$D:$D, 'Supplier Wise Yearly'!$B$1, '&lt;&lt; Working &gt;&gt;'!$R:$R, 'Supplier Wise Yearly'!J$6, '&lt;&lt; Working &gt;&gt;'!$L:$L, 'Supplier Wise Yearly'!$B25, '&lt;&lt; Working &gt;&gt;'!$N:$N, 'Supplier Wise Yearly'!$B$2)</f>
        <v>0</v>
      </c>
      <c r="K25" s="39">
        <f>SUMIFS('&lt;&lt; Working &gt;&gt;'!$J:$J, '&lt;&lt; Working &gt;&gt;'!$D:$D, 'Supplier Wise Yearly'!$B$1, '&lt;&lt; Working &gt;&gt;'!$R:$R, 'Supplier Wise Yearly'!K$6, '&lt;&lt; Working &gt;&gt;'!$L:$L, 'Supplier Wise Yearly'!$B25, '&lt;&lt; Working &gt;&gt;'!$N:$N, 'Supplier Wise Yearly'!$B$2)</f>
        <v>0</v>
      </c>
      <c r="L25" s="39">
        <f>SUMIFS('&lt;&lt; Working &gt;&gt;'!$J:$J, '&lt;&lt; Working &gt;&gt;'!$D:$D, 'Supplier Wise Yearly'!$B$1, '&lt;&lt; Working &gt;&gt;'!$R:$R, 'Supplier Wise Yearly'!L$6, '&lt;&lt; Working &gt;&gt;'!$L:$L, 'Supplier Wise Yearly'!$B25, '&lt;&lt; Working &gt;&gt;'!$N:$N, 'Supplier Wise Yearly'!$B$2)</f>
        <v>0</v>
      </c>
      <c r="M25" s="39">
        <f>SUMIFS('&lt;&lt; Working &gt;&gt;'!$J:$J, '&lt;&lt; Working &gt;&gt;'!$D:$D, 'Supplier Wise Yearly'!$B$1, '&lt;&lt; Working &gt;&gt;'!$R:$R, 'Supplier Wise Yearly'!M$6, '&lt;&lt; Working &gt;&gt;'!$L:$L, 'Supplier Wise Yearly'!$B25, '&lt;&lt; Working &gt;&gt;'!$N:$N, 'Supplier Wise Yearly'!$B$2)</f>
        <v>0</v>
      </c>
      <c r="N25" s="39">
        <f>SUMIFS('&lt;&lt; Working &gt;&gt;'!$J:$J, '&lt;&lt; Working &gt;&gt;'!$D:$D, 'Supplier Wise Yearly'!$B$1, '&lt;&lt; Working &gt;&gt;'!$R:$R, 'Supplier Wise Yearly'!N$6, '&lt;&lt; Working &gt;&gt;'!$L:$L, 'Supplier Wise Yearly'!$B25, '&lt;&lt; Working &gt;&gt;'!$N:$N, 'Supplier Wise Yearly'!$B$2)</f>
        <v>0</v>
      </c>
      <c r="O25" s="39">
        <f t="shared" si="2"/>
        <v>0</v>
      </c>
      <c r="Q25" t="str">
        <f t="shared" si="3"/>
        <v>No</v>
      </c>
    </row>
    <row r="26" spans="1:17" hidden="1" x14ac:dyDescent="0.3">
      <c r="A26" s="21" t="str">
        <f>VLOOKUP(B26, 'Items Master'!E:F,2,0)</f>
        <v>Import</v>
      </c>
      <c r="B26" s="21" t="s">
        <v>1076</v>
      </c>
      <c r="C26" s="39">
        <f>SUMIFS('&lt;&lt; Working &gt;&gt;'!$J:$J, '&lt;&lt; Working &gt;&gt;'!$D:$D, 'Supplier Wise Yearly'!$B$1, '&lt;&lt; Working &gt;&gt;'!$R:$R, 'Supplier Wise Yearly'!C$6, '&lt;&lt; Working &gt;&gt;'!$L:$L, 'Supplier Wise Yearly'!$B26, '&lt;&lt; Working &gt;&gt;'!$N:$N, 'Supplier Wise Yearly'!$B$2)</f>
        <v>0</v>
      </c>
      <c r="D26" s="39">
        <f>SUMIFS('&lt;&lt; Working &gt;&gt;'!$J:$J, '&lt;&lt; Working &gt;&gt;'!$D:$D, 'Supplier Wise Yearly'!$B$1, '&lt;&lt; Working &gt;&gt;'!$R:$R, 'Supplier Wise Yearly'!D$6, '&lt;&lt; Working &gt;&gt;'!$L:$L, 'Supplier Wise Yearly'!$B26, '&lt;&lt; Working &gt;&gt;'!$N:$N, 'Supplier Wise Yearly'!$B$2)</f>
        <v>0</v>
      </c>
      <c r="E26" s="39">
        <f>SUMIFS('&lt;&lt; Working &gt;&gt;'!$J:$J, '&lt;&lt; Working &gt;&gt;'!$D:$D, 'Supplier Wise Yearly'!$B$1, '&lt;&lt; Working &gt;&gt;'!$R:$R, 'Supplier Wise Yearly'!E$6, '&lt;&lt; Working &gt;&gt;'!$L:$L, 'Supplier Wise Yearly'!$B26, '&lt;&lt; Working &gt;&gt;'!$N:$N, 'Supplier Wise Yearly'!$B$2)</f>
        <v>0</v>
      </c>
      <c r="F26" s="39">
        <f>SUMIFS('&lt;&lt; Working &gt;&gt;'!$J:$J, '&lt;&lt; Working &gt;&gt;'!$D:$D, 'Supplier Wise Yearly'!$B$1, '&lt;&lt; Working &gt;&gt;'!$R:$R, 'Supplier Wise Yearly'!F$6, '&lt;&lt; Working &gt;&gt;'!$L:$L, 'Supplier Wise Yearly'!$B26, '&lt;&lt; Working &gt;&gt;'!$N:$N, 'Supplier Wise Yearly'!$B$2)</f>
        <v>0</v>
      </c>
      <c r="G26" s="39">
        <f>SUMIFS('&lt;&lt; Working &gt;&gt;'!$J:$J, '&lt;&lt; Working &gt;&gt;'!$D:$D, 'Supplier Wise Yearly'!$B$1, '&lt;&lt; Working &gt;&gt;'!$R:$R, 'Supplier Wise Yearly'!G$6, '&lt;&lt; Working &gt;&gt;'!$L:$L, 'Supplier Wise Yearly'!$B26, '&lt;&lt; Working &gt;&gt;'!$N:$N, 'Supplier Wise Yearly'!$B$2)</f>
        <v>0</v>
      </c>
      <c r="H26" s="39">
        <f>SUMIFS('&lt;&lt; Working &gt;&gt;'!$J:$J, '&lt;&lt; Working &gt;&gt;'!$D:$D, 'Supplier Wise Yearly'!$B$1, '&lt;&lt; Working &gt;&gt;'!$R:$R, 'Supplier Wise Yearly'!H$6, '&lt;&lt; Working &gt;&gt;'!$L:$L, 'Supplier Wise Yearly'!$B26, '&lt;&lt; Working &gt;&gt;'!$N:$N, 'Supplier Wise Yearly'!$B$2)</f>
        <v>0</v>
      </c>
      <c r="I26" s="39">
        <f>SUMIFS('&lt;&lt; Working &gt;&gt;'!$J:$J, '&lt;&lt; Working &gt;&gt;'!$D:$D, 'Supplier Wise Yearly'!$B$1, '&lt;&lt; Working &gt;&gt;'!$R:$R, 'Supplier Wise Yearly'!I$6, '&lt;&lt; Working &gt;&gt;'!$L:$L, 'Supplier Wise Yearly'!$B26, '&lt;&lt; Working &gt;&gt;'!$N:$N, 'Supplier Wise Yearly'!$B$2)</f>
        <v>0</v>
      </c>
      <c r="J26" s="39">
        <f>SUMIFS('&lt;&lt; Working &gt;&gt;'!$J:$J, '&lt;&lt; Working &gt;&gt;'!$D:$D, 'Supplier Wise Yearly'!$B$1, '&lt;&lt; Working &gt;&gt;'!$R:$R, 'Supplier Wise Yearly'!J$6, '&lt;&lt; Working &gt;&gt;'!$L:$L, 'Supplier Wise Yearly'!$B26, '&lt;&lt; Working &gt;&gt;'!$N:$N, 'Supplier Wise Yearly'!$B$2)</f>
        <v>0</v>
      </c>
      <c r="K26" s="39">
        <f>SUMIFS('&lt;&lt; Working &gt;&gt;'!$J:$J, '&lt;&lt; Working &gt;&gt;'!$D:$D, 'Supplier Wise Yearly'!$B$1, '&lt;&lt; Working &gt;&gt;'!$R:$R, 'Supplier Wise Yearly'!K$6, '&lt;&lt; Working &gt;&gt;'!$L:$L, 'Supplier Wise Yearly'!$B26, '&lt;&lt; Working &gt;&gt;'!$N:$N, 'Supplier Wise Yearly'!$B$2)</f>
        <v>0</v>
      </c>
      <c r="L26" s="39">
        <f>SUMIFS('&lt;&lt; Working &gt;&gt;'!$J:$J, '&lt;&lt; Working &gt;&gt;'!$D:$D, 'Supplier Wise Yearly'!$B$1, '&lt;&lt; Working &gt;&gt;'!$R:$R, 'Supplier Wise Yearly'!L$6, '&lt;&lt; Working &gt;&gt;'!$L:$L, 'Supplier Wise Yearly'!$B26, '&lt;&lt; Working &gt;&gt;'!$N:$N, 'Supplier Wise Yearly'!$B$2)</f>
        <v>0</v>
      </c>
      <c r="M26" s="39">
        <f>SUMIFS('&lt;&lt; Working &gt;&gt;'!$J:$J, '&lt;&lt; Working &gt;&gt;'!$D:$D, 'Supplier Wise Yearly'!$B$1, '&lt;&lt; Working &gt;&gt;'!$R:$R, 'Supplier Wise Yearly'!M$6, '&lt;&lt; Working &gt;&gt;'!$L:$L, 'Supplier Wise Yearly'!$B26, '&lt;&lt; Working &gt;&gt;'!$N:$N, 'Supplier Wise Yearly'!$B$2)</f>
        <v>0</v>
      </c>
      <c r="N26" s="39">
        <f>SUMIFS('&lt;&lt; Working &gt;&gt;'!$J:$J, '&lt;&lt; Working &gt;&gt;'!$D:$D, 'Supplier Wise Yearly'!$B$1, '&lt;&lt; Working &gt;&gt;'!$R:$R, 'Supplier Wise Yearly'!N$6, '&lt;&lt; Working &gt;&gt;'!$L:$L, 'Supplier Wise Yearly'!$B26, '&lt;&lt; Working &gt;&gt;'!$N:$N, 'Supplier Wise Yearly'!$B$2)</f>
        <v>0</v>
      </c>
      <c r="O26" s="39">
        <f t="shared" si="2"/>
        <v>0</v>
      </c>
      <c r="Q26" t="str">
        <f t="shared" si="3"/>
        <v>No</v>
      </c>
    </row>
    <row r="27" spans="1:17" hidden="1" x14ac:dyDescent="0.3">
      <c r="A27" s="21" t="str">
        <f>VLOOKUP(B27, 'Items Master'!E:F,2,0)</f>
        <v>Import</v>
      </c>
      <c r="B27" s="21" t="s">
        <v>1080</v>
      </c>
      <c r="C27" s="39">
        <f>SUMIFS('&lt;&lt; Working &gt;&gt;'!$J:$J, '&lt;&lt; Working &gt;&gt;'!$D:$D, 'Supplier Wise Yearly'!$B$1, '&lt;&lt; Working &gt;&gt;'!$R:$R, 'Supplier Wise Yearly'!C$6, '&lt;&lt; Working &gt;&gt;'!$L:$L, 'Supplier Wise Yearly'!$B27, '&lt;&lt; Working &gt;&gt;'!$N:$N, 'Supplier Wise Yearly'!$B$2)</f>
        <v>0</v>
      </c>
      <c r="D27" s="39">
        <f>SUMIFS('&lt;&lt; Working &gt;&gt;'!$J:$J, '&lt;&lt; Working &gt;&gt;'!$D:$D, 'Supplier Wise Yearly'!$B$1, '&lt;&lt; Working &gt;&gt;'!$R:$R, 'Supplier Wise Yearly'!D$6, '&lt;&lt; Working &gt;&gt;'!$L:$L, 'Supplier Wise Yearly'!$B27, '&lt;&lt; Working &gt;&gt;'!$N:$N, 'Supplier Wise Yearly'!$B$2)</f>
        <v>0</v>
      </c>
      <c r="E27" s="39">
        <f>SUMIFS('&lt;&lt; Working &gt;&gt;'!$J:$J, '&lt;&lt; Working &gt;&gt;'!$D:$D, 'Supplier Wise Yearly'!$B$1, '&lt;&lt; Working &gt;&gt;'!$R:$R, 'Supplier Wise Yearly'!E$6, '&lt;&lt; Working &gt;&gt;'!$L:$L, 'Supplier Wise Yearly'!$B27, '&lt;&lt; Working &gt;&gt;'!$N:$N, 'Supplier Wise Yearly'!$B$2)</f>
        <v>0</v>
      </c>
      <c r="F27" s="39">
        <f>SUMIFS('&lt;&lt; Working &gt;&gt;'!$J:$J, '&lt;&lt; Working &gt;&gt;'!$D:$D, 'Supplier Wise Yearly'!$B$1, '&lt;&lt; Working &gt;&gt;'!$R:$R, 'Supplier Wise Yearly'!F$6, '&lt;&lt; Working &gt;&gt;'!$L:$L, 'Supplier Wise Yearly'!$B27, '&lt;&lt; Working &gt;&gt;'!$N:$N, 'Supplier Wise Yearly'!$B$2)</f>
        <v>0</v>
      </c>
      <c r="G27" s="39">
        <f>SUMIFS('&lt;&lt; Working &gt;&gt;'!$J:$J, '&lt;&lt; Working &gt;&gt;'!$D:$D, 'Supplier Wise Yearly'!$B$1, '&lt;&lt; Working &gt;&gt;'!$R:$R, 'Supplier Wise Yearly'!G$6, '&lt;&lt; Working &gt;&gt;'!$L:$L, 'Supplier Wise Yearly'!$B27, '&lt;&lt; Working &gt;&gt;'!$N:$N, 'Supplier Wise Yearly'!$B$2)</f>
        <v>0</v>
      </c>
      <c r="H27" s="39">
        <f>SUMIFS('&lt;&lt; Working &gt;&gt;'!$J:$J, '&lt;&lt; Working &gt;&gt;'!$D:$D, 'Supplier Wise Yearly'!$B$1, '&lt;&lt; Working &gt;&gt;'!$R:$R, 'Supplier Wise Yearly'!H$6, '&lt;&lt; Working &gt;&gt;'!$L:$L, 'Supplier Wise Yearly'!$B27, '&lt;&lt; Working &gt;&gt;'!$N:$N, 'Supplier Wise Yearly'!$B$2)</f>
        <v>0</v>
      </c>
      <c r="I27" s="39">
        <f>SUMIFS('&lt;&lt; Working &gt;&gt;'!$J:$J, '&lt;&lt; Working &gt;&gt;'!$D:$D, 'Supplier Wise Yearly'!$B$1, '&lt;&lt; Working &gt;&gt;'!$R:$R, 'Supplier Wise Yearly'!I$6, '&lt;&lt; Working &gt;&gt;'!$L:$L, 'Supplier Wise Yearly'!$B27, '&lt;&lt; Working &gt;&gt;'!$N:$N, 'Supplier Wise Yearly'!$B$2)</f>
        <v>0</v>
      </c>
      <c r="J27" s="39">
        <f>SUMIFS('&lt;&lt; Working &gt;&gt;'!$J:$J, '&lt;&lt; Working &gt;&gt;'!$D:$D, 'Supplier Wise Yearly'!$B$1, '&lt;&lt; Working &gt;&gt;'!$R:$R, 'Supplier Wise Yearly'!J$6, '&lt;&lt; Working &gt;&gt;'!$L:$L, 'Supplier Wise Yearly'!$B27, '&lt;&lt; Working &gt;&gt;'!$N:$N, 'Supplier Wise Yearly'!$B$2)</f>
        <v>0</v>
      </c>
      <c r="K27" s="39">
        <f>SUMIFS('&lt;&lt; Working &gt;&gt;'!$J:$J, '&lt;&lt; Working &gt;&gt;'!$D:$D, 'Supplier Wise Yearly'!$B$1, '&lt;&lt; Working &gt;&gt;'!$R:$R, 'Supplier Wise Yearly'!K$6, '&lt;&lt; Working &gt;&gt;'!$L:$L, 'Supplier Wise Yearly'!$B27, '&lt;&lt; Working &gt;&gt;'!$N:$N, 'Supplier Wise Yearly'!$B$2)</f>
        <v>0</v>
      </c>
      <c r="L27" s="39">
        <f>SUMIFS('&lt;&lt; Working &gt;&gt;'!$J:$J, '&lt;&lt; Working &gt;&gt;'!$D:$D, 'Supplier Wise Yearly'!$B$1, '&lt;&lt; Working &gt;&gt;'!$R:$R, 'Supplier Wise Yearly'!L$6, '&lt;&lt; Working &gt;&gt;'!$L:$L, 'Supplier Wise Yearly'!$B27, '&lt;&lt; Working &gt;&gt;'!$N:$N, 'Supplier Wise Yearly'!$B$2)</f>
        <v>0</v>
      </c>
      <c r="M27" s="39">
        <f>SUMIFS('&lt;&lt; Working &gt;&gt;'!$J:$J, '&lt;&lt; Working &gt;&gt;'!$D:$D, 'Supplier Wise Yearly'!$B$1, '&lt;&lt; Working &gt;&gt;'!$R:$R, 'Supplier Wise Yearly'!M$6, '&lt;&lt; Working &gt;&gt;'!$L:$L, 'Supplier Wise Yearly'!$B27, '&lt;&lt; Working &gt;&gt;'!$N:$N, 'Supplier Wise Yearly'!$B$2)</f>
        <v>0</v>
      </c>
      <c r="N27" s="39">
        <f>SUMIFS('&lt;&lt; Working &gt;&gt;'!$J:$J, '&lt;&lt; Working &gt;&gt;'!$D:$D, 'Supplier Wise Yearly'!$B$1, '&lt;&lt; Working &gt;&gt;'!$R:$R, 'Supplier Wise Yearly'!N$6, '&lt;&lt; Working &gt;&gt;'!$L:$L, 'Supplier Wise Yearly'!$B27, '&lt;&lt; Working &gt;&gt;'!$N:$N, 'Supplier Wise Yearly'!$B$2)</f>
        <v>0</v>
      </c>
      <c r="O27" s="39">
        <f t="shared" si="2"/>
        <v>0</v>
      </c>
      <c r="Q27" t="str">
        <f t="shared" si="3"/>
        <v>No</v>
      </c>
    </row>
    <row r="28" spans="1:17" hidden="1" x14ac:dyDescent="0.3">
      <c r="A28" s="21" t="str">
        <f>VLOOKUP(B28, 'Items Master'!E:F,2,0)</f>
        <v>Import</v>
      </c>
      <c r="B28" s="21" t="s">
        <v>1086</v>
      </c>
      <c r="C28" s="39">
        <f>SUMIFS('&lt;&lt; Working &gt;&gt;'!$J:$J, '&lt;&lt; Working &gt;&gt;'!$D:$D, 'Supplier Wise Yearly'!$B$1, '&lt;&lt; Working &gt;&gt;'!$R:$R, 'Supplier Wise Yearly'!C$6, '&lt;&lt; Working &gt;&gt;'!$L:$L, 'Supplier Wise Yearly'!$B28, '&lt;&lt; Working &gt;&gt;'!$N:$N, 'Supplier Wise Yearly'!$B$2)</f>
        <v>0</v>
      </c>
      <c r="D28" s="39">
        <f>SUMIFS('&lt;&lt; Working &gt;&gt;'!$J:$J, '&lt;&lt; Working &gt;&gt;'!$D:$D, 'Supplier Wise Yearly'!$B$1, '&lt;&lt; Working &gt;&gt;'!$R:$R, 'Supplier Wise Yearly'!D$6, '&lt;&lt; Working &gt;&gt;'!$L:$L, 'Supplier Wise Yearly'!$B28, '&lt;&lt; Working &gt;&gt;'!$N:$N, 'Supplier Wise Yearly'!$B$2)</f>
        <v>0</v>
      </c>
      <c r="E28" s="39">
        <f>SUMIFS('&lt;&lt; Working &gt;&gt;'!$J:$J, '&lt;&lt; Working &gt;&gt;'!$D:$D, 'Supplier Wise Yearly'!$B$1, '&lt;&lt; Working &gt;&gt;'!$R:$R, 'Supplier Wise Yearly'!E$6, '&lt;&lt; Working &gt;&gt;'!$L:$L, 'Supplier Wise Yearly'!$B28, '&lt;&lt; Working &gt;&gt;'!$N:$N, 'Supplier Wise Yearly'!$B$2)</f>
        <v>0</v>
      </c>
      <c r="F28" s="39">
        <f>SUMIFS('&lt;&lt; Working &gt;&gt;'!$J:$J, '&lt;&lt; Working &gt;&gt;'!$D:$D, 'Supplier Wise Yearly'!$B$1, '&lt;&lt; Working &gt;&gt;'!$R:$R, 'Supplier Wise Yearly'!F$6, '&lt;&lt; Working &gt;&gt;'!$L:$L, 'Supplier Wise Yearly'!$B28, '&lt;&lt; Working &gt;&gt;'!$N:$N, 'Supplier Wise Yearly'!$B$2)</f>
        <v>0</v>
      </c>
      <c r="G28" s="39">
        <f>SUMIFS('&lt;&lt; Working &gt;&gt;'!$J:$J, '&lt;&lt; Working &gt;&gt;'!$D:$D, 'Supplier Wise Yearly'!$B$1, '&lt;&lt; Working &gt;&gt;'!$R:$R, 'Supplier Wise Yearly'!G$6, '&lt;&lt; Working &gt;&gt;'!$L:$L, 'Supplier Wise Yearly'!$B28, '&lt;&lt; Working &gt;&gt;'!$N:$N, 'Supplier Wise Yearly'!$B$2)</f>
        <v>0</v>
      </c>
      <c r="H28" s="39">
        <f>SUMIFS('&lt;&lt; Working &gt;&gt;'!$J:$J, '&lt;&lt; Working &gt;&gt;'!$D:$D, 'Supplier Wise Yearly'!$B$1, '&lt;&lt; Working &gt;&gt;'!$R:$R, 'Supplier Wise Yearly'!H$6, '&lt;&lt; Working &gt;&gt;'!$L:$L, 'Supplier Wise Yearly'!$B28, '&lt;&lt; Working &gt;&gt;'!$N:$N, 'Supplier Wise Yearly'!$B$2)</f>
        <v>0</v>
      </c>
      <c r="I28" s="39">
        <f>SUMIFS('&lt;&lt; Working &gt;&gt;'!$J:$J, '&lt;&lt; Working &gt;&gt;'!$D:$D, 'Supplier Wise Yearly'!$B$1, '&lt;&lt; Working &gt;&gt;'!$R:$R, 'Supplier Wise Yearly'!I$6, '&lt;&lt; Working &gt;&gt;'!$L:$L, 'Supplier Wise Yearly'!$B28, '&lt;&lt; Working &gt;&gt;'!$N:$N, 'Supplier Wise Yearly'!$B$2)</f>
        <v>0</v>
      </c>
      <c r="J28" s="39">
        <f>SUMIFS('&lt;&lt; Working &gt;&gt;'!$J:$J, '&lt;&lt; Working &gt;&gt;'!$D:$D, 'Supplier Wise Yearly'!$B$1, '&lt;&lt; Working &gt;&gt;'!$R:$R, 'Supplier Wise Yearly'!J$6, '&lt;&lt; Working &gt;&gt;'!$L:$L, 'Supplier Wise Yearly'!$B28, '&lt;&lt; Working &gt;&gt;'!$N:$N, 'Supplier Wise Yearly'!$B$2)</f>
        <v>0</v>
      </c>
      <c r="K28" s="39">
        <f>SUMIFS('&lt;&lt; Working &gt;&gt;'!$J:$J, '&lt;&lt; Working &gt;&gt;'!$D:$D, 'Supplier Wise Yearly'!$B$1, '&lt;&lt; Working &gt;&gt;'!$R:$R, 'Supplier Wise Yearly'!K$6, '&lt;&lt; Working &gt;&gt;'!$L:$L, 'Supplier Wise Yearly'!$B28, '&lt;&lt; Working &gt;&gt;'!$N:$N, 'Supplier Wise Yearly'!$B$2)</f>
        <v>0</v>
      </c>
      <c r="L28" s="39">
        <f>SUMIFS('&lt;&lt; Working &gt;&gt;'!$J:$J, '&lt;&lt; Working &gt;&gt;'!$D:$D, 'Supplier Wise Yearly'!$B$1, '&lt;&lt; Working &gt;&gt;'!$R:$R, 'Supplier Wise Yearly'!L$6, '&lt;&lt; Working &gt;&gt;'!$L:$L, 'Supplier Wise Yearly'!$B28, '&lt;&lt; Working &gt;&gt;'!$N:$N, 'Supplier Wise Yearly'!$B$2)</f>
        <v>0</v>
      </c>
      <c r="M28" s="39">
        <f>SUMIFS('&lt;&lt; Working &gt;&gt;'!$J:$J, '&lt;&lt; Working &gt;&gt;'!$D:$D, 'Supplier Wise Yearly'!$B$1, '&lt;&lt; Working &gt;&gt;'!$R:$R, 'Supplier Wise Yearly'!M$6, '&lt;&lt; Working &gt;&gt;'!$L:$L, 'Supplier Wise Yearly'!$B28, '&lt;&lt; Working &gt;&gt;'!$N:$N, 'Supplier Wise Yearly'!$B$2)</f>
        <v>0</v>
      </c>
      <c r="N28" s="39">
        <f>SUMIFS('&lt;&lt; Working &gt;&gt;'!$J:$J, '&lt;&lt; Working &gt;&gt;'!$D:$D, 'Supplier Wise Yearly'!$B$1, '&lt;&lt; Working &gt;&gt;'!$R:$R, 'Supplier Wise Yearly'!N$6, '&lt;&lt; Working &gt;&gt;'!$L:$L, 'Supplier Wise Yearly'!$B28, '&lt;&lt; Working &gt;&gt;'!$N:$N, 'Supplier Wise Yearly'!$B$2)</f>
        <v>0</v>
      </c>
      <c r="O28" s="39">
        <f t="shared" si="2"/>
        <v>0</v>
      </c>
      <c r="Q28" t="str">
        <f t="shared" si="3"/>
        <v>No</v>
      </c>
    </row>
    <row r="29" spans="1:17" hidden="1" x14ac:dyDescent="0.3">
      <c r="A29" s="21" t="str">
        <f>VLOOKUP(B29, 'Items Master'!E:F,2,0)</f>
        <v>Import</v>
      </c>
      <c r="B29" s="21" t="s">
        <v>1087</v>
      </c>
      <c r="C29" s="39">
        <f>SUMIFS('&lt;&lt; Working &gt;&gt;'!$J:$J, '&lt;&lt; Working &gt;&gt;'!$D:$D, 'Supplier Wise Yearly'!$B$1, '&lt;&lt; Working &gt;&gt;'!$R:$R, 'Supplier Wise Yearly'!C$6, '&lt;&lt; Working &gt;&gt;'!$L:$L, 'Supplier Wise Yearly'!$B29, '&lt;&lt; Working &gt;&gt;'!$N:$N, 'Supplier Wise Yearly'!$B$2)</f>
        <v>0</v>
      </c>
      <c r="D29" s="39">
        <f>SUMIFS('&lt;&lt; Working &gt;&gt;'!$J:$J, '&lt;&lt; Working &gt;&gt;'!$D:$D, 'Supplier Wise Yearly'!$B$1, '&lt;&lt; Working &gt;&gt;'!$R:$R, 'Supplier Wise Yearly'!D$6, '&lt;&lt; Working &gt;&gt;'!$L:$L, 'Supplier Wise Yearly'!$B29, '&lt;&lt; Working &gt;&gt;'!$N:$N, 'Supplier Wise Yearly'!$B$2)</f>
        <v>0</v>
      </c>
      <c r="E29" s="39">
        <f>SUMIFS('&lt;&lt; Working &gt;&gt;'!$J:$J, '&lt;&lt; Working &gt;&gt;'!$D:$D, 'Supplier Wise Yearly'!$B$1, '&lt;&lt; Working &gt;&gt;'!$R:$R, 'Supplier Wise Yearly'!E$6, '&lt;&lt; Working &gt;&gt;'!$L:$L, 'Supplier Wise Yearly'!$B29, '&lt;&lt; Working &gt;&gt;'!$N:$N, 'Supplier Wise Yearly'!$B$2)</f>
        <v>0</v>
      </c>
      <c r="F29" s="39">
        <f>SUMIFS('&lt;&lt; Working &gt;&gt;'!$J:$J, '&lt;&lt; Working &gt;&gt;'!$D:$D, 'Supplier Wise Yearly'!$B$1, '&lt;&lt; Working &gt;&gt;'!$R:$R, 'Supplier Wise Yearly'!F$6, '&lt;&lt; Working &gt;&gt;'!$L:$L, 'Supplier Wise Yearly'!$B29, '&lt;&lt; Working &gt;&gt;'!$N:$N, 'Supplier Wise Yearly'!$B$2)</f>
        <v>0</v>
      </c>
      <c r="G29" s="39">
        <f>SUMIFS('&lt;&lt; Working &gt;&gt;'!$J:$J, '&lt;&lt; Working &gt;&gt;'!$D:$D, 'Supplier Wise Yearly'!$B$1, '&lt;&lt; Working &gt;&gt;'!$R:$R, 'Supplier Wise Yearly'!G$6, '&lt;&lt; Working &gt;&gt;'!$L:$L, 'Supplier Wise Yearly'!$B29, '&lt;&lt; Working &gt;&gt;'!$N:$N, 'Supplier Wise Yearly'!$B$2)</f>
        <v>0</v>
      </c>
      <c r="H29" s="39">
        <f>SUMIFS('&lt;&lt; Working &gt;&gt;'!$J:$J, '&lt;&lt; Working &gt;&gt;'!$D:$D, 'Supplier Wise Yearly'!$B$1, '&lt;&lt; Working &gt;&gt;'!$R:$R, 'Supplier Wise Yearly'!H$6, '&lt;&lt; Working &gt;&gt;'!$L:$L, 'Supplier Wise Yearly'!$B29, '&lt;&lt; Working &gt;&gt;'!$N:$N, 'Supplier Wise Yearly'!$B$2)</f>
        <v>0</v>
      </c>
      <c r="I29" s="39">
        <f>SUMIFS('&lt;&lt; Working &gt;&gt;'!$J:$J, '&lt;&lt; Working &gt;&gt;'!$D:$D, 'Supplier Wise Yearly'!$B$1, '&lt;&lt; Working &gt;&gt;'!$R:$R, 'Supplier Wise Yearly'!I$6, '&lt;&lt; Working &gt;&gt;'!$L:$L, 'Supplier Wise Yearly'!$B29, '&lt;&lt; Working &gt;&gt;'!$N:$N, 'Supplier Wise Yearly'!$B$2)</f>
        <v>0</v>
      </c>
      <c r="J29" s="39">
        <f>SUMIFS('&lt;&lt; Working &gt;&gt;'!$J:$J, '&lt;&lt; Working &gt;&gt;'!$D:$D, 'Supplier Wise Yearly'!$B$1, '&lt;&lt; Working &gt;&gt;'!$R:$R, 'Supplier Wise Yearly'!J$6, '&lt;&lt; Working &gt;&gt;'!$L:$L, 'Supplier Wise Yearly'!$B29, '&lt;&lt; Working &gt;&gt;'!$N:$N, 'Supplier Wise Yearly'!$B$2)</f>
        <v>0</v>
      </c>
      <c r="K29" s="39">
        <f>SUMIFS('&lt;&lt; Working &gt;&gt;'!$J:$J, '&lt;&lt; Working &gt;&gt;'!$D:$D, 'Supplier Wise Yearly'!$B$1, '&lt;&lt; Working &gt;&gt;'!$R:$R, 'Supplier Wise Yearly'!K$6, '&lt;&lt; Working &gt;&gt;'!$L:$L, 'Supplier Wise Yearly'!$B29, '&lt;&lt; Working &gt;&gt;'!$N:$N, 'Supplier Wise Yearly'!$B$2)</f>
        <v>0</v>
      </c>
      <c r="L29" s="39">
        <f>SUMIFS('&lt;&lt; Working &gt;&gt;'!$J:$J, '&lt;&lt; Working &gt;&gt;'!$D:$D, 'Supplier Wise Yearly'!$B$1, '&lt;&lt; Working &gt;&gt;'!$R:$R, 'Supplier Wise Yearly'!L$6, '&lt;&lt; Working &gt;&gt;'!$L:$L, 'Supplier Wise Yearly'!$B29, '&lt;&lt; Working &gt;&gt;'!$N:$N, 'Supplier Wise Yearly'!$B$2)</f>
        <v>0</v>
      </c>
      <c r="M29" s="39">
        <f>SUMIFS('&lt;&lt; Working &gt;&gt;'!$J:$J, '&lt;&lt; Working &gt;&gt;'!$D:$D, 'Supplier Wise Yearly'!$B$1, '&lt;&lt; Working &gt;&gt;'!$R:$R, 'Supplier Wise Yearly'!M$6, '&lt;&lt; Working &gt;&gt;'!$L:$L, 'Supplier Wise Yearly'!$B29, '&lt;&lt; Working &gt;&gt;'!$N:$N, 'Supplier Wise Yearly'!$B$2)</f>
        <v>0</v>
      </c>
      <c r="N29" s="39">
        <f>SUMIFS('&lt;&lt; Working &gt;&gt;'!$J:$J, '&lt;&lt; Working &gt;&gt;'!$D:$D, 'Supplier Wise Yearly'!$B$1, '&lt;&lt; Working &gt;&gt;'!$R:$R, 'Supplier Wise Yearly'!N$6, '&lt;&lt; Working &gt;&gt;'!$L:$L, 'Supplier Wise Yearly'!$B29, '&lt;&lt; Working &gt;&gt;'!$N:$N, 'Supplier Wise Yearly'!$B$2)</f>
        <v>0</v>
      </c>
      <c r="O29" s="39">
        <f t="shared" si="2"/>
        <v>0</v>
      </c>
      <c r="Q29" t="str">
        <f t="shared" si="3"/>
        <v>No</v>
      </c>
    </row>
    <row r="30" spans="1:17" hidden="1" x14ac:dyDescent="0.3">
      <c r="A30" s="21" t="str">
        <f>VLOOKUP(B30, 'Items Master'!E:F,2,0)</f>
        <v>Import</v>
      </c>
      <c r="B30" s="21" t="s">
        <v>1091</v>
      </c>
      <c r="C30" s="39">
        <f>SUMIFS('&lt;&lt; Working &gt;&gt;'!$J:$J, '&lt;&lt; Working &gt;&gt;'!$D:$D, 'Supplier Wise Yearly'!$B$1, '&lt;&lt; Working &gt;&gt;'!$R:$R, 'Supplier Wise Yearly'!C$6, '&lt;&lt; Working &gt;&gt;'!$L:$L, 'Supplier Wise Yearly'!$B30, '&lt;&lt; Working &gt;&gt;'!$N:$N, 'Supplier Wise Yearly'!$B$2)</f>
        <v>0</v>
      </c>
      <c r="D30" s="39">
        <f>SUMIFS('&lt;&lt; Working &gt;&gt;'!$J:$J, '&lt;&lt; Working &gt;&gt;'!$D:$D, 'Supplier Wise Yearly'!$B$1, '&lt;&lt; Working &gt;&gt;'!$R:$R, 'Supplier Wise Yearly'!D$6, '&lt;&lt; Working &gt;&gt;'!$L:$L, 'Supplier Wise Yearly'!$B30, '&lt;&lt; Working &gt;&gt;'!$N:$N, 'Supplier Wise Yearly'!$B$2)</f>
        <v>0</v>
      </c>
      <c r="E30" s="39">
        <f>SUMIFS('&lt;&lt; Working &gt;&gt;'!$J:$J, '&lt;&lt; Working &gt;&gt;'!$D:$D, 'Supplier Wise Yearly'!$B$1, '&lt;&lt; Working &gt;&gt;'!$R:$R, 'Supplier Wise Yearly'!E$6, '&lt;&lt; Working &gt;&gt;'!$L:$L, 'Supplier Wise Yearly'!$B30, '&lt;&lt; Working &gt;&gt;'!$N:$N, 'Supplier Wise Yearly'!$B$2)</f>
        <v>0</v>
      </c>
      <c r="F30" s="39">
        <f>SUMIFS('&lt;&lt; Working &gt;&gt;'!$J:$J, '&lt;&lt; Working &gt;&gt;'!$D:$D, 'Supplier Wise Yearly'!$B$1, '&lt;&lt; Working &gt;&gt;'!$R:$R, 'Supplier Wise Yearly'!F$6, '&lt;&lt; Working &gt;&gt;'!$L:$L, 'Supplier Wise Yearly'!$B30, '&lt;&lt; Working &gt;&gt;'!$N:$N, 'Supplier Wise Yearly'!$B$2)</f>
        <v>0</v>
      </c>
      <c r="G30" s="39">
        <f>SUMIFS('&lt;&lt; Working &gt;&gt;'!$J:$J, '&lt;&lt; Working &gt;&gt;'!$D:$D, 'Supplier Wise Yearly'!$B$1, '&lt;&lt; Working &gt;&gt;'!$R:$R, 'Supplier Wise Yearly'!G$6, '&lt;&lt; Working &gt;&gt;'!$L:$L, 'Supplier Wise Yearly'!$B30, '&lt;&lt; Working &gt;&gt;'!$N:$N, 'Supplier Wise Yearly'!$B$2)</f>
        <v>0</v>
      </c>
      <c r="H30" s="39">
        <f>SUMIFS('&lt;&lt; Working &gt;&gt;'!$J:$J, '&lt;&lt; Working &gt;&gt;'!$D:$D, 'Supplier Wise Yearly'!$B$1, '&lt;&lt; Working &gt;&gt;'!$R:$R, 'Supplier Wise Yearly'!H$6, '&lt;&lt; Working &gt;&gt;'!$L:$L, 'Supplier Wise Yearly'!$B30, '&lt;&lt; Working &gt;&gt;'!$N:$N, 'Supplier Wise Yearly'!$B$2)</f>
        <v>0</v>
      </c>
      <c r="I30" s="39">
        <f>SUMIFS('&lt;&lt; Working &gt;&gt;'!$J:$J, '&lt;&lt; Working &gt;&gt;'!$D:$D, 'Supplier Wise Yearly'!$B$1, '&lt;&lt; Working &gt;&gt;'!$R:$R, 'Supplier Wise Yearly'!I$6, '&lt;&lt; Working &gt;&gt;'!$L:$L, 'Supplier Wise Yearly'!$B30, '&lt;&lt; Working &gt;&gt;'!$N:$N, 'Supplier Wise Yearly'!$B$2)</f>
        <v>0</v>
      </c>
      <c r="J30" s="39">
        <f>SUMIFS('&lt;&lt; Working &gt;&gt;'!$J:$J, '&lt;&lt; Working &gt;&gt;'!$D:$D, 'Supplier Wise Yearly'!$B$1, '&lt;&lt; Working &gt;&gt;'!$R:$R, 'Supplier Wise Yearly'!J$6, '&lt;&lt; Working &gt;&gt;'!$L:$L, 'Supplier Wise Yearly'!$B30, '&lt;&lt; Working &gt;&gt;'!$N:$N, 'Supplier Wise Yearly'!$B$2)</f>
        <v>0</v>
      </c>
      <c r="K30" s="39">
        <f>SUMIFS('&lt;&lt; Working &gt;&gt;'!$J:$J, '&lt;&lt; Working &gt;&gt;'!$D:$D, 'Supplier Wise Yearly'!$B$1, '&lt;&lt; Working &gt;&gt;'!$R:$R, 'Supplier Wise Yearly'!K$6, '&lt;&lt; Working &gt;&gt;'!$L:$L, 'Supplier Wise Yearly'!$B30, '&lt;&lt; Working &gt;&gt;'!$N:$N, 'Supplier Wise Yearly'!$B$2)</f>
        <v>0</v>
      </c>
      <c r="L30" s="39">
        <f>SUMIFS('&lt;&lt; Working &gt;&gt;'!$J:$J, '&lt;&lt; Working &gt;&gt;'!$D:$D, 'Supplier Wise Yearly'!$B$1, '&lt;&lt; Working &gt;&gt;'!$R:$R, 'Supplier Wise Yearly'!L$6, '&lt;&lt; Working &gt;&gt;'!$L:$L, 'Supplier Wise Yearly'!$B30, '&lt;&lt; Working &gt;&gt;'!$N:$N, 'Supplier Wise Yearly'!$B$2)</f>
        <v>0</v>
      </c>
      <c r="M30" s="39">
        <f>SUMIFS('&lt;&lt; Working &gt;&gt;'!$J:$J, '&lt;&lt; Working &gt;&gt;'!$D:$D, 'Supplier Wise Yearly'!$B$1, '&lt;&lt; Working &gt;&gt;'!$R:$R, 'Supplier Wise Yearly'!M$6, '&lt;&lt; Working &gt;&gt;'!$L:$L, 'Supplier Wise Yearly'!$B30, '&lt;&lt; Working &gt;&gt;'!$N:$N, 'Supplier Wise Yearly'!$B$2)</f>
        <v>0</v>
      </c>
      <c r="N30" s="39">
        <f>SUMIFS('&lt;&lt; Working &gt;&gt;'!$J:$J, '&lt;&lt; Working &gt;&gt;'!$D:$D, 'Supplier Wise Yearly'!$B$1, '&lt;&lt; Working &gt;&gt;'!$R:$R, 'Supplier Wise Yearly'!N$6, '&lt;&lt; Working &gt;&gt;'!$L:$L, 'Supplier Wise Yearly'!$B30, '&lt;&lt; Working &gt;&gt;'!$N:$N, 'Supplier Wise Yearly'!$B$2)</f>
        <v>0</v>
      </c>
      <c r="O30" s="39">
        <f t="shared" si="2"/>
        <v>0</v>
      </c>
      <c r="Q30" t="str">
        <f t="shared" si="3"/>
        <v>No</v>
      </c>
    </row>
    <row r="31" spans="1:17" hidden="1" x14ac:dyDescent="0.3">
      <c r="A31" s="21" t="str">
        <f>VLOOKUP(B31, 'Items Master'!E:F,2,0)</f>
        <v>Import</v>
      </c>
      <c r="B31" s="21" t="s">
        <v>1092</v>
      </c>
      <c r="C31" s="39">
        <f>SUMIFS('&lt;&lt; Working &gt;&gt;'!$J:$J, '&lt;&lt; Working &gt;&gt;'!$D:$D, 'Supplier Wise Yearly'!$B$1, '&lt;&lt; Working &gt;&gt;'!$R:$R, 'Supplier Wise Yearly'!C$6, '&lt;&lt; Working &gt;&gt;'!$L:$L, 'Supplier Wise Yearly'!$B31, '&lt;&lt; Working &gt;&gt;'!$N:$N, 'Supplier Wise Yearly'!$B$2)</f>
        <v>0</v>
      </c>
      <c r="D31" s="39">
        <f>SUMIFS('&lt;&lt; Working &gt;&gt;'!$J:$J, '&lt;&lt; Working &gt;&gt;'!$D:$D, 'Supplier Wise Yearly'!$B$1, '&lt;&lt; Working &gt;&gt;'!$R:$R, 'Supplier Wise Yearly'!D$6, '&lt;&lt; Working &gt;&gt;'!$L:$L, 'Supplier Wise Yearly'!$B31, '&lt;&lt; Working &gt;&gt;'!$N:$N, 'Supplier Wise Yearly'!$B$2)</f>
        <v>0</v>
      </c>
      <c r="E31" s="39">
        <f>SUMIFS('&lt;&lt; Working &gt;&gt;'!$J:$J, '&lt;&lt; Working &gt;&gt;'!$D:$D, 'Supplier Wise Yearly'!$B$1, '&lt;&lt; Working &gt;&gt;'!$R:$R, 'Supplier Wise Yearly'!E$6, '&lt;&lt; Working &gt;&gt;'!$L:$L, 'Supplier Wise Yearly'!$B31, '&lt;&lt; Working &gt;&gt;'!$N:$N, 'Supplier Wise Yearly'!$B$2)</f>
        <v>0</v>
      </c>
      <c r="F31" s="39">
        <f>SUMIFS('&lt;&lt; Working &gt;&gt;'!$J:$J, '&lt;&lt; Working &gt;&gt;'!$D:$D, 'Supplier Wise Yearly'!$B$1, '&lt;&lt; Working &gt;&gt;'!$R:$R, 'Supplier Wise Yearly'!F$6, '&lt;&lt; Working &gt;&gt;'!$L:$L, 'Supplier Wise Yearly'!$B31, '&lt;&lt; Working &gt;&gt;'!$N:$N, 'Supplier Wise Yearly'!$B$2)</f>
        <v>0</v>
      </c>
      <c r="G31" s="39">
        <f>SUMIFS('&lt;&lt; Working &gt;&gt;'!$J:$J, '&lt;&lt; Working &gt;&gt;'!$D:$D, 'Supplier Wise Yearly'!$B$1, '&lt;&lt; Working &gt;&gt;'!$R:$R, 'Supplier Wise Yearly'!G$6, '&lt;&lt; Working &gt;&gt;'!$L:$L, 'Supplier Wise Yearly'!$B31, '&lt;&lt; Working &gt;&gt;'!$N:$N, 'Supplier Wise Yearly'!$B$2)</f>
        <v>0</v>
      </c>
      <c r="H31" s="39">
        <f>SUMIFS('&lt;&lt; Working &gt;&gt;'!$J:$J, '&lt;&lt; Working &gt;&gt;'!$D:$D, 'Supplier Wise Yearly'!$B$1, '&lt;&lt; Working &gt;&gt;'!$R:$R, 'Supplier Wise Yearly'!H$6, '&lt;&lt; Working &gt;&gt;'!$L:$L, 'Supplier Wise Yearly'!$B31, '&lt;&lt; Working &gt;&gt;'!$N:$N, 'Supplier Wise Yearly'!$B$2)</f>
        <v>0</v>
      </c>
      <c r="I31" s="39">
        <f>SUMIFS('&lt;&lt; Working &gt;&gt;'!$J:$J, '&lt;&lt; Working &gt;&gt;'!$D:$D, 'Supplier Wise Yearly'!$B$1, '&lt;&lt; Working &gt;&gt;'!$R:$R, 'Supplier Wise Yearly'!I$6, '&lt;&lt; Working &gt;&gt;'!$L:$L, 'Supplier Wise Yearly'!$B31, '&lt;&lt; Working &gt;&gt;'!$N:$N, 'Supplier Wise Yearly'!$B$2)</f>
        <v>0</v>
      </c>
      <c r="J31" s="39">
        <f>SUMIFS('&lt;&lt; Working &gt;&gt;'!$J:$J, '&lt;&lt; Working &gt;&gt;'!$D:$D, 'Supplier Wise Yearly'!$B$1, '&lt;&lt; Working &gt;&gt;'!$R:$R, 'Supplier Wise Yearly'!J$6, '&lt;&lt; Working &gt;&gt;'!$L:$L, 'Supplier Wise Yearly'!$B31, '&lt;&lt; Working &gt;&gt;'!$N:$N, 'Supplier Wise Yearly'!$B$2)</f>
        <v>0</v>
      </c>
      <c r="K31" s="39">
        <f>SUMIFS('&lt;&lt; Working &gt;&gt;'!$J:$J, '&lt;&lt; Working &gt;&gt;'!$D:$D, 'Supplier Wise Yearly'!$B$1, '&lt;&lt; Working &gt;&gt;'!$R:$R, 'Supplier Wise Yearly'!K$6, '&lt;&lt; Working &gt;&gt;'!$L:$L, 'Supplier Wise Yearly'!$B31, '&lt;&lt; Working &gt;&gt;'!$N:$N, 'Supplier Wise Yearly'!$B$2)</f>
        <v>0</v>
      </c>
      <c r="L31" s="39">
        <f>SUMIFS('&lt;&lt; Working &gt;&gt;'!$J:$J, '&lt;&lt; Working &gt;&gt;'!$D:$D, 'Supplier Wise Yearly'!$B$1, '&lt;&lt; Working &gt;&gt;'!$R:$R, 'Supplier Wise Yearly'!L$6, '&lt;&lt; Working &gt;&gt;'!$L:$L, 'Supplier Wise Yearly'!$B31, '&lt;&lt; Working &gt;&gt;'!$N:$N, 'Supplier Wise Yearly'!$B$2)</f>
        <v>0</v>
      </c>
      <c r="M31" s="39">
        <f>SUMIFS('&lt;&lt; Working &gt;&gt;'!$J:$J, '&lt;&lt; Working &gt;&gt;'!$D:$D, 'Supplier Wise Yearly'!$B$1, '&lt;&lt; Working &gt;&gt;'!$R:$R, 'Supplier Wise Yearly'!M$6, '&lt;&lt; Working &gt;&gt;'!$L:$L, 'Supplier Wise Yearly'!$B31, '&lt;&lt; Working &gt;&gt;'!$N:$N, 'Supplier Wise Yearly'!$B$2)</f>
        <v>0</v>
      </c>
      <c r="N31" s="39">
        <f>SUMIFS('&lt;&lt; Working &gt;&gt;'!$J:$J, '&lt;&lt; Working &gt;&gt;'!$D:$D, 'Supplier Wise Yearly'!$B$1, '&lt;&lt; Working &gt;&gt;'!$R:$R, 'Supplier Wise Yearly'!N$6, '&lt;&lt; Working &gt;&gt;'!$L:$L, 'Supplier Wise Yearly'!$B31, '&lt;&lt; Working &gt;&gt;'!$N:$N, 'Supplier Wise Yearly'!$B$2)</f>
        <v>0</v>
      </c>
      <c r="O31" s="39">
        <f t="shared" si="2"/>
        <v>0</v>
      </c>
      <c r="Q31" t="str">
        <f t="shared" si="3"/>
        <v>No</v>
      </c>
    </row>
    <row r="32" spans="1:17" hidden="1" x14ac:dyDescent="0.3">
      <c r="A32" s="21" t="str">
        <f>VLOOKUP(B32, 'Items Master'!E:F,2,0)</f>
        <v>Import</v>
      </c>
      <c r="B32" s="21" t="s">
        <v>1097</v>
      </c>
      <c r="C32" s="39">
        <f>SUMIFS('&lt;&lt; Working &gt;&gt;'!$J:$J, '&lt;&lt; Working &gt;&gt;'!$D:$D, 'Supplier Wise Yearly'!$B$1, '&lt;&lt; Working &gt;&gt;'!$R:$R, 'Supplier Wise Yearly'!C$6, '&lt;&lt; Working &gt;&gt;'!$L:$L, 'Supplier Wise Yearly'!$B32, '&lt;&lt; Working &gt;&gt;'!$N:$N, 'Supplier Wise Yearly'!$B$2)</f>
        <v>0</v>
      </c>
      <c r="D32" s="39">
        <f>SUMIFS('&lt;&lt; Working &gt;&gt;'!$J:$J, '&lt;&lt; Working &gt;&gt;'!$D:$D, 'Supplier Wise Yearly'!$B$1, '&lt;&lt; Working &gt;&gt;'!$R:$R, 'Supplier Wise Yearly'!D$6, '&lt;&lt; Working &gt;&gt;'!$L:$L, 'Supplier Wise Yearly'!$B32, '&lt;&lt; Working &gt;&gt;'!$N:$N, 'Supplier Wise Yearly'!$B$2)</f>
        <v>0</v>
      </c>
      <c r="E32" s="39">
        <f>SUMIFS('&lt;&lt; Working &gt;&gt;'!$J:$J, '&lt;&lt; Working &gt;&gt;'!$D:$D, 'Supplier Wise Yearly'!$B$1, '&lt;&lt; Working &gt;&gt;'!$R:$R, 'Supplier Wise Yearly'!E$6, '&lt;&lt; Working &gt;&gt;'!$L:$L, 'Supplier Wise Yearly'!$B32, '&lt;&lt; Working &gt;&gt;'!$N:$N, 'Supplier Wise Yearly'!$B$2)</f>
        <v>0</v>
      </c>
      <c r="F32" s="39">
        <f>SUMIFS('&lt;&lt; Working &gt;&gt;'!$J:$J, '&lt;&lt; Working &gt;&gt;'!$D:$D, 'Supplier Wise Yearly'!$B$1, '&lt;&lt; Working &gt;&gt;'!$R:$R, 'Supplier Wise Yearly'!F$6, '&lt;&lt; Working &gt;&gt;'!$L:$L, 'Supplier Wise Yearly'!$B32, '&lt;&lt; Working &gt;&gt;'!$N:$N, 'Supplier Wise Yearly'!$B$2)</f>
        <v>0</v>
      </c>
      <c r="G32" s="39">
        <f>SUMIFS('&lt;&lt; Working &gt;&gt;'!$J:$J, '&lt;&lt; Working &gt;&gt;'!$D:$D, 'Supplier Wise Yearly'!$B$1, '&lt;&lt; Working &gt;&gt;'!$R:$R, 'Supplier Wise Yearly'!G$6, '&lt;&lt; Working &gt;&gt;'!$L:$L, 'Supplier Wise Yearly'!$B32, '&lt;&lt; Working &gt;&gt;'!$N:$N, 'Supplier Wise Yearly'!$B$2)</f>
        <v>0</v>
      </c>
      <c r="H32" s="39">
        <f>SUMIFS('&lt;&lt; Working &gt;&gt;'!$J:$J, '&lt;&lt; Working &gt;&gt;'!$D:$D, 'Supplier Wise Yearly'!$B$1, '&lt;&lt; Working &gt;&gt;'!$R:$R, 'Supplier Wise Yearly'!H$6, '&lt;&lt; Working &gt;&gt;'!$L:$L, 'Supplier Wise Yearly'!$B32, '&lt;&lt; Working &gt;&gt;'!$N:$N, 'Supplier Wise Yearly'!$B$2)</f>
        <v>0</v>
      </c>
      <c r="I32" s="39">
        <f>SUMIFS('&lt;&lt; Working &gt;&gt;'!$J:$J, '&lt;&lt; Working &gt;&gt;'!$D:$D, 'Supplier Wise Yearly'!$B$1, '&lt;&lt; Working &gt;&gt;'!$R:$R, 'Supplier Wise Yearly'!I$6, '&lt;&lt; Working &gt;&gt;'!$L:$L, 'Supplier Wise Yearly'!$B32, '&lt;&lt; Working &gt;&gt;'!$N:$N, 'Supplier Wise Yearly'!$B$2)</f>
        <v>0</v>
      </c>
      <c r="J32" s="39">
        <f>SUMIFS('&lt;&lt; Working &gt;&gt;'!$J:$J, '&lt;&lt; Working &gt;&gt;'!$D:$D, 'Supplier Wise Yearly'!$B$1, '&lt;&lt; Working &gt;&gt;'!$R:$R, 'Supplier Wise Yearly'!J$6, '&lt;&lt; Working &gt;&gt;'!$L:$L, 'Supplier Wise Yearly'!$B32, '&lt;&lt; Working &gt;&gt;'!$N:$N, 'Supplier Wise Yearly'!$B$2)</f>
        <v>0</v>
      </c>
      <c r="K32" s="39">
        <f>SUMIFS('&lt;&lt; Working &gt;&gt;'!$J:$J, '&lt;&lt; Working &gt;&gt;'!$D:$D, 'Supplier Wise Yearly'!$B$1, '&lt;&lt; Working &gt;&gt;'!$R:$R, 'Supplier Wise Yearly'!K$6, '&lt;&lt; Working &gt;&gt;'!$L:$L, 'Supplier Wise Yearly'!$B32, '&lt;&lt; Working &gt;&gt;'!$N:$N, 'Supplier Wise Yearly'!$B$2)</f>
        <v>0</v>
      </c>
      <c r="L32" s="39">
        <f>SUMIFS('&lt;&lt; Working &gt;&gt;'!$J:$J, '&lt;&lt; Working &gt;&gt;'!$D:$D, 'Supplier Wise Yearly'!$B$1, '&lt;&lt; Working &gt;&gt;'!$R:$R, 'Supplier Wise Yearly'!L$6, '&lt;&lt; Working &gt;&gt;'!$L:$L, 'Supplier Wise Yearly'!$B32, '&lt;&lt; Working &gt;&gt;'!$N:$N, 'Supplier Wise Yearly'!$B$2)</f>
        <v>0</v>
      </c>
      <c r="M32" s="39">
        <f>SUMIFS('&lt;&lt; Working &gt;&gt;'!$J:$J, '&lt;&lt; Working &gt;&gt;'!$D:$D, 'Supplier Wise Yearly'!$B$1, '&lt;&lt; Working &gt;&gt;'!$R:$R, 'Supplier Wise Yearly'!M$6, '&lt;&lt; Working &gt;&gt;'!$L:$L, 'Supplier Wise Yearly'!$B32, '&lt;&lt; Working &gt;&gt;'!$N:$N, 'Supplier Wise Yearly'!$B$2)</f>
        <v>0</v>
      </c>
      <c r="N32" s="39">
        <f>SUMIFS('&lt;&lt; Working &gt;&gt;'!$J:$J, '&lt;&lt; Working &gt;&gt;'!$D:$D, 'Supplier Wise Yearly'!$B$1, '&lt;&lt; Working &gt;&gt;'!$R:$R, 'Supplier Wise Yearly'!N$6, '&lt;&lt; Working &gt;&gt;'!$L:$L, 'Supplier Wise Yearly'!$B32, '&lt;&lt; Working &gt;&gt;'!$N:$N, 'Supplier Wise Yearly'!$B$2)</f>
        <v>0</v>
      </c>
      <c r="O32" s="39">
        <f t="shared" si="2"/>
        <v>0</v>
      </c>
      <c r="Q32" t="str">
        <f t="shared" si="3"/>
        <v>No</v>
      </c>
    </row>
    <row r="33" spans="1:17" hidden="1" x14ac:dyDescent="0.3">
      <c r="A33" s="21" t="str">
        <f>VLOOKUP(B33, 'Items Master'!E:F,2,0)</f>
        <v>Domestic</v>
      </c>
      <c r="B33" s="21" t="s">
        <v>1104</v>
      </c>
      <c r="C33" s="39">
        <f>SUMIFS('&lt;&lt; Working &gt;&gt;'!$J:$J, '&lt;&lt; Working &gt;&gt;'!$D:$D, 'Supplier Wise Yearly'!$B$1, '&lt;&lt; Working &gt;&gt;'!$R:$R, 'Supplier Wise Yearly'!C$6, '&lt;&lt; Working &gt;&gt;'!$L:$L, 'Supplier Wise Yearly'!$B33, '&lt;&lt; Working &gt;&gt;'!$N:$N, 'Supplier Wise Yearly'!$B$2)</f>
        <v>0</v>
      </c>
      <c r="D33" s="39">
        <f>SUMIFS('&lt;&lt; Working &gt;&gt;'!$J:$J, '&lt;&lt; Working &gt;&gt;'!$D:$D, 'Supplier Wise Yearly'!$B$1, '&lt;&lt; Working &gt;&gt;'!$R:$R, 'Supplier Wise Yearly'!D$6, '&lt;&lt; Working &gt;&gt;'!$L:$L, 'Supplier Wise Yearly'!$B33, '&lt;&lt; Working &gt;&gt;'!$N:$N, 'Supplier Wise Yearly'!$B$2)</f>
        <v>0</v>
      </c>
      <c r="E33" s="39">
        <f>SUMIFS('&lt;&lt; Working &gt;&gt;'!$J:$J, '&lt;&lt; Working &gt;&gt;'!$D:$D, 'Supplier Wise Yearly'!$B$1, '&lt;&lt; Working &gt;&gt;'!$R:$R, 'Supplier Wise Yearly'!E$6, '&lt;&lt; Working &gt;&gt;'!$L:$L, 'Supplier Wise Yearly'!$B33, '&lt;&lt; Working &gt;&gt;'!$N:$N, 'Supplier Wise Yearly'!$B$2)</f>
        <v>0</v>
      </c>
      <c r="F33" s="39">
        <f>SUMIFS('&lt;&lt; Working &gt;&gt;'!$J:$J, '&lt;&lt; Working &gt;&gt;'!$D:$D, 'Supplier Wise Yearly'!$B$1, '&lt;&lt; Working &gt;&gt;'!$R:$R, 'Supplier Wise Yearly'!F$6, '&lt;&lt; Working &gt;&gt;'!$L:$L, 'Supplier Wise Yearly'!$B33, '&lt;&lt; Working &gt;&gt;'!$N:$N, 'Supplier Wise Yearly'!$B$2)</f>
        <v>0</v>
      </c>
      <c r="G33" s="39">
        <f>SUMIFS('&lt;&lt; Working &gt;&gt;'!$J:$J, '&lt;&lt; Working &gt;&gt;'!$D:$D, 'Supplier Wise Yearly'!$B$1, '&lt;&lt; Working &gt;&gt;'!$R:$R, 'Supplier Wise Yearly'!G$6, '&lt;&lt; Working &gt;&gt;'!$L:$L, 'Supplier Wise Yearly'!$B33, '&lt;&lt; Working &gt;&gt;'!$N:$N, 'Supplier Wise Yearly'!$B$2)</f>
        <v>0</v>
      </c>
      <c r="H33" s="39">
        <f>SUMIFS('&lt;&lt; Working &gt;&gt;'!$J:$J, '&lt;&lt; Working &gt;&gt;'!$D:$D, 'Supplier Wise Yearly'!$B$1, '&lt;&lt; Working &gt;&gt;'!$R:$R, 'Supplier Wise Yearly'!H$6, '&lt;&lt; Working &gt;&gt;'!$L:$L, 'Supplier Wise Yearly'!$B33, '&lt;&lt; Working &gt;&gt;'!$N:$N, 'Supplier Wise Yearly'!$B$2)</f>
        <v>0</v>
      </c>
      <c r="I33" s="39">
        <f>SUMIFS('&lt;&lt; Working &gt;&gt;'!$J:$J, '&lt;&lt; Working &gt;&gt;'!$D:$D, 'Supplier Wise Yearly'!$B$1, '&lt;&lt; Working &gt;&gt;'!$R:$R, 'Supplier Wise Yearly'!I$6, '&lt;&lt; Working &gt;&gt;'!$L:$L, 'Supplier Wise Yearly'!$B33, '&lt;&lt; Working &gt;&gt;'!$N:$N, 'Supplier Wise Yearly'!$B$2)</f>
        <v>0</v>
      </c>
      <c r="J33" s="39">
        <f>SUMIFS('&lt;&lt; Working &gt;&gt;'!$J:$J, '&lt;&lt; Working &gt;&gt;'!$D:$D, 'Supplier Wise Yearly'!$B$1, '&lt;&lt; Working &gt;&gt;'!$R:$R, 'Supplier Wise Yearly'!J$6, '&lt;&lt; Working &gt;&gt;'!$L:$L, 'Supplier Wise Yearly'!$B33, '&lt;&lt; Working &gt;&gt;'!$N:$N, 'Supplier Wise Yearly'!$B$2)</f>
        <v>0</v>
      </c>
      <c r="K33" s="39">
        <f>SUMIFS('&lt;&lt; Working &gt;&gt;'!$J:$J, '&lt;&lt; Working &gt;&gt;'!$D:$D, 'Supplier Wise Yearly'!$B$1, '&lt;&lt; Working &gt;&gt;'!$R:$R, 'Supplier Wise Yearly'!K$6, '&lt;&lt; Working &gt;&gt;'!$L:$L, 'Supplier Wise Yearly'!$B33, '&lt;&lt; Working &gt;&gt;'!$N:$N, 'Supplier Wise Yearly'!$B$2)</f>
        <v>0</v>
      </c>
      <c r="L33" s="39">
        <f>SUMIFS('&lt;&lt; Working &gt;&gt;'!$J:$J, '&lt;&lt; Working &gt;&gt;'!$D:$D, 'Supplier Wise Yearly'!$B$1, '&lt;&lt; Working &gt;&gt;'!$R:$R, 'Supplier Wise Yearly'!L$6, '&lt;&lt; Working &gt;&gt;'!$L:$L, 'Supplier Wise Yearly'!$B33, '&lt;&lt; Working &gt;&gt;'!$N:$N, 'Supplier Wise Yearly'!$B$2)</f>
        <v>0</v>
      </c>
      <c r="M33" s="39">
        <f>SUMIFS('&lt;&lt; Working &gt;&gt;'!$J:$J, '&lt;&lt; Working &gt;&gt;'!$D:$D, 'Supplier Wise Yearly'!$B$1, '&lt;&lt; Working &gt;&gt;'!$R:$R, 'Supplier Wise Yearly'!M$6, '&lt;&lt; Working &gt;&gt;'!$L:$L, 'Supplier Wise Yearly'!$B33, '&lt;&lt; Working &gt;&gt;'!$N:$N, 'Supplier Wise Yearly'!$B$2)</f>
        <v>0</v>
      </c>
      <c r="N33" s="39">
        <f>SUMIFS('&lt;&lt; Working &gt;&gt;'!$J:$J, '&lt;&lt; Working &gt;&gt;'!$D:$D, 'Supplier Wise Yearly'!$B$1, '&lt;&lt; Working &gt;&gt;'!$R:$R, 'Supplier Wise Yearly'!N$6, '&lt;&lt; Working &gt;&gt;'!$L:$L, 'Supplier Wise Yearly'!$B33, '&lt;&lt; Working &gt;&gt;'!$N:$N, 'Supplier Wise Yearly'!$B$2)</f>
        <v>0</v>
      </c>
      <c r="O33" s="39">
        <f t="shared" si="2"/>
        <v>0</v>
      </c>
      <c r="Q33" t="str">
        <f t="shared" si="3"/>
        <v>No</v>
      </c>
    </row>
    <row r="34" spans="1:17" hidden="1" x14ac:dyDescent="0.3">
      <c r="A34" s="21" t="str">
        <f>VLOOKUP(B34, 'Items Master'!E:F,2,0)</f>
        <v>Import</v>
      </c>
      <c r="B34" s="21" t="s">
        <v>1110</v>
      </c>
      <c r="C34" s="39">
        <f>SUMIFS('&lt;&lt; Working &gt;&gt;'!$J:$J, '&lt;&lt; Working &gt;&gt;'!$D:$D, 'Supplier Wise Yearly'!$B$1, '&lt;&lt; Working &gt;&gt;'!$R:$R, 'Supplier Wise Yearly'!C$6, '&lt;&lt; Working &gt;&gt;'!$L:$L, 'Supplier Wise Yearly'!$B34, '&lt;&lt; Working &gt;&gt;'!$N:$N, 'Supplier Wise Yearly'!$B$2)</f>
        <v>0</v>
      </c>
      <c r="D34" s="39">
        <f>SUMIFS('&lt;&lt; Working &gt;&gt;'!$J:$J, '&lt;&lt; Working &gt;&gt;'!$D:$D, 'Supplier Wise Yearly'!$B$1, '&lt;&lt; Working &gt;&gt;'!$R:$R, 'Supplier Wise Yearly'!D$6, '&lt;&lt; Working &gt;&gt;'!$L:$L, 'Supplier Wise Yearly'!$B34, '&lt;&lt; Working &gt;&gt;'!$N:$N, 'Supplier Wise Yearly'!$B$2)</f>
        <v>0</v>
      </c>
      <c r="E34" s="39">
        <f>SUMIFS('&lt;&lt; Working &gt;&gt;'!$J:$J, '&lt;&lt; Working &gt;&gt;'!$D:$D, 'Supplier Wise Yearly'!$B$1, '&lt;&lt; Working &gt;&gt;'!$R:$R, 'Supplier Wise Yearly'!E$6, '&lt;&lt; Working &gt;&gt;'!$L:$L, 'Supplier Wise Yearly'!$B34, '&lt;&lt; Working &gt;&gt;'!$N:$N, 'Supplier Wise Yearly'!$B$2)</f>
        <v>0</v>
      </c>
      <c r="F34" s="39">
        <f>SUMIFS('&lt;&lt; Working &gt;&gt;'!$J:$J, '&lt;&lt; Working &gt;&gt;'!$D:$D, 'Supplier Wise Yearly'!$B$1, '&lt;&lt; Working &gt;&gt;'!$R:$R, 'Supplier Wise Yearly'!F$6, '&lt;&lt; Working &gt;&gt;'!$L:$L, 'Supplier Wise Yearly'!$B34, '&lt;&lt; Working &gt;&gt;'!$N:$N, 'Supplier Wise Yearly'!$B$2)</f>
        <v>0</v>
      </c>
      <c r="G34" s="39">
        <f>SUMIFS('&lt;&lt; Working &gt;&gt;'!$J:$J, '&lt;&lt; Working &gt;&gt;'!$D:$D, 'Supplier Wise Yearly'!$B$1, '&lt;&lt; Working &gt;&gt;'!$R:$R, 'Supplier Wise Yearly'!G$6, '&lt;&lt; Working &gt;&gt;'!$L:$L, 'Supplier Wise Yearly'!$B34, '&lt;&lt; Working &gt;&gt;'!$N:$N, 'Supplier Wise Yearly'!$B$2)</f>
        <v>0</v>
      </c>
      <c r="H34" s="39">
        <f>SUMIFS('&lt;&lt; Working &gt;&gt;'!$J:$J, '&lt;&lt; Working &gt;&gt;'!$D:$D, 'Supplier Wise Yearly'!$B$1, '&lt;&lt; Working &gt;&gt;'!$R:$R, 'Supplier Wise Yearly'!H$6, '&lt;&lt; Working &gt;&gt;'!$L:$L, 'Supplier Wise Yearly'!$B34, '&lt;&lt; Working &gt;&gt;'!$N:$N, 'Supplier Wise Yearly'!$B$2)</f>
        <v>0</v>
      </c>
      <c r="I34" s="39">
        <f>SUMIFS('&lt;&lt; Working &gt;&gt;'!$J:$J, '&lt;&lt; Working &gt;&gt;'!$D:$D, 'Supplier Wise Yearly'!$B$1, '&lt;&lt; Working &gt;&gt;'!$R:$R, 'Supplier Wise Yearly'!I$6, '&lt;&lt; Working &gt;&gt;'!$L:$L, 'Supplier Wise Yearly'!$B34, '&lt;&lt; Working &gt;&gt;'!$N:$N, 'Supplier Wise Yearly'!$B$2)</f>
        <v>0</v>
      </c>
      <c r="J34" s="39">
        <f>SUMIFS('&lt;&lt; Working &gt;&gt;'!$J:$J, '&lt;&lt; Working &gt;&gt;'!$D:$D, 'Supplier Wise Yearly'!$B$1, '&lt;&lt; Working &gt;&gt;'!$R:$R, 'Supplier Wise Yearly'!J$6, '&lt;&lt; Working &gt;&gt;'!$L:$L, 'Supplier Wise Yearly'!$B34, '&lt;&lt; Working &gt;&gt;'!$N:$N, 'Supplier Wise Yearly'!$B$2)</f>
        <v>0</v>
      </c>
      <c r="K34" s="39">
        <f>SUMIFS('&lt;&lt; Working &gt;&gt;'!$J:$J, '&lt;&lt; Working &gt;&gt;'!$D:$D, 'Supplier Wise Yearly'!$B$1, '&lt;&lt; Working &gt;&gt;'!$R:$R, 'Supplier Wise Yearly'!K$6, '&lt;&lt; Working &gt;&gt;'!$L:$L, 'Supplier Wise Yearly'!$B34, '&lt;&lt; Working &gt;&gt;'!$N:$N, 'Supplier Wise Yearly'!$B$2)</f>
        <v>0</v>
      </c>
      <c r="L34" s="39">
        <f>SUMIFS('&lt;&lt; Working &gt;&gt;'!$J:$J, '&lt;&lt; Working &gt;&gt;'!$D:$D, 'Supplier Wise Yearly'!$B$1, '&lt;&lt; Working &gt;&gt;'!$R:$R, 'Supplier Wise Yearly'!L$6, '&lt;&lt; Working &gt;&gt;'!$L:$L, 'Supplier Wise Yearly'!$B34, '&lt;&lt; Working &gt;&gt;'!$N:$N, 'Supplier Wise Yearly'!$B$2)</f>
        <v>0</v>
      </c>
      <c r="M34" s="39">
        <f>SUMIFS('&lt;&lt; Working &gt;&gt;'!$J:$J, '&lt;&lt; Working &gt;&gt;'!$D:$D, 'Supplier Wise Yearly'!$B$1, '&lt;&lt; Working &gt;&gt;'!$R:$R, 'Supplier Wise Yearly'!M$6, '&lt;&lt; Working &gt;&gt;'!$L:$L, 'Supplier Wise Yearly'!$B34, '&lt;&lt; Working &gt;&gt;'!$N:$N, 'Supplier Wise Yearly'!$B$2)</f>
        <v>0</v>
      </c>
      <c r="N34" s="39">
        <f>SUMIFS('&lt;&lt; Working &gt;&gt;'!$J:$J, '&lt;&lt; Working &gt;&gt;'!$D:$D, 'Supplier Wise Yearly'!$B$1, '&lt;&lt; Working &gt;&gt;'!$R:$R, 'Supplier Wise Yearly'!N$6, '&lt;&lt; Working &gt;&gt;'!$L:$L, 'Supplier Wise Yearly'!$B34, '&lt;&lt; Working &gt;&gt;'!$N:$N, 'Supplier Wise Yearly'!$B$2)</f>
        <v>0</v>
      </c>
      <c r="O34" s="39">
        <f t="shared" si="2"/>
        <v>0</v>
      </c>
      <c r="Q34" t="str">
        <f t="shared" si="3"/>
        <v>No</v>
      </c>
    </row>
    <row r="35" spans="1:17" hidden="1" x14ac:dyDescent="0.3">
      <c r="A35" s="21" t="str">
        <f>VLOOKUP(B35, 'Items Master'!E:F,2,0)</f>
        <v>Import</v>
      </c>
      <c r="B35" s="21" t="s">
        <v>1112</v>
      </c>
      <c r="C35" s="39">
        <f>SUMIFS('&lt;&lt; Working &gt;&gt;'!$J:$J, '&lt;&lt; Working &gt;&gt;'!$D:$D, 'Supplier Wise Yearly'!$B$1, '&lt;&lt; Working &gt;&gt;'!$R:$R, 'Supplier Wise Yearly'!C$6, '&lt;&lt; Working &gt;&gt;'!$L:$L, 'Supplier Wise Yearly'!$B35, '&lt;&lt; Working &gt;&gt;'!$N:$N, 'Supplier Wise Yearly'!$B$2)</f>
        <v>0</v>
      </c>
      <c r="D35" s="39">
        <f>SUMIFS('&lt;&lt; Working &gt;&gt;'!$J:$J, '&lt;&lt; Working &gt;&gt;'!$D:$D, 'Supplier Wise Yearly'!$B$1, '&lt;&lt; Working &gt;&gt;'!$R:$R, 'Supplier Wise Yearly'!D$6, '&lt;&lt; Working &gt;&gt;'!$L:$L, 'Supplier Wise Yearly'!$B35, '&lt;&lt; Working &gt;&gt;'!$N:$N, 'Supplier Wise Yearly'!$B$2)</f>
        <v>0</v>
      </c>
      <c r="E35" s="39">
        <f>SUMIFS('&lt;&lt; Working &gt;&gt;'!$J:$J, '&lt;&lt; Working &gt;&gt;'!$D:$D, 'Supplier Wise Yearly'!$B$1, '&lt;&lt; Working &gt;&gt;'!$R:$R, 'Supplier Wise Yearly'!E$6, '&lt;&lt; Working &gt;&gt;'!$L:$L, 'Supplier Wise Yearly'!$B35, '&lt;&lt; Working &gt;&gt;'!$N:$N, 'Supplier Wise Yearly'!$B$2)</f>
        <v>0</v>
      </c>
      <c r="F35" s="39">
        <f>SUMIFS('&lt;&lt; Working &gt;&gt;'!$J:$J, '&lt;&lt; Working &gt;&gt;'!$D:$D, 'Supplier Wise Yearly'!$B$1, '&lt;&lt; Working &gt;&gt;'!$R:$R, 'Supplier Wise Yearly'!F$6, '&lt;&lt; Working &gt;&gt;'!$L:$L, 'Supplier Wise Yearly'!$B35, '&lt;&lt; Working &gt;&gt;'!$N:$N, 'Supplier Wise Yearly'!$B$2)</f>
        <v>0</v>
      </c>
      <c r="G35" s="39">
        <f>SUMIFS('&lt;&lt; Working &gt;&gt;'!$J:$J, '&lt;&lt; Working &gt;&gt;'!$D:$D, 'Supplier Wise Yearly'!$B$1, '&lt;&lt; Working &gt;&gt;'!$R:$R, 'Supplier Wise Yearly'!G$6, '&lt;&lt; Working &gt;&gt;'!$L:$L, 'Supplier Wise Yearly'!$B35, '&lt;&lt; Working &gt;&gt;'!$N:$N, 'Supplier Wise Yearly'!$B$2)</f>
        <v>0</v>
      </c>
      <c r="H35" s="39">
        <f>SUMIFS('&lt;&lt; Working &gt;&gt;'!$J:$J, '&lt;&lt; Working &gt;&gt;'!$D:$D, 'Supplier Wise Yearly'!$B$1, '&lt;&lt; Working &gt;&gt;'!$R:$R, 'Supplier Wise Yearly'!H$6, '&lt;&lt; Working &gt;&gt;'!$L:$L, 'Supplier Wise Yearly'!$B35, '&lt;&lt; Working &gt;&gt;'!$N:$N, 'Supplier Wise Yearly'!$B$2)</f>
        <v>0</v>
      </c>
      <c r="I35" s="39">
        <f>SUMIFS('&lt;&lt; Working &gt;&gt;'!$J:$J, '&lt;&lt; Working &gt;&gt;'!$D:$D, 'Supplier Wise Yearly'!$B$1, '&lt;&lt; Working &gt;&gt;'!$R:$R, 'Supplier Wise Yearly'!I$6, '&lt;&lt; Working &gt;&gt;'!$L:$L, 'Supplier Wise Yearly'!$B35, '&lt;&lt; Working &gt;&gt;'!$N:$N, 'Supplier Wise Yearly'!$B$2)</f>
        <v>0</v>
      </c>
      <c r="J35" s="39">
        <f>SUMIFS('&lt;&lt; Working &gt;&gt;'!$J:$J, '&lt;&lt; Working &gt;&gt;'!$D:$D, 'Supplier Wise Yearly'!$B$1, '&lt;&lt; Working &gt;&gt;'!$R:$R, 'Supplier Wise Yearly'!J$6, '&lt;&lt; Working &gt;&gt;'!$L:$L, 'Supplier Wise Yearly'!$B35, '&lt;&lt; Working &gt;&gt;'!$N:$N, 'Supplier Wise Yearly'!$B$2)</f>
        <v>0</v>
      </c>
      <c r="K35" s="39">
        <f>SUMIFS('&lt;&lt; Working &gt;&gt;'!$J:$J, '&lt;&lt; Working &gt;&gt;'!$D:$D, 'Supplier Wise Yearly'!$B$1, '&lt;&lt; Working &gt;&gt;'!$R:$R, 'Supplier Wise Yearly'!K$6, '&lt;&lt; Working &gt;&gt;'!$L:$L, 'Supplier Wise Yearly'!$B35, '&lt;&lt; Working &gt;&gt;'!$N:$N, 'Supplier Wise Yearly'!$B$2)</f>
        <v>0</v>
      </c>
      <c r="L35" s="39">
        <f>SUMIFS('&lt;&lt; Working &gt;&gt;'!$J:$J, '&lt;&lt; Working &gt;&gt;'!$D:$D, 'Supplier Wise Yearly'!$B$1, '&lt;&lt; Working &gt;&gt;'!$R:$R, 'Supplier Wise Yearly'!L$6, '&lt;&lt; Working &gt;&gt;'!$L:$L, 'Supplier Wise Yearly'!$B35, '&lt;&lt; Working &gt;&gt;'!$N:$N, 'Supplier Wise Yearly'!$B$2)</f>
        <v>0</v>
      </c>
      <c r="M35" s="39">
        <f>SUMIFS('&lt;&lt; Working &gt;&gt;'!$J:$J, '&lt;&lt; Working &gt;&gt;'!$D:$D, 'Supplier Wise Yearly'!$B$1, '&lt;&lt; Working &gt;&gt;'!$R:$R, 'Supplier Wise Yearly'!M$6, '&lt;&lt; Working &gt;&gt;'!$L:$L, 'Supplier Wise Yearly'!$B35, '&lt;&lt; Working &gt;&gt;'!$N:$N, 'Supplier Wise Yearly'!$B$2)</f>
        <v>0</v>
      </c>
      <c r="N35" s="39">
        <f>SUMIFS('&lt;&lt; Working &gt;&gt;'!$J:$J, '&lt;&lt; Working &gt;&gt;'!$D:$D, 'Supplier Wise Yearly'!$B$1, '&lt;&lt; Working &gt;&gt;'!$R:$R, 'Supplier Wise Yearly'!N$6, '&lt;&lt; Working &gt;&gt;'!$L:$L, 'Supplier Wise Yearly'!$B35, '&lt;&lt; Working &gt;&gt;'!$N:$N, 'Supplier Wise Yearly'!$B$2)</f>
        <v>0</v>
      </c>
      <c r="O35" s="39">
        <f t="shared" si="2"/>
        <v>0</v>
      </c>
      <c r="Q35" t="str">
        <f t="shared" si="3"/>
        <v>No</v>
      </c>
    </row>
    <row r="36" spans="1:17" hidden="1" x14ac:dyDescent="0.3">
      <c r="A36" s="21" t="str">
        <f>VLOOKUP(B36, 'Items Master'!E:F,2,0)</f>
        <v>Import</v>
      </c>
      <c r="B36" s="21" t="s">
        <v>1135</v>
      </c>
      <c r="C36" s="39">
        <f>SUMIFS('&lt;&lt; Working &gt;&gt;'!$J:$J, '&lt;&lt; Working &gt;&gt;'!$D:$D, 'Supplier Wise Yearly'!$B$1, '&lt;&lt; Working &gt;&gt;'!$R:$R, 'Supplier Wise Yearly'!C$6, '&lt;&lt; Working &gt;&gt;'!$L:$L, 'Supplier Wise Yearly'!$B36, '&lt;&lt; Working &gt;&gt;'!$N:$N, 'Supplier Wise Yearly'!$B$2)</f>
        <v>0</v>
      </c>
      <c r="D36" s="39">
        <f>SUMIFS('&lt;&lt; Working &gt;&gt;'!$J:$J, '&lt;&lt; Working &gt;&gt;'!$D:$D, 'Supplier Wise Yearly'!$B$1, '&lt;&lt; Working &gt;&gt;'!$R:$R, 'Supplier Wise Yearly'!D$6, '&lt;&lt; Working &gt;&gt;'!$L:$L, 'Supplier Wise Yearly'!$B36, '&lt;&lt; Working &gt;&gt;'!$N:$N, 'Supplier Wise Yearly'!$B$2)</f>
        <v>0</v>
      </c>
      <c r="E36" s="39">
        <f>SUMIFS('&lt;&lt; Working &gt;&gt;'!$J:$J, '&lt;&lt; Working &gt;&gt;'!$D:$D, 'Supplier Wise Yearly'!$B$1, '&lt;&lt; Working &gt;&gt;'!$R:$R, 'Supplier Wise Yearly'!E$6, '&lt;&lt; Working &gt;&gt;'!$L:$L, 'Supplier Wise Yearly'!$B36, '&lt;&lt; Working &gt;&gt;'!$N:$N, 'Supplier Wise Yearly'!$B$2)</f>
        <v>0</v>
      </c>
      <c r="F36" s="39">
        <f>SUMIFS('&lt;&lt; Working &gt;&gt;'!$J:$J, '&lt;&lt; Working &gt;&gt;'!$D:$D, 'Supplier Wise Yearly'!$B$1, '&lt;&lt; Working &gt;&gt;'!$R:$R, 'Supplier Wise Yearly'!F$6, '&lt;&lt; Working &gt;&gt;'!$L:$L, 'Supplier Wise Yearly'!$B36, '&lt;&lt; Working &gt;&gt;'!$N:$N, 'Supplier Wise Yearly'!$B$2)</f>
        <v>0</v>
      </c>
      <c r="G36" s="39">
        <f>SUMIFS('&lt;&lt; Working &gt;&gt;'!$J:$J, '&lt;&lt; Working &gt;&gt;'!$D:$D, 'Supplier Wise Yearly'!$B$1, '&lt;&lt; Working &gt;&gt;'!$R:$R, 'Supplier Wise Yearly'!G$6, '&lt;&lt; Working &gt;&gt;'!$L:$L, 'Supplier Wise Yearly'!$B36, '&lt;&lt; Working &gt;&gt;'!$N:$N, 'Supplier Wise Yearly'!$B$2)</f>
        <v>0</v>
      </c>
      <c r="H36" s="39">
        <f>SUMIFS('&lt;&lt; Working &gt;&gt;'!$J:$J, '&lt;&lt; Working &gt;&gt;'!$D:$D, 'Supplier Wise Yearly'!$B$1, '&lt;&lt; Working &gt;&gt;'!$R:$R, 'Supplier Wise Yearly'!H$6, '&lt;&lt; Working &gt;&gt;'!$L:$L, 'Supplier Wise Yearly'!$B36, '&lt;&lt; Working &gt;&gt;'!$N:$N, 'Supplier Wise Yearly'!$B$2)</f>
        <v>0</v>
      </c>
      <c r="I36" s="39">
        <f>SUMIFS('&lt;&lt; Working &gt;&gt;'!$J:$J, '&lt;&lt; Working &gt;&gt;'!$D:$D, 'Supplier Wise Yearly'!$B$1, '&lt;&lt; Working &gt;&gt;'!$R:$R, 'Supplier Wise Yearly'!I$6, '&lt;&lt; Working &gt;&gt;'!$L:$L, 'Supplier Wise Yearly'!$B36, '&lt;&lt; Working &gt;&gt;'!$N:$N, 'Supplier Wise Yearly'!$B$2)</f>
        <v>0</v>
      </c>
      <c r="J36" s="39">
        <f>SUMIFS('&lt;&lt; Working &gt;&gt;'!$J:$J, '&lt;&lt; Working &gt;&gt;'!$D:$D, 'Supplier Wise Yearly'!$B$1, '&lt;&lt; Working &gt;&gt;'!$R:$R, 'Supplier Wise Yearly'!J$6, '&lt;&lt; Working &gt;&gt;'!$L:$L, 'Supplier Wise Yearly'!$B36, '&lt;&lt; Working &gt;&gt;'!$N:$N, 'Supplier Wise Yearly'!$B$2)</f>
        <v>0</v>
      </c>
      <c r="K36" s="39">
        <f>SUMIFS('&lt;&lt; Working &gt;&gt;'!$J:$J, '&lt;&lt; Working &gt;&gt;'!$D:$D, 'Supplier Wise Yearly'!$B$1, '&lt;&lt; Working &gt;&gt;'!$R:$R, 'Supplier Wise Yearly'!K$6, '&lt;&lt; Working &gt;&gt;'!$L:$L, 'Supplier Wise Yearly'!$B36, '&lt;&lt; Working &gt;&gt;'!$N:$N, 'Supplier Wise Yearly'!$B$2)</f>
        <v>0</v>
      </c>
      <c r="L36" s="39">
        <f>SUMIFS('&lt;&lt; Working &gt;&gt;'!$J:$J, '&lt;&lt; Working &gt;&gt;'!$D:$D, 'Supplier Wise Yearly'!$B$1, '&lt;&lt; Working &gt;&gt;'!$R:$R, 'Supplier Wise Yearly'!L$6, '&lt;&lt; Working &gt;&gt;'!$L:$L, 'Supplier Wise Yearly'!$B36, '&lt;&lt; Working &gt;&gt;'!$N:$N, 'Supplier Wise Yearly'!$B$2)</f>
        <v>0</v>
      </c>
      <c r="M36" s="39">
        <f>SUMIFS('&lt;&lt; Working &gt;&gt;'!$J:$J, '&lt;&lt; Working &gt;&gt;'!$D:$D, 'Supplier Wise Yearly'!$B$1, '&lt;&lt; Working &gt;&gt;'!$R:$R, 'Supplier Wise Yearly'!M$6, '&lt;&lt; Working &gt;&gt;'!$L:$L, 'Supplier Wise Yearly'!$B36, '&lt;&lt; Working &gt;&gt;'!$N:$N, 'Supplier Wise Yearly'!$B$2)</f>
        <v>0</v>
      </c>
      <c r="N36" s="39">
        <f>SUMIFS('&lt;&lt; Working &gt;&gt;'!$J:$J, '&lt;&lt; Working &gt;&gt;'!$D:$D, 'Supplier Wise Yearly'!$B$1, '&lt;&lt; Working &gt;&gt;'!$R:$R, 'Supplier Wise Yearly'!N$6, '&lt;&lt; Working &gt;&gt;'!$L:$L, 'Supplier Wise Yearly'!$B36, '&lt;&lt; Working &gt;&gt;'!$N:$N, 'Supplier Wise Yearly'!$B$2)</f>
        <v>0</v>
      </c>
      <c r="O36" s="39">
        <f t="shared" si="2"/>
        <v>0</v>
      </c>
      <c r="Q36" t="str">
        <f t="shared" si="3"/>
        <v>No</v>
      </c>
    </row>
    <row r="37" spans="1:17" hidden="1" x14ac:dyDescent="0.3">
      <c r="A37" s="21" t="str">
        <f>VLOOKUP(B37, 'Items Master'!E:F,2,0)</f>
        <v>Import</v>
      </c>
      <c r="B37" s="21" t="s">
        <v>1153</v>
      </c>
      <c r="C37" s="39">
        <f>SUMIFS('&lt;&lt; Working &gt;&gt;'!$J:$J, '&lt;&lt; Working &gt;&gt;'!$D:$D, 'Supplier Wise Yearly'!$B$1, '&lt;&lt; Working &gt;&gt;'!$R:$R, 'Supplier Wise Yearly'!C$6, '&lt;&lt; Working &gt;&gt;'!$L:$L, 'Supplier Wise Yearly'!$B37, '&lt;&lt; Working &gt;&gt;'!$N:$N, 'Supplier Wise Yearly'!$B$2)</f>
        <v>0</v>
      </c>
      <c r="D37" s="39">
        <f>SUMIFS('&lt;&lt; Working &gt;&gt;'!$J:$J, '&lt;&lt; Working &gt;&gt;'!$D:$D, 'Supplier Wise Yearly'!$B$1, '&lt;&lt; Working &gt;&gt;'!$R:$R, 'Supplier Wise Yearly'!D$6, '&lt;&lt; Working &gt;&gt;'!$L:$L, 'Supplier Wise Yearly'!$B37, '&lt;&lt; Working &gt;&gt;'!$N:$N, 'Supplier Wise Yearly'!$B$2)</f>
        <v>0</v>
      </c>
      <c r="E37" s="39">
        <f>SUMIFS('&lt;&lt; Working &gt;&gt;'!$J:$J, '&lt;&lt; Working &gt;&gt;'!$D:$D, 'Supplier Wise Yearly'!$B$1, '&lt;&lt; Working &gt;&gt;'!$R:$R, 'Supplier Wise Yearly'!E$6, '&lt;&lt; Working &gt;&gt;'!$L:$L, 'Supplier Wise Yearly'!$B37, '&lt;&lt; Working &gt;&gt;'!$N:$N, 'Supplier Wise Yearly'!$B$2)</f>
        <v>0</v>
      </c>
      <c r="F37" s="39">
        <f>SUMIFS('&lt;&lt; Working &gt;&gt;'!$J:$J, '&lt;&lt; Working &gt;&gt;'!$D:$D, 'Supplier Wise Yearly'!$B$1, '&lt;&lt; Working &gt;&gt;'!$R:$R, 'Supplier Wise Yearly'!F$6, '&lt;&lt; Working &gt;&gt;'!$L:$L, 'Supplier Wise Yearly'!$B37, '&lt;&lt; Working &gt;&gt;'!$N:$N, 'Supplier Wise Yearly'!$B$2)</f>
        <v>0</v>
      </c>
      <c r="G37" s="39">
        <f>SUMIFS('&lt;&lt; Working &gt;&gt;'!$J:$J, '&lt;&lt; Working &gt;&gt;'!$D:$D, 'Supplier Wise Yearly'!$B$1, '&lt;&lt; Working &gt;&gt;'!$R:$R, 'Supplier Wise Yearly'!G$6, '&lt;&lt; Working &gt;&gt;'!$L:$L, 'Supplier Wise Yearly'!$B37, '&lt;&lt; Working &gt;&gt;'!$N:$N, 'Supplier Wise Yearly'!$B$2)</f>
        <v>0</v>
      </c>
      <c r="H37" s="39">
        <f>SUMIFS('&lt;&lt; Working &gt;&gt;'!$J:$J, '&lt;&lt; Working &gt;&gt;'!$D:$D, 'Supplier Wise Yearly'!$B$1, '&lt;&lt; Working &gt;&gt;'!$R:$R, 'Supplier Wise Yearly'!H$6, '&lt;&lt; Working &gt;&gt;'!$L:$L, 'Supplier Wise Yearly'!$B37, '&lt;&lt; Working &gt;&gt;'!$N:$N, 'Supplier Wise Yearly'!$B$2)</f>
        <v>0</v>
      </c>
      <c r="I37" s="39">
        <f>SUMIFS('&lt;&lt; Working &gt;&gt;'!$J:$J, '&lt;&lt; Working &gt;&gt;'!$D:$D, 'Supplier Wise Yearly'!$B$1, '&lt;&lt; Working &gt;&gt;'!$R:$R, 'Supplier Wise Yearly'!I$6, '&lt;&lt; Working &gt;&gt;'!$L:$L, 'Supplier Wise Yearly'!$B37, '&lt;&lt; Working &gt;&gt;'!$N:$N, 'Supplier Wise Yearly'!$B$2)</f>
        <v>0</v>
      </c>
      <c r="J37" s="39">
        <f>SUMIFS('&lt;&lt; Working &gt;&gt;'!$J:$J, '&lt;&lt; Working &gt;&gt;'!$D:$D, 'Supplier Wise Yearly'!$B$1, '&lt;&lt; Working &gt;&gt;'!$R:$R, 'Supplier Wise Yearly'!J$6, '&lt;&lt; Working &gt;&gt;'!$L:$L, 'Supplier Wise Yearly'!$B37, '&lt;&lt; Working &gt;&gt;'!$N:$N, 'Supplier Wise Yearly'!$B$2)</f>
        <v>0</v>
      </c>
      <c r="K37" s="39">
        <f>SUMIFS('&lt;&lt; Working &gt;&gt;'!$J:$J, '&lt;&lt; Working &gt;&gt;'!$D:$D, 'Supplier Wise Yearly'!$B$1, '&lt;&lt; Working &gt;&gt;'!$R:$R, 'Supplier Wise Yearly'!K$6, '&lt;&lt; Working &gt;&gt;'!$L:$L, 'Supplier Wise Yearly'!$B37, '&lt;&lt; Working &gt;&gt;'!$N:$N, 'Supplier Wise Yearly'!$B$2)</f>
        <v>0</v>
      </c>
      <c r="L37" s="39">
        <f>SUMIFS('&lt;&lt; Working &gt;&gt;'!$J:$J, '&lt;&lt; Working &gt;&gt;'!$D:$D, 'Supplier Wise Yearly'!$B$1, '&lt;&lt; Working &gt;&gt;'!$R:$R, 'Supplier Wise Yearly'!L$6, '&lt;&lt; Working &gt;&gt;'!$L:$L, 'Supplier Wise Yearly'!$B37, '&lt;&lt; Working &gt;&gt;'!$N:$N, 'Supplier Wise Yearly'!$B$2)</f>
        <v>0</v>
      </c>
      <c r="M37" s="39">
        <f>SUMIFS('&lt;&lt; Working &gt;&gt;'!$J:$J, '&lt;&lt; Working &gt;&gt;'!$D:$D, 'Supplier Wise Yearly'!$B$1, '&lt;&lt; Working &gt;&gt;'!$R:$R, 'Supplier Wise Yearly'!M$6, '&lt;&lt; Working &gt;&gt;'!$L:$L, 'Supplier Wise Yearly'!$B37, '&lt;&lt; Working &gt;&gt;'!$N:$N, 'Supplier Wise Yearly'!$B$2)</f>
        <v>0</v>
      </c>
      <c r="N37" s="39">
        <f>SUMIFS('&lt;&lt; Working &gt;&gt;'!$J:$J, '&lt;&lt; Working &gt;&gt;'!$D:$D, 'Supplier Wise Yearly'!$B$1, '&lt;&lt; Working &gt;&gt;'!$R:$R, 'Supplier Wise Yearly'!N$6, '&lt;&lt; Working &gt;&gt;'!$L:$L, 'Supplier Wise Yearly'!$B37, '&lt;&lt; Working &gt;&gt;'!$N:$N, 'Supplier Wise Yearly'!$B$2)</f>
        <v>0</v>
      </c>
      <c r="O37" s="39">
        <f t="shared" si="2"/>
        <v>0</v>
      </c>
      <c r="Q37" t="str">
        <f t="shared" si="3"/>
        <v>No</v>
      </c>
    </row>
    <row r="38" spans="1:17" hidden="1" x14ac:dyDescent="0.3">
      <c r="A38" s="21" t="str">
        <f>VLOOKUP(B38, 'Items Master'!E:F,2,0)</f>
        <v>Import</v>
      </c>
      <c r="B38" s="21" t="s">
        <v>1159</v>
      </c>
      <c r="C38" s="39">
        <f>SUMIFS('&lt;&lt; Working &gt;&gt;'!$J:$J, '&lt;&lt; Working &gt;&gt;'!$D:$D, 'Supplier Wise Yearly'!$B$1, '&lt;&lt; Working &gt;&gt;'!$R:$R, 'Supplier Wise Yearly'!C$6, '&lt;&lt; Working &gt;&gt;'!$L:$L, 'Supplier Wise Yearly'!$B38, '&lt;&lt; Working &gt;&gt;'!$N:$N, 'Supplier Wise Yearly'!$B$2)</f>
        <v>0</v>
      </c>
      <c r="D38" s="39">
        <f>SUMIFS('&lt;&lt; Working &gt;&gt;'!$J:$J, '&lt;&lt; Working &gt;&gt;'!$D:$D, 'Supplier Wise Yearly'!$B$1, '&lt;&lt; Working &gt;&gt;'!$R:$R, 'Supplier Wise Yearly'!D$6, '&lt;&lt; Working &gt;&gt;'!$L:$L, 'Supplier Wise Yearly'!$B38, '&lt;&lt; Working &gt;&gt;'!$N:$N, 'Supplier Wise Yearly'!$B$2)</f>
        <v>0</v>
      </c>
      <c r="E38" s="39">
        <f>SUMIFS('&lt;&lt; Working &gt;&gt;'!$J:$J, '&lt;&lt; Working &gt;&gt;'!$D:$D, 'Supplier Wise Yearly'!$B$1, '&lt;&lt; Working &gt;&gt;'!$R:$R, 'Supplier Wise Yearly'!E$6, '&lt;&lt; Working &gt;&gt;'!$L:$L, 'Supplier Wise Yearly'!$B38, '&lt;&lt; Working &gt;&gt;'!$N:$N, 'Supplier Wise Yearly'!$B$2)</f>
        <v>0</v>
      </c>
      <c r="F38" s="39">
        <f>SUMIFS('&lt;&lt; Working &gt;&gt;'!$J:$J, '&lt;&lt; Working &gt;&gt;'!$D:$D, 'Supplier Wise Yearly'!$B$1, '&lt;&lt; Working &gt;&gt;'!$R:$R, 'Supplier Wise Yearly'!F$6, '&lt;&lt; Working &gt;&gt;'!$L:$L, 'Supplier Wise Yearly'!$B38, '&lt;&lt; Working &gt;&gt;'!$N:$N, 'Supplier Wise Yearly'!$B$2)</f>
        <v>0</v>
      </c>
      <c r="G38" s="39">
        <f>SUMIFS('&lt;&lt; Working &gt;&gt;'!$J:$J, '&lt;&lt; Working &gt;&gt;'!$D:$D, 'Supplier Wise Yearly'!$B$1, '&lt;&lt; Working &gt;&gt;'!$R:$R, 'Supplier Wise Yearly'!G$6, '&lt;&lt; Working &gt;&gt;'!$L:$L, 'Supplier Wise Yearly'!$B38, '&lt;&lt; Working &gt;&gt;'!$N:$N, 'Supplier Wise Yearly'!$B$2)</f>
        <v>0</v>
      </c>
      <c r="H38" s="39">
        <f>SUMIFS('&lt;&lt; Working &gt;&gt;'!$J:$J, '&lt;&lt; Working &gt;&gt;'!$D:$D, 'Supplier Wise Yearly'!$B$1, '&lt;&lt; Working &gt;&gt;'!$R:$R, 'Supplier Wise Yearly'!H$6, '&lt;&lt; Working &gt;&gt;'!$L:$L, 'Supplier Wise Yearly'!$B38, '&lt;&lt; Working &gt;&gt;'!$N:$N, 'Supplier Wise Yearly'!$B$2)</f>
        <v>0</v>
      </c>
      <c r="I38" s="39">
        <f>SUMIFS('&lt;&lt; Working &gt;&gt;'!$J:$J, '&lt;&lt; Working &gt;&gt;'!$D:$D, 'Supplier Wise Yearly'!$B$1, '&lt;&lt; Working &gt;&gt;'!$R:$R, 'Supplier Wise Yearly'!I$6, '&lt;&lt; Working &gt;&gt;'!$L:$L, 'Supplier Wise Yearly'!$B38, '&lt;&lt; Working &gt;&gt;'!$N:$N, 'Supplier Wise Yearly'!$B$2)</f>
        <v>0</v>
      </c>
      <c r="J38" s="39">
        <f>SUMIFS('&lt;&lt; Working &gt;&gt;'!$J:$J, '&lt;&lt; Working &gt;&gt;'!$D:$D, 'Supplier Wise Yearly'!$B$1, '&lt;&lt; Working &gt;&gt;'!$R:$R, 'Supplier Wise Yearly'!J$6, '&lt;&lt; Working &gt;&gt;'!$L:$L, 'Supplier Wise Yearly'!$B38, '&lt;&lt; Working &gt;&gt;'!$N:$N, 'Supplier Wise Yearly'!$B$2)</f>
        <v>0</v>
      </c>
      <c r="K38" s="39">
        <f>SUMIFS('&lt;&lt; Working &gt;&gt;'!$J:$J, '&lt;&lt; Working &gt;&gt;'!$D:$D, 'Supplier Wise Yearly'!$B$1, '&lt;&lt; Working &gt;&gt;'!$R:$R, 'Supplier Wise Yearly'!K$6, '&lt;&lt; Working &gt;&gt;'!$L:$L, 'Supplier Wise Yearly'!$B38, '&lt;&lt; Working &gt;&gt;'!$N:$N, 'Supplier Wise Yearly'!$B$2)</f>
        <v>0</v>
      </c>
      <c r="L38" s="39">
        <f>SUMIFS('&lt;&lt; Working &gt;&gt;'!$J:$J, '&lt;&lt; Working &gt;&gt;'!$D:$D, 'Supplier Wise Yearly'!$B$1, '&lt;&lt; Working &gt;&gt;'!$R:$R, 'Supplier Wise Yearly'!L$6, '&lt;&lt; Working &gt;&gt;'!$L:$L, 'Supplier Wise Yearly'!$B38, '&lt;&lt; Working &gt;&gt;'!$N:$N, 'Supplier Wise Yearly'!$B$2)</f>
        <v>0</v>
      </c>
      <c r="M38" s="39">
        <f>SUMIFS('&lt;&lt; Working &gt;&gt;'!$J:$J, '&lt;&lt; Working &gt;&gt;'!$D:$D, 'Supplier Wise Yearly'!$B$1, '&lt;&lt; Working &gt;&gt;'!$R:$R, 'Supplier Wise Yearly'!M$6, '&lt;&lt; Working &gt;&gt;'!$L:$L, 'Supplier Wise Yearly'!$B38, '&lt;&lt; Working &gt;&gt;'!$N:$N, 'Supplier Wise Yearly'!$B$2)</f>
        <v>0</v>
      </c>
      <c r="N38" s="39">
        <f>SUMIFS('&lt;&lt; Working &gt;&gt;'!$J:$J, '&lt;&lt; Working &gt;&gt;'!$D:$D, 'Supplier Wise Yearly'!$B$1, '&lt;&lt; Working &gt;&gt;'!$R:$R, 'Supplier Wise Yearly'!N$6, '&lt;&lt; Working &gt;&gt;'!$L:$L, 'Supplier Wise Yearly'!$B38, '&lt;&lt; Working &gt;&gt;'!$N:$N, 'Supplier Wise Yearly'!$B$2)</f>
        <v>0</v>
      </c>
      <c r="O38" s="39">
        <f t="shared" si="2"/>
        <v>0</v>
      </c>
      <c r="Q38" t="str">
        <f t="shared" si="3"/>
        <v>No</v>
      </c>
    </row>
    <row r="39" spans="1:17" hidden="1" x14ac:dyDescent="0.3">
      <c r="A39" s="21" t="str">
        <f>VLOOKUP(B39, 'Items Master'!E:F,2,0)</f>
        <v>Import</v>
      </c>
      <c r="B39" s="21" t="s">
        <v>1165</v>
      </c>
      <c r="C39" s="39">
        <f>SUMIFS('&lt;&lt; Working &gt;&gt;'!$J:$J, '&lt;&lt; Working &gt;&gt;'!$D:$D, 'Supplier Wise Yearly'!$B$1, '&lt;&lt; Working &gt;&gt;'!$R:$R, 'Supplier Wise Yearly'!C$6, '&lt;&lt; Working &gt;&gt;'!$L:$L, 'Supplier Wise Yearly'!$B39, '&lt;&lt; Working &gt;&gt;'!$N:$N, 'Supplier Wise Yearly'!$B$2)</f>
        <v>0</v>
      </c>
      <c r="D39" s="39">
        <f>SUMIFS('&lt;&lt; Working &gt;&gt;'!$J:$J, '&lt;&lt; Working &gt;&gt;'!$D:$D, 'Supplier Wise Yearly'!$B$1, '&lt;&lt; Working &gt;&gt;'!$R:$R, 'Supplier Wise Yearly'!D$6, '&lt;&lt; Working &gt;&gt;'!$L:$L, 'Supplier Wise Yearly'!$B39, '&lt;&lt; Working &gt;&gt;'!$N:$N, 'Supplier Wise Yearly'!$B$2)</f>
        <v>0</v>
      </c>
      <c r="E39" s="39">
        <f>SUMIFS('&lt;&lt; Working &gt;&gt;'!$J:$J, '&lt;&lt; Working &gt;&gt;'!$D:$D, 'Supplier Wise Yearly'!$B$1, '&lt;&lt; Working &gt;&gt;'!$R:$R, 'Supplier Wise Yearly'!E$6, '&lt;&lt; Working &gt;&gt;'!$L:$L, 'Supplier Wise Yearly'!$B39, '&lt;&lt; Working &gt;&gt;'!$N:$N, 'Supplier Wise Yearly'!$B$2)</f>
        <v>0</v>
      </c>
      <c r="F39" s="39">
        <f>SUMIFS('&lt;&lt; Working &gt;&gt;'!$J:$J, '&lt;&lt; Working &gt;&gt;'!$D:$D, 'Supplier Wise Yearly'!$B$1, '&lt;&lt; Working &gt;&gt;'!$R:$R, 'Supplier Wise Yearly'!F$6, '&lt;&lt; Working &gt;&gt;'!$L:$L, 'Supplier Wise Yearly'!$B39, '&lt;&lt; Working &gt;&gt;'!$N:$N, 'Supplier Wise Yearly'!$B$2)</f>
        <v>0</v>
      </c>
      <c r="G39" s="39">
        <f>SUMIFS('&lt;&lt; Working &gt;&gt;'!$J:$J, '&lt;&lt; Working &gt;&gt;'!$D:$D, 'Supplier Wise Yearly'!$B$1, '&lt;&lt; Working &gt;&gt;'!$R:$R, 'Supplier Wise Yearly'!G$6, '&lt;&lt; Working &gt;&gt;'!$L:$L, 'Supplier Wise Yearly'!$B39, '&lt;&lt; Working &gt;&gt;'!$N:$N, 'Supplier Wise Yearly'!$B$2)</f>
        <v>0</v>
      </c>
      <c r="H39" s="39">
        <f>SUMIFS('&lt;&lt; Working &gt;&gt;'!$J:$J, '&lt;&lt; Working &gt;&gt;'!$D:$D, 'Supplier Wise Yearly'!$B$1, '&lt;&lt; Working &gt;&gt;'!$R:$R, 'Supplier Wise Yearly'!H$6, '&lt;&lt; Working &gt;&gt;'!$L:$L, 'Supplier Wise Yearly'!$B39, '&lt;&lt; Working &gt;&gt;'!$N:$N, 'Supplier Wise Yearly'!$B$2)</f>
        <v>0</v>
      </c>
      <c r="I39" s="39">
        <f>SUMIFS('&lt;&lt; Working &gt;&gt;'!$J:$J, '&lt;&lt; Working &gt;&gt;'!$D:$D, 'Supplier Wise Yearly'!$B$1, '&lt;&lt; Working &gt;&gt;'!$R:$R, 'Supplier Wise Yearly'!I$6, '&lt;&lt; Working &gt;&gt;'!$L:$L, 'Supplier Wise Yearly'!$B39, '&lt;&lt; Working &gt;&gt;'!$N:$N, 'Supplier Wise Yearly'!$B$2)</f>
        <v>0</v>
      </c>
      <c r="J39" s="39">
        <f>SUMIFS('&lt;&lt; Working &gt;&gt;'!$J:$J, '&lt;&lt; Working &gt;&gt;'!$D:$D, 'Supplier Wise Yearly'!$B$1, '&lt;&lt; Working &gt;&gt;'!$R:$R, 'Supplier Wise Yearly'!J$6, '&lt;&lt; Working &gt;&gt;'!$L:$L, 'Supplier Wise Yearly'!$B39, '&lt;&lt; Working &gt;&gt;'!$N:$N, 'Supplier Wise Yearly'!$B$2)</f>
        <v>0</v>
      </c>
      <c r="K39" s="39">
        <f>SUMIFS('&lt;&lt; Working &gt;&gt;'!$J:$J, '&lt;&lt; Working &gt;&gt;'!$D:$D, 'Supplier Wise Yearly'!$B$1, '&lt;&lt; Working &gt;&gt;'!$R:$R, 'Supplier Wise Yearly'!K$6, '&lt;&lt; Working &gt;&gt;'!$L:$L, 'Supplier Wise Yearly'!$B39, '&lt;&lt; Working &gt;&gt;'!$N:$N, 'Supplier Wise Yearly'!$B$2)</f>
        <v>0</v>
      </c>
      <c r="L39" s="39">
        <f>SUMIFS('&lt;&lt; Working &gt;&gt;'!$J:$J, '&lt;&lt; Working &gt;&gt;'!$D:$D, 'Supplier Wise Yearly'!$B$1, '&lt;&lt; Working &gt;&gt;'!$R:$R, 'Supplier Wise Yearly'!L$6, '&lt;&lt; Working &gt;&gt;'!$L:$L, 'Supplier Wise Yearly'!$B39, '&lt;&lt; Working &gt;&gt;'!$N:$N, 'Supplier Wise Yearly'!$B$2)</f>
        <v>0</v>
      </c>
      <c r="M39" s="39">
        <f>SUMIFS('&lt;&lt; Working &gt;&gt;'!$J:$J, '&lt;&lt; Working &gt;&gt;'!$D:$D, 'Supplier Wise Yearly'!$B$1, '&lt;&lt; Working &gt;&gt;'!$R:$R, 'Supplier Wise Yearly'!M$6, '&lt;&lt; Working &gt;&gt;'!$L:$L, 'Supplier Wise Yearly'!$B39, '&lt;&lt; Working &gt;&gt;'!$N:$N, 'Supplier Wise Yearly'!$B$2)</f>
        <v>0</v>
      </c>
      <c r="N39" s="39">
        <f>SUMIFS('&lt;&lt; Working &gt;&gt;'!$J:$J, '&lt;&lt; Working &gt;&gt;'!$D:$D, 'Supplier Wise Yearly'!$B$1, '&lt;&lt; Working &gt;&gt;'!$R:$R, 'Supplier Wise Yearly'!N$6, '&lt;&lt; Working &gt;&gt;'!$L:$L, 'Supplier Wise Yearly'!$B39, '&lt;&lt; Working &gt;&gt;'!$N:$N, 'Supplier Wise Yearly'!$B$2)</f>
        <v>0</v>
      </c>
      <c r="O39" s="39">
        <f t="shared" si="2"/>
        <v>0</v>
      </c>
      <c r="Q39" t="str">
        <f t="shared" si="3"/>
        <v>No</v>
      </c>
    </row>
    <row r="40" spans="1:17" hidden="1" x14ac:dyDescent="0.3">
      <c r="A40" s="21" t="str">
        <f>VLOOKUP(B40, 'Items Master'!E:F,2,0)</f>
        <v>Import</v>
      </c>
      <c r="B40" s="21" t="s">
        <v>1181</v>
      </c>
      <c r="C40" s="39">
        <f>SUMIFS('&lt;&lt; Working &gt;&gt;'!$J:$J, '&lt;&lt; Working &gt;&gt;'!$D:$D, 'Supplier Wise Yearly'!$B$1, '&lt;&lt; Working &gt;&gt;'!$R:$R, 'Supplier Wise Yearly'!C$6, '&lt;&lt; Working &gt;&gt;'!$L:$L, 'Supplier Wise Yearly'!$B40, '&lt;&lt; Working &gt;&gt;'!$N:$N, 'Supplier Wise Yearly'!$B$2)</f>
        <v>0</v>
      </c>
      <c r="D40" s="39">
        <f>SUMIFS('&lt;&lt; Working &gt;&gt;'!$J:$J, '&lt;&lt; Working &gt;&gt;'!$D:$D, 'Supplier Wise Yearly'!$B$1, '&lt;&lt; Working &gt;&gt;'!$R:$R, 'Supplier Wise Yearly'!D$6, '&lt;&lt; Working &gt;&gt;'!$L:$L, 'Supplier Wise Yearly'!$B40, '&lt;&lt; Working &gt;&gt;'!$N:$N, 'Supplier Wise Yearly'!$B$2)</f>
        <v>0</v>
      </c>
      <c r="E40" s="39">
        <f>SUMIFS('&lt;&lt; Working &gt;&gt;'!$J:$J, '&lt;&lt; Working &gt;&gt;'!$D:$D, 'Supplier Wise Yearly'!$B$1, '&lt;&lt; Working &gt;&gt;'!$R:$R, 'Supplier Wise Yearly'!E$6, '&lt;&lt; Working &gt;&gt;'!$L:$L, 'Supplier Wise Yearly'!$B40, '&lt;&lt; Working &gt;&gt;'!$N:$N, 'Supplier Wise Yearly'!$B$2)</f>
        <v>0</v>
      </c>
      <c r="F40" s="39">
        <f>SUMIFS('&lt;&lt; Working &gt;&gt;'!$J:$J, '&lt;&lt; Working &gt;&gt;'!$D:$D, 'Supplier Wise Yearly'!$B$1, '&lt;&lt; Working &gt;&gt;'!$R:$R, 'Supplier Wise Yearly'!F$6, '&lt;&lt; Working &gt;&gt;'!$L:$L, 'Supplier Wise Yearly'!$B40, '&lt;&lt; Working &gt;&gt;'!$N:$N, 'Supplier Wise Yearly'!$B$2)</f>
        <v>0</v>
      </c>
      <c r="G40" s="39">
        <f>SUMIFS('&lt;&lt; Working &gt;&gt;'!$J:$J, '&lt;&lt; Working &gt;&gt;'!$D:$D, 'Supplier Wise Yearly'!$B$1, '&lt;&lt; Working &gt;&gt;'!$R:$R, 'Supplier Wise Yearly'!G$6, '&lt;&lt; Working &gt;&gt;'!$L:$L, 'Supplier Wise Yearly'!$B40, '&lt;&lt; Working &gt;&gt;'!$N:$N, 'Supplier Wise Yearly'!$B$2)</f>
        <v>0</v>
      </c>
      <c r="H40" s="39">
        <f>SUMIFS('&lt;&lt; Working &gt;&gt;'!$J:$J, '&lt;&lt; Working &gt;&gt;'!$D:$D, 'Supplier Wise Yearly'!$B$1, '&lt;&lt; Working &gt;&gt;'!$R:$R, 'Supplier Wise Yearly'!H$6, '&lt;&lt; Working &gt;&gt;'!$L:$L, 'Supplier Wise Yearly'!$B40, '&lt;&lt; Working &gt;&gt;'!$N:$N, 'Supplier Wise Yearly'!$B$2)</f>
        <v>0</v>
      </c>
      <c r="I40" s="39">
        <f>SUMIFS('&lt;&lt; Working &gt;&gt;'!$J:$J, '&lt;&lt; Working &gt;&gt;'!$D:$D, 'Supplier Wise Yearly'!$B$1, '&lt;&lt; Working &gt;&gt;'!$R:$R, 'Supplier Wise Yearly'!I$6, '&lt;&lt; Working &gt;&gt;'!$L:$L, 'Supplier Wise Yearly'!$B40, '&lt;&lt; Working &gt;&gt;'!$N:$N, 'Supplier Wise Yearly'!$B$2)</f>
        <v>0</v>
      </c>
      <c r="J40" s="39">
        <f>SUMIFS('&lt;&lt; Working &gt;&gt;'!$J:$J, '&lt;&lt; Working &gt;&gt;'!$D:$D, 'Supplier Wise Yearly'!$B$1, '&lt;&lt; Working &gt;&gt;'!$R:$R, 'Supplier Wise Yearly'!J$6, '&lt;&lt; Working &gt;&gt;'!$L:$L, 'Supplier Wise Yearly'!$B40, '&lt;&lt; Working &gt;&gt;'!$N:$N, 'Supplier Wise Yearly'!$B$2)</f>
        <v>0</v>
      </c>
      <c r="K40" s="39">
        <f>SUMIFS('&lt;&lt; Working &gt;&gt;'!$J:$J, '&lt;&lt; Working &gt;&gt;'!$D:$D, 'Supplier Wise Yearly'!$B$1, '&lt;&lt; Working &gt;&gt;'!$R:$R, 'Supplier Wise Yearly'!K$6, '&lt;&lt; Working &gt;&gt;'!$L:$L, 'Supplier Wise Yearly'!$B40, '&lt;&lt; Working &gt;&gt;'!$N:$N, 'Supplier Wise Yearly'!$B$2)</f>
        <v>0</v>
      </c>
      <c r="L40" s="39">
        <f>SUMIFS('&lt;&lt; Working &gt;&gt;'!$J:$J, '&lt;&lt; Working &gt;&gt;'!$D:$D, 'Supplier Wise Yearly'!$B$1, '&lt;&lt; Working &gt;&gt;'!$R:$R, 'Supplier Wise Yearly'!L$6, '&lt;&lt; Working &gt;&gt;'!$L:$L, 'Supplier Wise Yearly'!$B40, '&lt;&lt; Working &gt;&gt;'!$N:$N, 'Supplier Wise Yearly'!$B$2)</f>
        <v>0</v>
      </c>
      <c r="M40" s="39">
        <f>SUMIFS('&lt;&lt; Working &gt;&gt;'!$J:$J, '&lt;&lt; Working &gt;&gt;'!$D:$D, 'Supplier Wise Yearly'!$B$1, '&lt;&lt; Working &gt;&gt;'!$R:$R, 'Supplier Wise Yearly'!M$6, '&lt;&lt; Working &gt;&gt;'!$L:$L, 'Supplier Wise Yearly'!$B40, '&lt;&lt; Working &gt;&gt;'!$N:$N, 'Supplier Wise Yearly'!$B$2)</f>
        <v>0</v>
      </c>
      <c r="N40" s="39">
        <f>SUMIFS('&lt;&lt; Working &gt;&gt;'!$J:$J, '&lt;&lt; Working &gt;&gt;'!$D:$D, 'Supplier Wise Yearly'!$B$1, '&lt;&lt; Working &gt;&gt;'!$R:$R, 'Supplier Wise Yearly'!N$6, '&lt;&lt; Working &gt;&gt;'!$L:$L, 'Supplier Wise Yearly'!$B40, '&lt;&lt; Working &gt;&gt;'!$N:$N, 'Supplier Wise Yearly'!$B$2)</f>
        <v>0</v>
      </c>
      <c r="O40" s="39">
        <f t="shared" si="2"/>
        <v>0</v>
      </c>
      <c r="Q40" t="str">
        <f t="shared" si="3"/>
        <v>No</v>
      </c>
    </row>
    <row r="41" spans="1:17" hidden="1" x14ac:dyDescent="0.3">
      <c r="A41" s="21" t="str">
        <f>VLOOKUP(B41, 'Items Master'!E:F,2,0)</f>
        <v>Import</v>
      </c>
      <c r="B41" s="21" t="s">
        <v>1184</v>
      </c>
      <c r="C41" s="39">
        <f>SUMIFS('&lt;&lt; Working &gt;&gt;'!$J:$J, '&lt;&lt; Working &gt;&gt;'!$D:$D, 'Supplier Wise Yearly'!$B$1, '&lt;&lt; Working &gt;&gt;'!$R:$R, 'Supplier Wise Yearly'!C$6, '&lt;&lt; Working &gt;&gt;'!$L:$L, 'Supplier Wise Yearly'!$B41, '&lt;&lt; Working &gt;&gt;'!$N:$N, 'Supplier Wise Yearly'!$B$2)</f>
        <v>0</v>
      </c>
      <c r="D41" s="39">
        <f>SUMIFS('&lt;&lt; Working &gt;&gt;'!$J:$J, '&lt;&lt; Working &gt;&gt;'!$D:$D, 'Supplier Wise Yearly'!$B$1, '&lt;&lt; Working &gt;&gt;'!$R:$R, 'Supplier Wise Yearly'!D$6, '&lt;&lt; Working &gt;&gt;'!$L:$L, 'Supplier Wise Yearly'!$B41, '&lt;&lt; Working &gt;&gt;'!$N:$N, 'Supplier Wise Yearly'!$B$2)</f>
        <v>0</v>
      </c>
      <c r="E41" s="39">
        <f>SUMIFS('&lt;&lt; Working &gt;&gt;'!$J:$J, '&lt;&lt; Working &gt;&gt;'!$D:$D, 'Supplier Wise Yearly'!$B$1, '&lt;&lt; Working &gt;&gt;'!$R:$R, 'Supplier Wise Yearly'!E$6, '&lt;&lt; Working &gt;&gt;'!$L:$L, 'Supplier Wise Yearly'!$B41, '&lt;&lt; Working &gt;&gt;'!$N:$N, 'Supplier Wise Yearly'!$B$2)</f>
        <v>0</v>
      </c>
      <c r="F41" s="39">
        <f>SUMIFS('&lt;&lt; Working &gt;&gt;'!$J:$J, '&lt;&lt; Working &gt;&gt;'!$D:$D, 'Supplier Wise Yearly'!$B$1, '&lt;&lt; Working &gt;&gt;'!$R:$R, 'Supplier Wise Yearly'!F$6, '&lt;&lt; Working &gt;&gt;'!$L:$L, 'Supplier Wise Yearly'!$B41, '&lt;&lt; Working &gt;&gt;'!$N:$N, 'Supplier Wise Yearly'!$B$2)</f>
        <v>0</v>
      </c>
      <c r="G41" s="39">
        <f>SUMIFS('&lt;&lt; Working &gt;&gt;'!$J:$J, '&lt;&lt; Working &gt;&gt;'!$D:$D, 'Supplier Wise Yearly'!$B$1, '&lt;&lt; Working &gt;&gt;'!$R:$R, 'Supplier Wise Yearly'!G$6, '&lt;&lt; Working &gt;&gt;'!$L:$L, 'Supplier Wise Yearly'!$B41, '&lt;&lt; Working &gt;&gt;'!$N:$N, 'Supplier Wise Yearly'!$B$2)</f>
        <v>0</v>
      </c>
      <c r="H41" s="39">
        <f>SUMIFS('&lt;&lt; Working &gt;&gt;'!$J:$J, '&lt;&lt; Working &gt;&gt;'!$D:$D, 'Supplier Wise Yearly'!$B$1, '&lt;&lt; Working &gt;&gt;'!$R:$R, 'Supplier Wise Yearly'!H$6, '&lt;&lt; Working &gt;&gt;'!$L:$L, 'Supplier Wise Yearly'!$B41, '&lt;&lt; Working &gt;&gt;'!$N:$N, 'Supplier Wise Yearly'!$B$2)</f>
        <v>0</v>
      </c>
      <c r="I41" s="39">
        <f>SUMIFS('&lt;&lt; Working &gt;&gt;'!$J:$J, '&lt;&lt; Working &gt;&gt;'!$D:$D, 'Supplier Wise Yearly'!$B$1, '&lt;&lt; Working &gt;&gt;'!$R:$R, 'Supplier Wise Yearly'!I$6, '&lt;&lt; Working &gt;&gt;'!$L:$L, 'Supplier Wise Yearly'!$B41, '&lt;&lt; Working &gt;&gt;'!$N:$N, 'Supplier Wise Yearly'!$B$2)</f>
        <v>0</v>
      </c>
      <c r="J41" s="39">
        <f>SUMIFS('&lt;&lt; Working &gt;&gt;'!$J:$J, '&lt;&lt; Working &gt;&gt;'!$D:$D, 'Supplier Wise Yearly'!$B$1, '&lt;&lt; Working &gt;&gt;'!$R:$R, 'Supplier Wise Yearly'!J$6, '&lt;&lt; Working &gt;&gt;'!$L:$L, 'Supplier Wise Yearly'!$B41, '&lt;&lt; Working &gt;&gt;'!$N:$N, 'Supplier Wise Yearly'!$B$2)</f>
        <v>0</v>
      </c>
      <c r="K41" s="39">
        <f>SUMIFS('&lt;&lt; Working &gt;&gt;'!$J:$J, '&lt;&lt; Working &gt;&gt;'!$D:$D, 'Supplier Wise Yearly'!$B$1, '&lt;&lt; Working &gt;&gt;'!$R:$R, 'Supplier Wise Yearly'!K$6, '&lt;&lt; Working &gt;&gt;'!$L:$L, 'Supplier Wise Yearly'!$B41, '&lt;&lt; Working &gt;&gt;'!$N:$N, 'Supplier Wise Yearly'!$B$2)</f>
        <v>0</v>
      </c>
      <c r="L41" s="39">
        <f>SUMIFS('&lt;&lt; Working &gt;&gt;'!$J:$J, '&lt;&lt; Working &gt;&gt;'!$D:$D, 'Supplier Wise Yearly'!$B$1, '&lt;&lt; Working &gt;&gt;'!$R:$R, 'Supplier Wise Yearly'!L$6, '&lt;&lt; Working &gt;&gt;'!$L:$L, 'Supplier Wise Yearly'!$B41, '&lt;&lt; Working &gt;&gt;'!$N:$N, 'Supplier Wise Yearly'!$B$2)</f>
        <v>0</v>
      </c>
      <c r="M41" s="39">
        <f>SUMIFS('&lt;&lt; Working &gt;&gt;'!$J:$J, '&lt;&lt; Working &gt;&gt;'!$D:$D, 'Supplier Wise Yearly'!$B$1, '&lt;&lt; Working &gt;&gt;'!$R:$R, 'Supplier Wise Yearly'!M$6, '&lt;&lt; Working &gt;&gt;'!$L:$L, 'Supplier Wise Yearly'!$B41, '&lt;&lt; Working &gt;&gt;'!$N:$N, 'Supplier Wise Yearly'!$B$2)</f>
        <v>0</v>
      </c>
      <c r="N41" s="39">
        <f>SUMIFS('&lt;&lt; Working &gt;&gt;'!$J:$J, '&lt;&lt; Working &gt;&gt;'!$D:$D, 'Supplier Wise Yearly'!$B$1, '&lt;&lt; Working &gt;&gt;'!$R:$R, 'Supplier Wise Yearly'!N$6, '&lt;&lt; Working &gt;&gt;'!$L:$L, 'Supplier Wise Yearly'!$B41, '&lt;&lt; Working &gt;&gt;'!$N:$N, 'Supplier Wise Yearly'!$B$2)</f>
        <v>0</v>
      </c>
      <c r="O41" s="39">
        <f t="shared" si="2"/>
        <v>0</v>
      </c>
      <c r="Q41" t="str">
        <f t="shared" si="3"/>
        <v>No</v>
      </c>
    </row>
    <row r="42" spans="1:17" hidden="1" x14ac:dyDescent="0.3">
      <c r="A42" s="21" t="str">
        <f>VLOOKUP(B42, 'Items Master'!E:F,2,0)</f>
        <v>Import</v>
      </c>
      <c r="B42" s="21" t="s">
        <v>1198</v>
      </c>
      <c r="C42" s="39">
        <f>SUMIFS('&lt;&lt; Working &gt;&gt;'!$J:$J, '&lt;&lt; Working &gt;&gt;'!$D:$D, 'Supplier Wise Yearly'!$B$1, '&lt;&lt; Working &gt;&gt;'!$R:$R, 'Supplier Wise Yearly'!C$6, '&lt;&lt; Working &gt;&gt;'!$L:$L, 'Supplier Wise Yearly'!$B42, '&lt;&lt; Working &gt;&gt;'!$N:$N, 'Supplier Wise Yearly'!$B$2)</f>
        <v>0</v>
      </c>
      <c r="D42" s="39">
        <f>SUMIFS('&lt;&lt; Working &gt;&gt;'!$J:$J, '&lt;&lt; Working &gt;&gt;'!$D:$D, 'Supplier Wise Yearly'!$B$1, '&lt;&lt; Working &gt;&gt;'!$R:$R, 'Supplier Wise Yearly'!D$6, '&lt;&lt; Working &gt;&gt;'!$L:$L, 'Supplier Wise Yearly'!$B42, '&lt;&lt; Working &gt;&gt;'!$N:$N, 'Supplier Wise Yearly'!$B$2)</f>
        <v>0</v>
      </c>
      <c r="E42" s="39">
        <f>SUMIFS('&lt;&lt; Working &gt;&gt;'!$J:$J, '&lt;&lt; Working &gt;&gt;'!$D:$D, 'Supplier Wise Yearly'!$B$1, '&lt;&lt; Working &gt;&gt;'!$R:$R, 'Supplier Wise Yearly'!E$6, '&lt;&lt; Working &gt;&gt;'!$L:$L, 'Supplier Wise Yearly'!$B42, '&lt;&lt; Working &gt;&gt;'!$N:$N, 'Supplier Wise Yearly'!$B$2)</f>
        <v>0</v>
      </c>
      <c r="F42" s="39">
        <f>SUMIFS('&lt;&lt; Working &gt;&gt;'!$J:$J, '&lt;&lt; Working &gt;&gt;'!$D:$D, 'Supplier Wise Yearly'!$B$1, '&lt;&lt; Working &gt;&gt;'!$R:$R, 'Supplier Wise Yearly'!F$6, '&lt;&lt; Working &gt;&gt;'!$L:$L, 'Supplier Wise Yearly'!$B42, '&lt;&lt; Working &gt;&gt;'!$N:$N, 'Supplier Wise Yearly'!$B$2)</f>
        <v>0</v>
      </c>
      <c r="G42" s="39">
        <f>SUMIFS('&lt;&lt; Working &gt;&gt;'!$J:$J, '&lt;&lt; Working &gt;&gt;'!$D:$D, 'Supplier Wise Yearly'!$B$1, '&lt;&lt; Working &gt;&gt;'!$R:$R, 'Supplier Wise Yearly'!G$6, '&lt;&lt; Working &gt;&gt;'!$L:$L, 'Supplier Wise Yearly'!$B42, '&lt;&lt; Working &gt;&gt;'!$N:$N, 'Supplier Wise Yearly'!$B$2)</f>
        <v>0</v>
      </c>
      <c r="H42" s="39">
        <f>SUMIFS('&lt;&lt; Working &gt;&gt;'!$J:$J, '&lt;&lt; Working &gt;&gt;'!$D:$D, 'Supplier Wise Yearly'!$B$1, '&lt;&lt; Working &gt;&gt;'!$R:$R, 'Supplier Wise Yearly'!H$6, '&lt;&lt; Working &gt;&gt;'!$L:$L, 'Supplier Wise Yearly'!$B42, '&lt;&lt; Working &gt;&gt;'!$N:$N, 'Supplier Wise Yearly'!$B$2)</f>
        <v>0</v>
      </c>
      <c r="I42" s="39">
        <f>SUMIFS('&lt;&lt; Working &gt;&gt;'!$J:$J, '&lt;&lt; Working &gt;&gt;'!$D:$D, 'Supplier Wise Yearly'!$B$1, '&lt;&lt; Working &gt;&gt;'!$R:$R, 'Supplier Wise Yearly'!I$6, '&lt;&lt; Working &gt;&gt;'!$L:$L, 'Supplier Wise Yearly'!$B42, '&lt;&lt; Working &gt;&gt;'!$N:$N, 'Supplier Wise Yearly'!$B$2)</f>
        <v>0</v>
      </c>
      <c r="J42" s="39">
        <f>SUMIFS('&lt;&lt; Working &gt;&gt;'!$J:$J, '&lt;&lt; Working &gt;&gt;'!$D:$D, 'Supplier Wise Yearly'!$B$1, '&lt;&lt; Working &gt;&gt;'!$R:$R, 'Supplier Wise Yearly'!J$6, '&lt;&lt; Working &gt;&gt;'!$L:$L, 'Supplier Wise Yearly'!$B42, '&lt;&lt; Working &gt;&gt;'!$N:$N, 'Supplier Wise Yearly'!$B$2)</f>
        <v>0</v>
      </c>
      <c r="K42" s="39">
        <f>SUMIFS('&lt;&lt; Working &gt;&gt;'!$J:$J, '&lt;&lt; Working &gt;&gt;'!$D:$D, 'Supplier Wise Yearly'!$B$1, '&lt;&lt; Working &gt;&gt;'!$R:$R, 'Supplier Wise Yearly'!K$6, '&lt;&lt; Working &gt;&gt;'!$L:$L, 'Supplier Wise Yearly'!$B42, '&lt;&lt; Working &gt;&gt;'!$N:$N, 'Supplier Wise Yearly'!$B$2)</f>
        <v>0</v>
      </c>
      <c r="L42" s="39">
        <f>SUMIFS('&lt;&lt; Working &gt;&gt;'!$J:$J, '&lt;&lt; Working &gt;&gt;'!$D:$D, 'Supplier Wise Yearly'!$B$1, '&lt;&lt; Working &gt;&gt;'!$R:$R, 'Supplier Wise Yearly'!L$6, '&lt;&lt; Working &gt;&gt;'!$L:$L, 'Supplier Wise Yearly'!$B42, '&lt;&lt; Working &gt;&gt;'!$N:$N, 'Supplier Wise Yearly'!$B$2)</f>
        <v>0</v>
      </c>
      <c r="M42" s="39">
        <f>SUMIFS('&lt;&lt; Working &gt;&gt;'!$J:$J, '&lt;&lt; Working &gt;&gt;'!$D:$D, 'Supplier Wise Yearly'!$B$1, '&lt;&lt; Working &gt;&gt;'!$R:$R, 'Supplier Wise Yearly'!M$6, '&lt;&lt; Working &gt;&gt;'!$L:$L, 'Supplier Wise Yearly'!$B42, '&lt;&lt; Working &gt;&gt;'!$N:$N, 'Supplier Wise Yearly'!$B$2)</f>
        <v>0</v>
      </c>
      <c r="N42" s="39">
        <f>SUMIFS('&lt;&lt; Working &gt;&gt;'!$J:$J, '&lt;&lt; Working &gt;&gt;'!$D:$D, 'Supplier Wise Yearly'!$B$1, '&lt;&lt; Working &gt;&gt;'!$R:$R, 'Supplier Wise Yearly'!N$6, '&lt;&lt; Working &gt;&gt;'!$L:$L, 'Supplier Wise Yearly'!$B42, '&lt;&lt; Working &gt;&gt;'!$N:$N, 'Supplier Wise Yearly'!$B$2)</f>
        <v>0</v>
      </c>
      <c r="O42" s="39">
        <f t="shared" si="2"/>
        <v>0</v>
      </c>
      <c r="Q42" t="str">
        <f t="shared" si="3"/>
        <v>No</v>
      </c>
    </row>
    <row r="43" spans="1:17" hidden="1" x14ac:dyDescent="0.3">
      <c r="A43" s="21" t="str">
        <f>VLOOKUP(B43, 'Items Master'!E:F,2,0)</f>
        <v>Import</v>
      </c>
      <c r="B43" s="21" t="s">
        <v>1202</v>
      </c>
      <c r="C43" s="39">
        <f>SUMIFS('&lt;&lt; Working &gt;&gt;'!$J:$J, '&lt;&lt; Working &gt;&gt;'!$D:$D, 'Supplier Wise Yearly'!$B$1, '&lt;&lt; Working &gt;&gt;'!$R:$R, 'Supplier Wise Yearly'!C$6, '&lt;&lt; Working &gt;&gt;'!$L:$L, 'Supplier Wise Yearly'!$B43, '&lt;&lt; Working &gt;&gt;'!$N:$N, 'Supplier Wise Yearly'!$B$2)</f>
        <v>0</v>
      </c>
      <c r="D43" s="39">
        <f>SUMIFS('&lt;&lt; Working &gt;&gt;'!$J:$J, '&lt;&lt; Working &gt;&gt;'!$D:$D, 'Supplier Wise Yearly'!$B$1, '&lt;&lt; Working &gt;&gt;'!$R:$R, 'Supplier Wise Yearly'!D$6, '&lt;&lt; Working &gt;&gt;'!$L:$L, 'Supplier Wise Yearly'!$B43, '&lt;&lt; Working &gt;&gt;'!$N:$N, 'Supplier Wise Yearly'!$B$2)</f>
        <v>0</v>
      </c>
      <c r="E43" s="39">
        <f>SUMIFS('&lt;&lt; Working &gt;&gt;'!$J:$J, '&lt;&lt; Working &gt;&gt;'!$D:$D, 'Supplier Wise Yearly'!$B$1, '&lt;&lt; Working &gt;&gt;'!$R:$R, 'Supplier Wise Yearly'!E$6, '&lt;&lt; Working &gt;&gt;'!$L:$L, 'Supplier Wise Yearly'!$B43, '&lt;&lt; Working &gt;&gt;'!$N:$N, 'Supplier Wise Yearly'!$B$2)</f>
        <v>0</v>
      </c>
      <c r="F43" s="39">
        <f>SUMIFS('&lt;&lt; Working &gt;&gt;'!$J:$J, '&lt;&lt; Working &gt;&gt;'!$D:$D, 'Supplier Wise Yearly'!$B$1, '&lt;&lt; Working &gt;&gt;'!$R:$R, 'Supplier Wise Yearly'!F$6, '&lt;&lt; Working &gt;&gt;'!$L:$L, 'Supplier Wise Yearly'!$B43, '&lt;&lt; Working &gt;&gt;'!$N:$N, 'Supplier Wise Yearly'!$B$2)</f>
        <v>0</v>
      </c>
      <c r="G43" s="39">
        <f>SUMIFS('&lt;&lt; Working &gt;&gt;'!$J:$J, '&lt;&lt; Working &gt;&gt;'!$D:$D, 'Supplier Wise Yearly'!$B$1, '&lt;&lt; Working &gt;&gt;'!$R:$R, 'Supplier Wise Yearly'!G$6, '&lt;&lt; Working &gt;&gt;'!$L:$L, 'Supplier Wise Yearly'!$B43, '&lt;&lt; Working &gt;&gt;'!$N:$N, 'Supplier Wise Yearly'!$B$2)</f>
        <v>0</v>
      </c>
      <c r="H43" s="39">
        <f>SUMIFS('&lt;&lt; Working &gt;&gt;'!$J:$J, '&lt;&lt; Working &gt;&gt;'!$D:$D, 'Supplier Wise Yearly'!$B$1, '&lt;&lt; Working &gt;&gt;'!$R:$R, 'Supplier Wise Yearly'!H$6, '&lt;&lt; Working &gt;&gt;'!$L:$L, 'Supplier Wise Yearly'!$B43, '&lt;&lt; Working &gt;&gt;'!$N:$N, 'Supplier Wise Yearly'!$B$2)</f>
        <v>0</v>
      </c>
      <c r="I43" s="39">
        <f>SUMIFS('&lt;&lt; Working &gt;&gt;'!$J:$J, '&lt;&lt; Working &gt;&gt;'!$D:$D, 'Supplier Wise Yearly'!$B$1, '&lt;&lt; Working &gt;&gt;'!$R:$R, 'Supplier Wise Yearly'!I$6, '&lt;&lt; Working &gt;&gt;'!$L:$L, 'Supplier Wise Yearly'!$B43, '&lt;&lt; Working &gt;&gt;'!$N:$N, 'Supplier Wise Yearly'!$B$2)</f>
        <v>0</v>
      </c>
      <c r="J43" s="39">
        <f>SUMIFS('&lt;&lt; Working &gt;&gt;'!$J:$J, '&lt;&lt; Working &gt;&gt;'!$D:$D, 'Supplier Wise Yearly'!$B$1, '&lt;&lt; Working &gt;&gt;'!$R:$R, 'Supplier Wise Yearly'!J$6, '&lt;&lt; Working &gt;&gt;'!$L:$L, 'Supplier Wise Yearly'!$B43, '&lt;&lt; Working &gt;&gt;'!$N:$N, 'Supplier Wise Yearly'!$B$2)</f>
        <v>0</v>
      </c>
      <c r="K43" s="39">
        <f>SUMIFS('&lt;&lt; Working &gt;&gt;'!$J:$J, '&lt;&lt; Working &gt;&gt;'!$D:$D, 'Supplier Wise Yearly'!$B$1, '&lt;&lt; Working &gt;&gt;'!$R:$R, 'Supplier Wise Yearly'!K$6, '&lt;&lt; Working &gt;&gt;'!$L:$L, 'Supplier Wise Yearly'!$B43, '&lt;&lt; Working &gt;&gt;'!$N:$N, 'Supplier Wise Yearly'!$B$2)</f>
        <v>0</v>
      </c>
      <c r="L43" s="39">
        <f>SUMIFS('&lt;&lt; Working &gt;&gt;'!$J:$J, '&lt;&lt; Working &gt;&gt;'!$D:$D, 'Supplier Wise Yearly'!$B$1, '&lt;&lt; Working &gt;&gt;'!$R:$R, 'Supplier Wise Yearly'!L$6, '&lt;&lt; Working &gt;&gt;'!$L:$L, 'Supplier Wise Yearly'!$B43, '&lt;&lt; Working &gt;&gt;'!$N:$N, 'Supplier Wise Yearly'!$B$2)</f>
        <v>0</v>
      </c>
      <c r="M43" s="39">
        <f>SUMIFS('&lt;&lt; Working &gt;&gt;'!$J:$J, '&lt;&lt; Working &gt;&gt;'!$D:$D, 'Supplier Wise Yearly'!$B$1, '&lt;&lt; Working &gt;&gt;'!$R:$R, 'Supplier Wise Yearly'!M$6, '&lt;&lt; Working &gt;&gt;'!$L:$L, 'Supplier Wise Yearly'!$B43, '&lt;&lt; Working &gt;&gt;'!$N:$N, 'Supplier Wise Yearly'!$B$2)</f>
        <v>0</v>
      </c>
      <c r="N43" s="39">
        <f>SUMIFS('&lt;&lt; Working &gt;&gt;'!$J:$J, '&lt;&lt; Working &gt;&gt;'!$D:$D, 'Supplier Wise Yearly'!$B$1, '&lt;&lt; Working &gt;&gt;'!$R:$R, 'Supplier Wise Yearly'!N$6, '&lt;&lt; Working &gt;&gt;'!$L:$L, 'Supplier Wise Yearly'!$B43, '&lt;&lt; Working &gt;&gt;'!$N:$N, 'Supplier Wise Yearly'!$B$2)</f>
        <v>0</v>
      </c>
      <c r="O43" s="39">
        <f t="shared" si="2"/>
        <v>0</v>
      </c>
      <c r="Q43" t="str">
        <f t="shared" si="3"/>
        <v>No</v>
      </c>
    </row>
    <row r="44" spans="1:17" hidden="1" x14ac:dyDescent="0.3">
      <c r="A44" s="21" t="str">
        <f>VLOOKUP(B44, 'Items Master'!E:F,2,0)</f>
        <v>Import</v>
      </c>
      <c r="B44" s="21" t="s">
        <v>1206</v>
      </c>
      <c r="C44" s="39">
        <f>SUMIFS('&lt;&lt; Working &gt;&gt;'!$J:$J, '&lt;&lt; Working &gt;&gt;'!$D:$D, 'Supplier Wise Yearly'!$B$1, '&lt;&lt; Working &gt;&gt;'!$R:$R, 'Supplier Wise Yearly'!C$6, '&lt;&lt; Working &gt;&gt;'!$L:$L, 'Supplier Wise Yearly'!$B44, '&lt;&lt; Working &gt;&gt;'!$N:$N, 'Supplier Wise Yearly'!$B$2)</f>
        <v>0</v>
      </c>
      <c r="D44" s="39">
        <f>SUMIFS('&lt;&lt; Working &gt;&gt;'!$J:$J, '&lt;&lt; Working &gt;&gt;'!$D:$D, 'Supplier Wise Yearly'!$B$1, '&lt;&lt; Working &gt;&gt;'!$R:$R, 'Supplier Wise Yearly'!D$6, '&lt;&lt; Working &gt;&gt;'!$L:$L, 'Supplier Wise Yearly'!$B44, '&lt;&lt; Working &gt;&gt;'!$N:$N, 'Supplier Wise Yearly'!$B$2)</f>
        <v>0</v>
      </c>
      <c r="E44" s="39">
        <f>SUMIFS('&lt;&lt; Working &gt;&gt;'!$J:$J, '&lt;&lt; Working &gt;&gt;'!$D:$D, 'Supplier Wise Yearly'!$B$1, '&lt;&lt; Working &gt;&gt;'!$R:$R, 'Supplier Wise Yearly'!E$6, '&lt;&lt; Working &gt;&gt;'!$L:$L, 'Supplier Wise Yearly'!$B44, '&lt;&lt; Working &gt;&gt;'!$N:$N, 'Supplier Wise Yearly'!$B$2)</f>
        <v>0</v>
      </c>
      <c r="F44" s="39">
        <f>SUMIFS('&lt;&lt; Working &gt;&gt;'!$J:$J, '&lt;&lt; Working &gt;&gt;'!$D:$D, 'Supplier Wise Yearly'!$B$1, '&lt;&lt; Working &gt;&gt;'!$R:$R, 'Supplier Wise Yearly'!F$6, '&lt;&lt; Working &gt;&gt;'!$L:$L, 'Supplier Wise Yearly'!$B44, '&lt;&lt; Working &gt;&gt;'!$N:$N, 'Supplier Wise Yearly'!$B$2)</f>
        <v>0</v>
      </c>
      <c r="G44" s="39">
        <f>SUMIFS('&lt;&lt; Working &gt;&gt;'!$J:$J, '&lt;&lt; Working &gt;&gt;'!$D:$D, 'Supplier Wise Yearly'!$B$1, '&lt;&lt; Working &gt;&gt;'!$R:$R, 'Supplier Wise Yearly'!G$6, '&lt;&lt; Working &gt;&gt;'!$L:$L, 'Supplier Wise Yearly'!$B44, '&lt;&lt; Working &gt;&gt;'!$N:$N, 'Supplier Wise Yearly'!$B$2)</f>
        <v>0</v>
      </c>
      <c r="H44" s="39">
        <f>SUMIFS('&lt;&lt; Working &gt;&gt;'!$J:$J, '&lt;&lt; Working &gt;&gt;'!$D:$D, 'Supplier Wise Yearly'!$B$1, '&lt;&lt; Working &gt;&gt;'!$R:$R, 'Supplier Wise Yearly'!H$6, '&lt;&lt; Working &gt;&gt;'!$L:$L, 'Supplier Wise Yearly'!$B44, '&lt;&lt; Working &gt;&gt;'!$N:$N, 'Supplier Wise Yearly'!$B$2)</f>
        <v>0</v>
      </c>
      <c r="I44" s="39">
        <f>SUMIFS('&lt;&lt; Working &gt;&gt;'!$J:$J, '&lt;&lt; Working &gt;&gt;'!$D:$D, 'Supplier Wise Yearly'!$B$1, '&lt;&lt; Working &gt;&gt;'!$R:$R, 'Supplier Wise Yearly'!I$6, '&lt;&lt; Working &gt;&gt;'!$L:$L, 'Supplier Wise Yearly'!$B44, '&lt;&lt; Working &gt;&gt;'!$N:$N, 'Supplier Wise Yearly'!$B$2)</f>
        <v>0</v>
      </c>
      <c r="J44" s="39">
        <f>SUMIFS('&lt;&lt; Working &gt;&gt;'!$J:$J, '&lt;&lt; Working &gt;&gt;'!$D:$D, 'Supplier Wise Yearly'!$B$1, '&lt;&lt; Working &gt;&gt;'!$R:$R, 'Supplier Wise Yearly'!J$6, '&lt;&lt; Working &gt;&gt;'!$L:$L, 'Supplier Wise Yearly'!$B44, '&lt;&lt; Working &gt;&gt;'!$N:$N, 'Supplier Wise Yearly'!$B$2)</f>
        <v>0</v>
      </c>
      <c r="K44" s="39">
        <f>SUMIFS('&lt;&lt; Working &gt;&gt;'!$J:$J, '&lt;&lt; Working &gt;&gt;'!$D:$D, 'Supplier Wise Yearly'!$B$1, '&lt;&lt; Working &gt;&gt;'!$R:$R, 'Supplier Wise Yearly'!K$6, '&lt;&lt; Working &gt;&gt;'!$L:$L, 'Supplier Wise Yearly'!$B44, '&lt;&lt; Working &gt;&gt;'!$N:$N, 'Supplier Wise Yearly'!$B$2)</f>
        <v>0</v>
      </c>
      <c r="L44" s="39">
        <f>SUMIFS('&lt;&lt; Working &gt;&gt;'!$J:$J, '&lt;&lt; Working &gt;&gt;'!$D:$D, 'Supplier Wise Yearly'!$B$1, '&lt;&lt; Working &gt;&gt;'!$R:$R, 'Supplier Wise Yearly'!L$6, '&lt;&lt; Working &gt;&gt;'!$L:$L, 'Supplier Wise Yearly'!$B44, '&lt;&lt; Working &gt;&gt;'!$N:$N, 'Supplier Wise Yearly'!$B$2)</f>
        <v>0</v>
      </c>
      <c r="M44" s="39">
        <f>SUMIFS('&lt;&lt; Working &gt;&gt;'!$J:$J, '&lt;&lt; Working &gt;&gt;'!$D:$D, 'Supplier Wise Yearly'!$B$1, '&lt;&lt; Working &gt;&gt;'!$R:$R, 'Supplier Wise Yearly'!M$6, '&lt;&lt; Working &gt;&gt;'!$L:$L, 'Supplier Wise Yearly'!$B44, '&lt;&lt; Working &gt;&gt;'!$N:$N, 'Supplier Wise Yearly'!$B$2)</f>
        <v>0</v>
      </c>
      <c r="N44" s="39">
        <f>SUMIFS('&lt;&lt; Working &gt;&gt;'!$J:$J, '&lt;&lt; Working &gt;&gt;'!$D:$D, 'Supplier Wise Yearly'!$B$1, '&lt;&lt; Working &gt;&gt;'!$R:$R, 'Supplier Wise Yearly'!N$6, '&lt;&lt; Working &gt;&gt;'!$L:$L, 'Supplier Wise Yearly'!$B44, '&lt;&lt; Working &gt;&gt;'!$N:$N, 'Supplier Wise Yearly'!$B$2)</f>
        <v>0</v>
      </c>
      <c r="O44" s="39">
        <f t="shared" si="2"/>
        <v>0</v>
      </c>
      <c r="Q44" t="str">
        <f t="shared" si="3"/>
        <v>No</v>
      </c>
    </row>
    <row r="45" spans="1:17" hidden="1" x14ac:dyDescent="0.3">
      <c r="A45" s="21" t="str">
        <f>VLOOKUP(B45, 'Items Master'!E:F,2,0)</f>
        <v>Import</v>
      </c>
      <c r="B45" s="21" t="s">
        <v>1213</v>
      </c>
      <c r="C45" s="39">
        <f>SUMIFS('&lt;&lt; Working &gt;&gt;'!$J:$J, '&lt;&lt; Working &gt;&gt;'!$D:$D, 'Supplier Wise Yearly'!$B$1, '&lt;&lt; Working &gt;&gt;'!$R:$R, 'Supplier Wise Yearly'!C$6, '&lt;&lt; Working &gt;&gt;'!$L:$L, 'Supplier Wise Yearly'!$B45, '&lt;&lt; Working &gt;&gt;'!$N:$N, 'Supplier Wise Yearly'!$B$2)</f>
        <v>0</v>
      </c>
      <c r="D45" s="39">
        <f>SUMIFS('&lt;&lt; Working &gt;&gt;'!$J:$J, '&lt;&lt; Working &gt;&gt;'!$D:$D, 'Supplier Wise Yearly'!$B$1, '&lt;&lt; Working &gt;&gt;'!$R:$R, 'Supplier Wise Yearly'!D$6, '&lt;&lt; Working &gt;&gt;'!$L:$L, 'Supplier Wise Yearly'!$B45, '&lt;&lt; Working &gt;&gt;'!$N:$N, 'Supplier Wise Yearly'!$B$2)</f>
        <v>0</v>
      </c>
      <c r="E45" s="39">
        <f>SUMIFS('&lt;&lt; Working &gt;&gt;'!$J:$J, '&lt;&lt; Working &gt;&gt;'!$D:$D, 'Supplier Wise Yearly'!$B$1, '&lt;&lt; Working &gt;&gt;'!$R:$R, 'Supplier Wise Yearly'!E$6, '&lt;&lt; Working &gt;&gt;'!$L:$L, 'Supplier Wise Yearly'!$B45, '&lt;&lt; Working &gt;&gt;'!$N:$N, 'Supplier Wise Yearly'!$B$2)</f>
        <v>0</v>
      </c>
      <c r="F45" s="39">
        <f>SUMIFS('&lt;&lt; Working &gt;&gt;'!$J:$J, '&lt;&lt; Working &gt;&gt;'!$D:$D, 'Supplier Wise Yearly'!$B$1, '&lt;&lt; Working &gt;&gt;'!$R:$R, 'Supplier Wise Yearly'!F$6, '&lt;&lt; Working &gt;&gt;'!$L:$L, 'Supplier Wise Yearly'!$B45, '&lt;&lt; Working &gt;&gt;'!$N:$N, 'Supplier Wise Yearly'!$B$2)</f>
        <v>0</v>
      </c>
      <c r="G45" s="39">
        <f>SUMIFS('&lt;&lt; Working &gt;&gt;'!$J:$J, '&lt;&lt; Working &gt;&gt;'!$D:$D, 'Supplier Wise Yearly'!$B$1, '&lt;&lt; Working &gt;&gt;'!$R:$R, 'Supplier Wise Yearly'!G$6, '&lt;&lt; Working &gt;&gt;'!$L:$L, 'Supplier Wise Yearly'!$B45, '&lt;&lt; Working &gt;&gt;'!$N:$N, 'Supplier Wise Yearly'!$B$2)</f>
        <v>0</v>
      </c>
      <c r="H45" s="39">
        <f>SUMIFS('&lt;&lt; Working &gt;&gt;'!$J:$J, '&lt;&lt; Working &gt;&gt;'!$D:$D, 'Supplier Wise Yearly'!$B$1, '&lt;&lt; Working &gt;&gt;'!$R:$R, 'Supplier Wise Yearly'!H$6, '&lt;&lt; Working &gt;&gt;'!$L:$L, 'Supplier Wise Yearly'!$B45, '&lt;&lt; Working &gt;&gt;'!$N:$N, 'Supplier Wise Yearly'!$B$2)</f>
        <v>0</v>
      </c>
      <c r="I45" s="39">
        <f>SUMIFS('&lt;&lt; Working &gt;&gt;'!$J:$J, '&lt;&lt; Working &gt;&gt;'!$D:$D, 'Supplier Wise Yearly'!$B$1, '&lt;&lt; Working &gt;&gt;'!$R:$R, 'Supplier Wise Yearly'!I$6, '&lt;&lt; Working &gt;&gt;'!$L:$L, 'Supplier Wise Yearly'!$B45, '&lt;&lt; Working &gt;&gt;'!$N:$N, 'Supplier Wise Yearly'!$B$2)</f>
        <v>0</v>
      </c>
      <c r="J45" s="39">
        <f>SUMIFS('&lt;&lt; Working &gt;&gt;'!$J:$J, '&lt;&lt; Working &gt;&gt;'!$D:$D, 'Supplier Wise Yearly'!$B$1, '&lt;&lt; Working &gt;&gt;'!$R:$R, 'Supplier Wise Yearly'!J$6, '&lt;&lt; Working &gt;&gt;'!$L:$L, 'Supplier Wise Yearly'!$B45, '&lt;&lt; Working &gt;&gt;'!$N:$N, 'Supplier Wise Yearly'!$B$2)</f>
        <v>0</v>
      </c>
      <c r="K45" s="39">
        <f>SUMIFS('&lt;&lt; Working &gt;&gt;'!$J:$J, '&lt;&lt; Working &gt;&gt;'!$D:$D, 'Supplier Wise Yearly'!$B$1, '&lt;&lt; Working &gt;&gt;'!$R:$R, 'Supplier Wise Yearly'!K$6, '&lt;&lt; Working &gt;&gt;'!$L:$L, 'Supplier Wise Yearly'!$B45, '&lt;&lt; Working &gt;&gt;'!$N:$N, 'Supplier Wise Yearly'!$B$2)</f>
        <v>0</v>
      </c>
      <c r="L45" s="39">
        <f>SUMIFS('&lt;&lt; Working &gt;&gt;'!$J:$J, '&lt;&lt; Working &gt;&gt;'!$D:$D, 'Supplier Wise Yearly'!$B$1, '&lt;&lt; Working &gt;&gt;'!$R:$R, 'Supplier Wise Yearly'!L$6, '&lt;&lt; Working &gt;&gt;'!$L:$L, 'Supplier Wise Yearly'!$B45, '&lt;&lt; Working &gt;&gt;'!$N:$N, 'Supplier Wise Yearly'!$B$2)</f>
        <v>0</v>
      </c>
      <c r="M45" s="39">
        <f>SUMIFS('&lt;&lt; Working &gt;&gt;'!$J:$J, '&lt;&lt; Working &gt;&gt;'!$D:$D, 'Supplier Wise Yearly'!$B$1, '&lt;&lt; Working &gt;&gt;'!$R:$R, 'Supplier Wise Yearly'!M$6, '&lt;&lt; Working &gt;&gt;'!$L:$L, 'Supplier Wise Yearly'!$B45, '&lt;&lt; Working &gt;&gt;'!$N:$N, 'Supplier Wise Yearly'!$B$2)</f>
        <v>0</v>
      </c>
      <c r="N45" s="39">
        <f>SUMIFS('&lt;&lt; Working &gt;&gt;'!$J:$J, '&lt;&lt; Working &gt;&gt;'!$D:$D, 'Supplier Wise Yearly'!$B$1, '&lt;&lt; Working &gt;&gt;'!$R:$R, 'Supplier Wise Yearly'!N$6, '&lt;&lt; Working &gt;&gt;'!$L:$L, 'Supplier Wise Yearly'!$B45, '&lt;&lt; Working &gt;&gt;'!$N:$N, 'Supplier Wise Yearly'!$B$2)</f>
        <v>0</v>
      </c>
      <c r="O45" s="39">
        <f t="shared" si="2"/>
        <v>0</v>
      </c>
      <c r="Q45" t="str">
        <f t="shared" si="3"/>
        <v>No</v>
      </c>
    </row>
    <row r="46" spans="1:17" hidden="1" x14ac:dyDescent="0.3">
      <c r="A46" s="21" t="str">
        <f>VLOOKUP(B46, 'Items Master'!E:F,2,0)</f>
        <v>Import</v>
      </c>
      <c r="B46" s="21" t="s">
        <v>1218</v>
      </c>
      <c r="C46" s="39">
        <f>SUMIFS('&lt;&lt; Working &gt;&gt;'!$J:$J, '&lt;&lt; Working &gt;&gt;'!$D:$D, 'Supplier Wise Yearly'!$B$1, '&lt;&lt; Working &gt;&gt;'!$R:$R, 'Supplier Wise Yearly'!C$6, '&lt;&lt; Working &gt;&gt;'!$L:$L, 'Supplier Wise Yearly'!$B46, '&lt;&lt; Working &gt;&gt;'!$N:$N, 'Supplier Wise Yearly'!$B$2)</f>
        <v>0</v>
      </c>
      <c r="D46" s="39">
        <f>SUMIFS('&lt;&lt; Working &gt;&gt;'!$J:$J, '&lt;&lt; Working &gt;&gt;'!$D:$D, 'Supplier Wise Yearly'!$B$1, '&lt;&lt; Working &gt;&gt;'!$R:$R, 'Supplier Wise Yearly'!D$6, '&lt;&lt; Working &gt;&gt;'!$L:$L, 'Supplier Wise Yearly'!$B46, '&lt;&lt; Working &gt;&gt;'!$N:$N, 'Supplier Wise Yearly'!$B$2)</f>
        <v>0</v>
      </c>
      <c r="E46" s="39">
        <f>SUMIFS('&lt;&lt; Working &gt;&gt;'!$J:$J, '&lt;&lt; Working &gt;&gt;'!$D:$D, 'Supplier Wise Yearly'!$B$1, '&lt;&lt; Working &gt;&gt;'!$R:$R, 'Supplier Wise Yearly'!E$6, '&lt;&lt; Working &gt;&gt;'!$L:$L, 'Supplier Wise Yearly'!$B46, '&lt;&lt; Working &gt;&gt;'!$N:$N, 'Supplier Wise Yearly'!$B$2)</f>
        <v>0</v>
      </c>
      <c r="F46" s="39">
        <f>SUMIFS('&lt;&lt; Working &gt;&gt;'!$J:$J, '&lt;&lt; Working &gt;&gt;'!$D:$D, 'Supplier Wise Yearly'!$B$1, '&lt;&lt; Working &gt;&gt;'!$R:$R, 'Supplier Wise Yearly'!F$6, '&lt;&lt; Working &gt;&gt;'!$L:$L, 'Supplier Wise Yearly'!$B46, '&lt;&lt; Working &gt;&gt;'!$N:$N, 'Supplier Wise Yearly'!$B$2)</f>
        <v>0</v>
      </c>
      <c r="G46" s="39">
        <f>SUMIFS('&lt;&lt; Working &gt;&gt;'!$J:$J, '&lt;&lt; Working &gt;&gt;'!$D:$D, 'Supplier Wise Yearly'!$B$1, '&lt;&lt; Working &gt;&gt;'!$R:$R, 'Supplier Wise Yearly'!G$6, '&lt;&lt; Working &gt;&gt;'!$L:$L, 'Supplier Wise Yearly'!$B46, '&lt;&lt; Working &gt;&gt;'!$N:$N, 'Supplier Wise Yearly'!$B$2)</f>
        <v>0</v>
      </c>
      <c r="H46" s="39">
        <f>SUMIFS('&lt;&lt; Working &gt;&gt;'!$J:$J, '&lt;&lt; Working &gt;&gt;'!$D:$D, 'Supplier Wise Yearly'!$B$1, '&lt;&lt; Working &gt;&gt;'!$R:$R, 'Supplier Wise Yearly'!H$6, '&lt;&lt; Working &gt;&gt;'!$L:$L, 'Supplier Wise Yearly'!$B46, '&lt;&lt; Working &gt;&gt;'!$N:$N, 'Supplier Wise Yearly'!$B$2)</f>
        <v>0</v>
      </c>
      <c r="I46" s="39">
        <f>SUMIFS('&lt;&lt; Working &gt;&gt;'!$J:$J, '&lt;&lt; Working &gt;&gt;'!$D:$D, 'Supplier Wise Yearly'!$B$1, '&lt;&lt; Working &gt;&gt;'!$R:$R, 'Supplier Wise Yearly'!I$6, '&lt;&lt; Working &gt;&gt;'!$L:$L, 'Supplier Wise Yearly'!$B46, '&lt;&lt; Working &gt;&gt;'!$N:$N, 'Supplier Wise Yearly'!$B$2)</f>
        <v>0</v>
      </c>
      <c r="J46" s="39">
        <f>SUMIFS('&lt;&lt; Working &gt;&gt;'!$J:$J, '&lt;&lt; Working &gt;&gt;'!$D:$D, 'Supplier Wise Yearly'!$B$1, '&lt;&lt; Working &gt;&gt;'!$R:$R, 'Supplier Wise Yearly'!J$6, '&lt;&lt; Working &gt;&gt;'!$L:$L, 'Supplier Wise Yearly'!$B46, '&lt;&lt; Working &gt;&gt;'!$N:$N, 'Supplier Wise Yearly'!$B$2)</f>
        <v>0</v>
      </c>
      <c r="K46" s="39">
        <f>SUMIFS('&lt;&lt; Working &gt;&gt;'!$J:$J, '&lt;&lt; Working &gt;&gt;'!$D:$D, 'Supplier Wise Yearly'!$B$1, '&lt;&lt; Working &gt;&gt;'!$R:$R, 'Supplier Wise Yearly'!K$6, '&lt;&lt; Working &gt;&gt;'!$L:$L, 'Supplier Wise Yearly'!$B46, '&lt;&lt; Working &gt;&gt;'!$N:$N, 'Supplier Wise Yearly'!$B$2)</f>
        <v>0</v>
      </c>
      <c r="L46" s="39">
        <f>SUMIFS('&lt;&lt; Working &gt;&gt;'!$J:$J, '&lt;&lt; Working &gt;&gt;'!$D:$D, 'Supplier Wise Yearly'!$B$1, '&lt;&lt; Working &gt;&gt;'!$R:$R, 'Supplier Wise Yearly'!L$6, '&lt;&lt; Working &gt;&gt;'!$L:$L, 'Supplier Wise Yearly'!$B46, '&lt;&lt; Working &gt;&gt;'!$N:$N, 'Supplier Wise Yearly'!$B$2)</f>
        <v>0</v>
      </c>
      <c r="M46" s="39">
        <f>SUMIFS('&lt;&lt; Working &gt;&gt;'!$J:$J, '&lt;&lt; Working &gt;&gt;'!$D:$D, 'Supplier Wise Yearly'!$B$1, '&lt;&lt; Working &gt;&gt;'!$R:$R, 'Supplier Wise Yearly'!M$6, '&lt;&lt; Working &gt;&gt;'!$L:$L, 'Supplier Wise Yearly'!$B46, '&lt;&lt; Working &gt;&gt;'!$N:$N, 'Supplier Wise Yearly'!$B$2)</f>
        <v>0</v>
      </c>
      <c r="N46" s="39">
        <f>SUMIFS('&lt;&lt; Working &gt;&gt;'!$J:$J, '&lt;&lt; Working &gt;&gt;'!$D:$D, 'Supplier Wise Yearly'!$B$1, '&lt;&lt; Working &gt;&gt;'!$R:$R, 'Supplier Wise Yearly'!N$6, '&lt;&lt; Working &gt;&gt;'!$L:$L, 'Supplier Wise Yearly'!$B46, '&lt;&lt; Working &gt;&gt;'!$N:$N, 'Supplier Wise Yearly'!$B$2)</f>
        <v>0</v>
      </c>
      <c r="O46" s="39">
        <f t="shared" si="2"/>
        <v>0</v>
      </c>
      <c r="Q46" t="str">
        <f t="shared" si="3"/>
        <v>No</v>
      </c>
    </row>
    <row r="47" spans="1:17" hidden="1" x14ac:dyDescent="0.3">
      <c r="A47" s="21" t="str">
        <f>VLOOKUP(B47, 'Items Master'!E:F,2,0)</f>
        <v>Domestic</v>
      </c>
      <c r="B47" s="21" t="s">
        <v>1220</v>
      </c>
      <c r="C47" s="39">
        <f>SUMIFS('&lt;&lt; Working &gt;&gt;'!$J:$J, '&lt;&lt; Working &gt;&gt;'!$D:$D, 'Supplier Wise Yearly'!$B$1, '&lt;&lt; Working &gt;&gt;'!$R:$R, 'Supplier Wise Yearly'!C$6, '&lt;&lt; Working &gt;&gt;'!$L:$L, 'Supplier Wise Yearly'!$B47, '&lt;&lt; Working &gt;&gt;'!$N:$N, 'Supplier Wise Yearly'!$B$2)</f>
        <v>0</v>
      </c>
      <c r="D47" s="39">
        <f>SUMIFS('&lt;&lt; Working &gt;&gt;'!$J:$J, '&lt;&lt; Working &gt;&gt;'!$D:$D, 'Supplier Wise Yearly'!$B$1, '&lt;&lt; Working &gt;&gt;'!$R:$R, 'Supplier Wise Yearly'!D$6, '&lt;&lt; Working &gt;&gt;'!$L:$L, 'Supplier Wise Yearly'!$B47, '&lt;&lt; Working &gt;&gt;'!$N:$N, 'Supplier Wise Yearly'!$B$2)</f>
        <v>0</v>
      </c>
      <c r="E47" s="39">
        <f>SUMIFS('&lt;&lt; Working &gt;&gt;'!$J:$J, '&lt;&lt; Working &gt;&gt;'!$D:$D, 'Supplier Wise Yearly'!$B$1, '&lt;&lt; Working &gt;&gt;'!$R:$R, 'Supplier Wise Yearly'!E$6, '&lt;&lt; Working &gt;&gt;'!$L:$L, 'Supplier Wise Yearly'!$B47, '&lt;&lt; Working &gt;&gt;'!$N:$N, 'Supplier Wise Yearly'!$B$2)</f>
        <v>0</v>
      </c>
      <c r="F47" s="39">
        <f>SUMIFS('&lt;&lt; Working &gt;&gt;'!$J:$J, '&lt;&lt; Working &gt;&gt;'!$D:$D, 'Supplier Wise Yearly'!$B$1, '&lt;&lt; Working &gt;&gt;'!$R:$R, 'Supplier Wise Yearly'!F$6, '&lt;&lt; Working &gt;&gt;'!$L:$L, 'Supplier Wise Yearly'!$B47, '&lt;&lt; Working &gt;&gt;'!$N:$N, 'Supplier Wise Yearly'!$B$2)</f>
        <v>0</v>
      </c>
      <c r="G47" s="39">
        <f>SUMIFS('&lt;&lt; Working &gt;&gt;'!$J:$J, '&lt;&lt; Working &gt;&gt;'!$D:$D, 'Supplier Wise Yearly'!$B$1, '&lt;&lt; Working &gt;&gt;'!$R:$R, 'Supplier Wise Yearly'!G$6, '&lt;&lt; Working &gt;&gt;'!$L:$L, 'Supplier Wise Yearly'!$B47, '&lt;&lt; Working &gt;&gt;'!$N:$N, 'Supplier Wise Yearly'!$B$2)</f>
        <v>0</v>
      </c>
      <c r="H47" s="39">
        <f>SUMIFS('&lt;&lt; Working &gt;&gt;'!$J:$J, '&lt;&lt; Working &gt;&gt;'!$D:$D, 'Supplier Wise Yearly'!$B$1, '&lt;&lt; Working &gt;&gt;'!$R:$R, 'Supplier Wise Yearly'!H$6, '&lt;&lt; Working &gt;&gt;'!$L:$L, 'Supplier Wise Yearly'!$B47, '&lt;&lt; Working &gt;&gt;'!$N:$N, 'Supplier Wise Yearly'!$B$2)</f>
        <v>0</v>
      </c>
      <c r="I47" s="39">
        <f>SUMIFS('&lt;&lt; Working &gt;&gt;'!$J:$J, '&lt;&lt; Working &gt;&gt;'!$D:$D, 'Supplier Wise Yearly'!$B$1, '&lt;&lt; Working &gt;&gt;'!$R:$R, 'Supplier Wise Yearly'!I$6, '&lt;&lt; Working &gt;&gt;'!$L:$L, 'Supplier Wise Yearly'!$B47, '&lt;&lt; Working &gt;&gt;'!$N:$N, 'Supplier Wise Yearly'!$B$2)</f>
        <v>0</v>
      </c>
      <c r="J47" s="39">
        <f>SUMIFS('&lt;&lt; Working &gt;&gt;'!$J:$J, '&lt;&lt; Working &gt;&gt;'!$D:$D, 'Supplier Wise Yearly'!$B$1, '&lt;&lt; Working &gt;&gt;'!$R:$R, 'Supplier Wise Yearly'!J$6, '&lt;&lt; Working &gt;&gt;'!$L:$L, 'Supplier Wise Yearly'!$B47, '&lt;&lt; Working &gt;&gt;'!$N:$N, 'Supplier Wise Yearly'!$B$2)</f>
        <v>0</v>
      </c>
      <c r="K47" s="39">
        <f>SUMIFS('&lt;&lt; Working &gt;&gt;'!$J:$J, '&lt;&lt; Working &gt;&gt;'!$D:$D, 'Supplier Wise Yearly'!$B$1, '&lt;&lt; Working &gt;&gt;'!$R:$R, 'Supplier Wise Yearly'!K$6, '&lt;&lt; Working &gt;&gt;'!$L:$L, 'Supplier Wise Yearly'!$B47, '&lt;&lt; Working &gt;&gt;'!$N:$N, 'Supplier Wise Yearly'!$B$2)</f>
        <v>0</v>
      </c>
      <c r="L47" s="39">
        <f>SUMIFS('&lt;&lt; Working &gt;&gt;'!$J:$J, '&lt;&lt; Working &gt;&gt;'!$D:$D, 'Supplier Wise Yearly'!$B$1, '&lt;&lt; Working &gt;&gt;'!$R:$R, 'Supplier Wise Yearly'!L$6, '&lt;&lt; Working &gt;&gt;'!$L:$L, 'Supplier Wise Yearly'!$B47, '&lt;&lt; Working &gt;&gt;'!$N:$N, 'Supplier Wise Yearly'!$B$2)</f>
        <v>0</v>
      </c>
      <c r="M47" s="39">
        <f>SUMIFS('&lt;&lt; Working &gt;&gt;'!$J:$J, '&lt;&lt; Working &gt;&gt;'!$D:$D, 'Supplier Wise Yearly'!$B$1, '&lt;&lt; Working &gt;&gt;'!$R:$R, 'Supplier Wise Yearly'!M$6, '&lt;&lt; Working &gt;&gt;'!$L:$L, 'Supplier Wise Yearly'!$B47, '&lt;&lt; Working &gt;&gt;'!$N:$N, 'Supplier Wise Yearly'!$B$2)</f>
        <v>0</v>
      </c>
      <c r="N47" s="39">
        <f>SUMIFS('&lt;&lt; Working &gt;&gt;'!$J:$J, '&lt;&lt; Working &gt;&gt;'!$D:$D, 'Supplier Wise Yearly'!$B$1, '&lt;&lt; Working &gt;&gt;'!$R:$R, 'Supplier Wise Yearly'!N$6, '&lt;&lt; Working &gt;&gt;'!$L:$L, 'Supplier Wise Yearly'!$B47, '&lt;&lt; Working &gt;&gt;'!$N:$N, 'Supplier Wise Yearly'!$B$2)</f>
        <v>0</v>
      </c>
      <c r="O47" s="39">
        <f t="shared" si="2"/>
        <v>0</v>
      </c>
      <c r="Q47" t="str">
        <f t="shared" si="3"/>
        <v>No</v>
      </c>
    </row>
    <row r="48" spans="1:17" hidden="1" x14ac:dyDescent="0.3">
      <c r="A48" s="21" t="str">
        <f>VLOOKUP(B48, 'Items Master'!E:F,2,0)</f>
        <v>Import</v>
      </c>
      <c r="B48" s="21" t="s">
        <v>1222</v>
      </c>
      <c r="C48" s="39">
        <f>SUMIFS('&lt;&lt; Working &gt;&gt;'!$J:$J, '&lt;&lt; Working &gt;&gt;'!$D:$D, 'Supplier Wise Yearly'!$B$1, '&lt;&lt; Working &gt;&gt;'!$R:$R, 'Supplier Wise Yearly'!C$6, '&lt;&lt; Working &gt;&gt;'!$L:$L, 'Supplier Wise Yearly'!$B48, '&lt;&lt; Working &gt;&gt;'!$N:$N, 'Supplier Wise Yearly'!$B$2)</f>
        <v>0</v>
      </c>
      <c r="D48" s="39">
        <f>SUMIFS('&lt;&lt; Working &gt;&gt;'!$J:$J, '&lt;&lt; Working &gt;&gt;'!$D:$D, 'Supplier Wise Yearly'!$B$1, '&lt;&lt; Working &gt;&gt;'!$R:$R, 'Supplier Wise Yearly'!D$6, '&lt;&lt; Working &gt;&gt;'!$L:$L, 'Supplier Wise Yearly'!$B48, '&lt;&lt; Working &gt;&gt;'!$N:$N, 'Supplier Wise Yearly'!$B$2)</f>
        <v>0</v>
      </c>
      <c r="E48" s="39">
        <f>SUMIFS('&lt;&lt; Working &gt;&gt;'!$J:$J, '&lt;&lt; Working &gt;&gt;'!$D:$D, 'Supplier Wise Yearly'!$B$1, '&lt;&lt; Working &gt;&gt;'!$R:$R, 'Supplier Wise Yearly'!E$6, '&lt;&lt; Working &gt;&gt;'!$L:$L, 'Supplier Wise Yearly'!$B48, '&lt;&lt; Working &gt;&gt;'!$N:$N, 'Supplier Wise Yearly'!$B$2)</f>
        <v>0</v>
      </c>
      <c r="F48" s="39">
        <f>SUMIFS('&lt;&lt; Working &gt;&gt;'!$J:$J, '&lt;&lt; Working &gt;&gt;'!$D:$D, 'Supplier Wise Yearly'!$B$1, '&lt;&lt; Working &gt;&gt;'!$R:$R, 'Supplier Wise Yearly'!F$6, '&lt;&lt; Working &gt;&gt;'!$L:$L, 'Supplier Wise Yearly'!$B48, '&lt;&lt; Working &gt;&gt;'!$N:$N, 'Supplier Wise Yearly'!$B$2)</f>
        <v>0</v>
      </c>
      <c r="G48" s="39">
        <f>SUMIFS('&lt;&lt; Working &gt;&gt;'!$J:$J, '&lt;&lt; Working &gt;&gt;'!$D:$D, 'Supplier Wise Yearly'!$B$1, '&lt;&lt; Working &gt;&gt;'!$R:$R, 'Supplier Wise Yearly'!G$6, '&lt;&lt; Working &gt;&gt;'!$L:$L, 'Supplier Wise Yearly'!$B48, '&lt;&lt; Working &gt;&gt;'!$N:$N, 'Supplier Wise Yearly'!$B$2)</f>
        <v>0</v>
      </c>
      <c r="H48" s="39">
        <f>SUMIFS('&lt;&lt; Working &gt;&gt;'!$J:$J, '&lt;&lt; Working &gt;&gt;'!$D:$D, 'Supplier Wise Yearly'!$B$1, '&lt;&lt; Working &gt;&gt;'!$R:$R, 'Supplier Wise Yearly'!H$6, '&lt;&lt; Working &gt;&gt;'!$L:$L, 'Supplier Wise Yearly'!$B48, '&lt;&lt; Working &gt;&gt;'!$N:$N, 'Supplier Wise Yearly'!$B$2)</f>
        <v>0</v>
      </c>
      <c r="I48" s="39">
        <f>SUMIFS('&lt;&lt; Working &gt;&gt;'!$J:$J, '&lt;&lt; Working &gt;&gt;'!$D:$D, 'Supplier Wise Yearly'!$B$1, '&lt;&lt; Working &gt;&gt;'!$R:$R, 'Supplier Wise Yearly'!I$6, '&lt;&lt; Working &gt;&gt;'!$L:$L, 'Supplier Wise Yearly'!$B48, '&lt;&lt; Working &gt;&gt;'!$N:$N, 'Supplier Wise Yearly'!$B$2)</f>
        <v>0</v>
      </c>
      <c r="J48" s="39">
        <f>SUMIFS('&lt;&lt; Working &gt;&gt;'!$J:$J, '&lt;&lt; Working &gt;&gt;'!$D:$D, 'Supplier Wise Yearly'!$B$1, '&lt;&lt; Working &gt;&gt;'!$R:$R, 'Supplier Wise Yearly'!J$6, '&lt;&lt; Working &gt;&gt;'!$L:$L, 'Supplier Wise Yearly'!$B48, '&lt;&lt; Working &gt;&gt;'!$N:$N, 'Supplier Wise Yearly'!$B$2)</f>
        <v>0</v>
      </c>
      <c r="K48" s="39">
        <f>SUMIFS('&lt;&lt; Working &gt;&gt;'!$J:$J, '&lt;&lt; Working &gt;&gt;'!$D:$D, 'Supplier Wise Yearly'!$B$1, '&lt;&lt; Working &gt;&gt;'!$R:$R, 'Supplier Wise Yearly'!K$6, '&lt;&lt; Working &gt;&gt;'!$L:$L, 'Supplier Wise Yearly'!$B48, '&lt;&lt; Working &gt;&gt;'!$N:$N, 'Supplier Wise Yearly'!$B$2)</f>
        <v>0</v>
      </c>
      <c r="L48" s="39">
        <f>SUMIFS('&lt;&lt; Working &gt;&gt;'!$J:$J, '&lt;&lt; Working &gt;&gt;'!$D:$D, 'Supplier Wise Yearly'!$B$1, '&lt;&lt; Working &gt;&gt;'!$R:$R, 'Supplier Wise Yearly'!L$6, '&lt;&lt; Working &gt;&gt;'!$L:$L, 'Supplier Wise Yearly'!$B48, '&lt;&lt; Working &gt;&gt;'!$N:$N, 'Supplier Wise Yearly'!$B$2)</f>
        <v>0</v>
      </c>
      <c r="M48" s="39">
        <f>SUMIFS('&lt;&lt; Working &gt;&gt;'!$J:$J, '&lt;&lt; Working &gt;&gt;'!$D:$D, 'Supplier Wise Yearly'!$B$1, '&lt;&lt; Working &gt;&gt;'!$R:$R, 'Supplier Wise Yearly'!M$6, '&lt;&lt; Working &gt;&gt;'!$L:$L, 'Supplier Wise Yearly'!$B48, '&lt;&lt; Working &gt;&gt;'!$N:$N, 'Supplier Wise Yearly'!$B$2)</f>
        <v>0</v>
      </c>
      <c r="N48" s="39">
        <f>SUMIFS('&lt;&lt; Working &gt;&gt;'!$J:$J, '&lt;&lt; Working &gt;&gt;'!$D:$D, 'Supplier Wise Yearly'!$B$1, '&lt;&lt; Working &gt;&gt;'!$R:$R, 'Supplier Wise Yearly'!N$6, '&lt;&lt; Working &gt;&gt;'!$L:$L, 'Supplier Wise Yearly'!$B48, '&lt;&lt; Working &gt;&gt;'!$N:$N, 'Supplier Wise Yearly'!$B$2)</f>
        <v>0</v>
      </c>
      <c r="O48" s="39">
        <f t="shared" si="2"/>
        <v>0</v>
      </c>
      <c r="Q48" t="str">
        <f t="shared" si="3"/>
        <v>No</v>
      </c>
    </row>
    <row r="49" spans="1:17" hidden="1" x14ac:dyDescent="0.3">
      <c r="A49" s="21" t="str">
        <f>VLOOKUP(B49, 'Items Master'!E:F,2,0)</f>
        <v>Import</v>
      </c>
      <c r="B49" s="21" t="s">
        <v>1225</v>
      </c>
      <c r="C49" s="39">
        <f>SUMIFS('&lt;&lt; Working &gt;&gt;'!$J:$J, '&lt;&lt; Working &gt;&gt;'!$D:$D, 'Supplier Wise Yearly'!$B$1, '&lt;&lt; Working &gt;&gt;'!$R:$R, 'Supplier Wise Yearly'!C$6, '&lt;&lt; Working &gt;&gt;'!$L:$L, 'Supplier Wise Yearly'!$B49, '&lt;&lt; Working &gt;&gt;'!$N:$N, 'Supplier Wise Yearly'!$B$2)</f>
        <v>0</v>
      </c>
      <c r="D49" s="39">
        <f>SUMIFS('&lt;&lt; Working &gt;&gt;'!$J:$J, '&lt;&lt; Working &gt;&gt;'!$D:$D, 'Supplier Wise Yearly'!$B$1, '&lt;&lt; Working &gt;&gt;'!$R:$R, 'Supplier Wise Yearly'!D$6, '&lt;&lt; Working &gt;&gt;'!$L:$L, 'Supplier Wise Yearly'!$B49, '&lt;&lt; Working &gt;&gt;'!$N:$N, 'Supplier Wise Yearly'!$B$2)</f>
        <v>0</v>
      </c>
      <c r="E49" s="39">
        <f>SUMIFS('&lt;&lt; Working &gt;&gt;'!$J:$J, '&lt;&lt; Working &gt;&gt;'!$D:$D, 'Supplier Wise Yearly'!$B$1, '&lt;&lt; Working &gt;&gt;'!$R:$R, 'Supplier Wise Yearly'!E$6, '&lt;&lt; Working &gt;&gt;'!$L:$L, 'Supplier Wise Yearly'!$B49, '&lt;&lt; Working &gt;&gt;'!$N:$N, 'Supplier Wise Yearly'!$B$2)</f>
        <v>0</v>
      </c>
      <c r="F49" s="39">
        <f>SUMIFS('&lt;&lt; Working &gt;&gt;'!$J:$J, '&lt;&lt; Working &gt;&gt;'!$D:$D, 'Supplier Wise Yearly'!$B$1, '&lt;&lt; Working &gt;&gt;'!$R:$R, 'Supplier Wise Yearly'!F$6, '&lt;&lt; Working &gt;&gt;'!$L:$L, 'Supplier Wise Yearly'!$B49, '&lt;&lt; Working &gt;&gt;'!$N:$N, 'Supplier Wise Yearly'!$B$2)</f>
        <v>0</v>
      </c>
      <c r="G49" s="39">
        <f>SUMIFS('&lt;&lt; Working &gt;&gt;'!$J:$J, '&lt;&lt; Working &gt;&gt;'!$D:$D, 'Supplier Wise Yearly'!$B$1, '&lt;&lt; Working &gt;&gt;'!$R:$R, 'Supplier Wise Yearly'!G$6, '&lt;&lt; Working &gt;&gt;'!$L:$L, 'Supplier Wise Yearly'!$B49, '&lt;&lt; Working &gt;&gt;'!$N:$N, 'Supplier Wise Yearly'!$B$2)</f>
        <v>0</v>
      </c>
      <c r="H49" s="39">
        <f>SUMIFS('&lt;&lt; Working &gt;&gt;'!$J:$J, '&lt;&lt; Working &gt;&gt;'!$D:$D, 'Supplier Wise Yearly'!$B$1, '&lt;&lt; Working &gt;&gt;'!$R:$R, 'Supplier Wise Yearly'!H$6, '&lt;&lt; Working &gt;&gt;'!$L:$L, 'Supplier Wise Yearly'!$B49, '&lt;&lt; Working &gt;&gt;'!$N:$N, 'Supplier Wise Yearly'!$B$2)</f>
        <v>0</v>
      </c>
      <c r="I49" s="39">
        <f>SUMIFS('&lt;&lt; Working &gt;&gt;'!$J:$J, '&lt;&lt; Working &gt;&gt;'!$D:$D, 'Supplier Wise Yearly'!$B$1, '&lt;&lt; Working &gt;&gt;'!$R:$R, 'Supplier Wise Yearly'!I$6, '&lt;&lt; Working &gt;&gt;'!$L:$L, 'Supplier Wise Yearly'!$B49, '&lt;&lt; Working &gt;&gt;'!$N:$N, 'Supplier Wise Yearly'!$B$2)</f>
        <v>0</v>
      </c>
      <c r="J49" s="39">
        <f>SUMIFS('&lt;&lt; Working &gt;&gt;'!$J:$J, '&lt;&lt; Working &gt;&gt;'!$D:$D, 'Supplier Wise Yearly'!$B$1, '&lt;&lt; Working &gt;&gt;'!$R:$R, 'Supplier Wise Yearly'!J$6, '&lt;&lt; Working &gt;&gt;'!$L:$L, 'Supplier Wise Yearly'!$B49, '&lt;&lt; Working &gt;&gt;'!$N:$N, 'Supplier Wise Yearly'!$B$2)</f>
        <v>0</v>
      </c>
      <c r="K49" s="39">
        <f>SUMIFS('&lt;&lt; Working &gt;&gt;'!$J:$J, '&lt;&lt; Working &gt;&gt;'!$D:$D, 'Supplier Wise Yearly'!$B$1, '&lt;&lt; Working &gt;&gt;'!$R:$R, 'Supplier Wise Yearly'!K$6, '&lt;&lt; Working &gt;&gt;'!$L:$L, 'Supplier Wise Yearly'!$B49, '&lt;&lt; Working &gt;&gt;'!$N:$N, 'Supplier Wise Yearly'!$B$2)</f>
        <v>0</v>
      </c>
      <c r="L49" s="39">
        <f>SUMIFS('&lt;&lt; Working &gt;&gt;'!$J:$J, '&lt;&lt; Working &gt;&gt;'!$D:$D, 'Supplier Wise Yearly'!$B$1, '&lt;&lt; Working &gt;&gt;'!$R:$R, 'Supplier Wise Yearly'!L$6, '&lt;&lt; Working &gt;&gt;'!$L:$L, 'Supplier Wise Yearly'!$B49, '&lt;&lt; Working &gt;&gt;'!$N:$N, 'Supplier Wise Yearly'!$B$2)</f>
        <v>0</v>
      </c>
      <c r="M49" s="39">
        <f>SUMIFS('&lt;&lt; Working &gt;&gt;'!$J:$J, '&lt;&lt; Working &gt;&gt;'!$D:$D, 'Supplier Wise Yearly'!$B$1, '&lt;&lt; Working &gt;&gt;'!$R:$R, 'Supplier Wise Yearly'!M$6, '&lt;&lt; Working &gt;&gt;'!$L:$L, 'Supplier Wise Yearly'!$B49, '&lt;&lt; Working &gt;&gt;'!$N:$N, 'Supplier Wise Yearly'!$B$2)</f>
        <v>0</v>
      </c>
      <c r="N49" s="39">
        <f>SUMIFS('&lt;&lt; Working &gt;&gt;'!$J:$J, '&lt;&lt; Working &gt;&gt;'!$D:$D, 'Supplier Wise Yearly'!$B$1, '&lt;&lt; Working &gt;&gt;'!$R:$R, 'Supplier Wise Yearly'!N$6, '&lt;&lt; Working &gt;&gt;'!$L:$L, 'Supplier Wise Yearly'!$B49, '&lt;&lt; Working &gt;&gt;'!$N:$N, 'Supplier Wise Yearly'!$B$2)</f>
        <v>0</v>
      </c>
      <c r="O49" s="39">
        <f t="shared" si="2"/>
        <v>0</v>
      </c>
      <c r="Q49" t="str">
        <f t="shared" si="3"/>
        <v>No</v>
      </c>
    </row>
    <row r="50" spans="1:17" hidden="1" x14ac:dyDescent="0.3">
      <c r="A50" s="21" t="str">
        <f>VLOOKUP(B50, 'Items Master'!E:F,2,0)</f>
        <v>Import</v>
      </c>
      <c r="B50" s="21" t="s">
        <v>1231</v>
      </c>
      <c r="C50" s="39">
        <f>SUMIFS('&lt;&lt; Working &gt;&gt;'!$J:$J, '&lt;&lt; Working &gt;&gt;'!$D:$D, 'Supplier Wise Yearly'!$B$1, '&lt;&lt; Working &gt;&gt;'!$R:$R, 'Supplier Wise Yearly'!C$6, '&lt;&lt; Working &gt;&gt;'!$L:$L, 'Supplier Wise Yearly'!$B50, '&lt;&lt; Working &gt;&gt;'!$N:$N, 'Supplier Wise Yearly'!$B$2)</f>
        <v>0</v>
      </c>
      <c r="D50" s="39">
        <f>SUMIFS('&lt;&lt; Working &gt;&gt;'!$J:$J, '&lt;&lt; Working &gt;&gt;'!$D:$D, 'Supplier Wise Yearly'!$B$1, '&lt;&lt; Working &gt;&gt;'!$R:$R, 'Supplier Wise Yearly'!D$6, '&lt;&lt; Working &gt;&gt;'!$L:$L, 'Supplier Wise Yearly'!$B50, '&lt;&lt; Working &gt;&gt;'!$N:$N, 'Supplier Wise Yearly'!$B$2)</f>
        <v>0</v>
      </c>
      <c r="E50" s="39">
        <f>SUMIFS('&lt;&lt; Working &gt;&gt;'!$J:$J, '&lt;&lt; Working &gt;&gt;'!$D:$D, 'Supplier Wise Yearly'!$B$1, '&lt;&lt; Working &gt;&gt;'!$R:$R, 'Supplier Wise Yearly'!E$6, '&lt;&lt; Working &gt;&gt;'!$L:$L, 'Supplier Wise Yearly'!$B50, '&lt;&lt; Working &gt;&gt;'!$N:$N, 'Supplier Wise Yearly'!$B$2)</f>
        <v>0</v>
      </c>
      <c r="F50" s="39">
        <f>SUMIFS('&lt;&lt; Working &gt;&gt;'!$J:$J, '&lt;&lt; Working &gt;&gt;'!$D:$D, 'Supplier Wise Yearly'!$B$1, '&lt;&lt; Working &gt;&gt;'!$R:$R, 'Supplier Wise Yearly'!F$6, '&lt;&lt; Working &gt;&gt;'!$L:$L, 'Supplier Wise Yearly'!$B50, '&lt;&lt; Working &gt;&gt;'!$N:$N, 'Supplier Wise Yearly'!$B$2)</f>
        <v>0</v>
      </c>
      <c r="G50" s="39">
        <f>SUMIFS('&lt;&lt; Working &gt;&gt;'!$J:$J, '&lt;&lt; Working &gt;&gt;'!$D:$D, 'Supplier Wise Yearly'!$B$1, '&lt;&lt; Working &gt;&gt;'!$R:$R, 'Supplier Wise Yearly'!G$6, '&lt;&lt; Working &gt;&gt;'!$L:$L, 'Supplier Wise Yearly'!$B50, '&lt;&lt; Working &gt;&gt;'!$N:$N, 'Supplier Wise Yearly'!$B$2)</f>
        <v>0</v>
      </c>
      <c r="H50" s="39">
        <f>SUMIFS('&lt;&lt; Working &gt;&gt;'!$J:$J, '&lt;&lt; Working &gt;&gt;'!$D:$D, 'Supplier Wise Yearly'!$B$1, '&lt;&lt; Working &gt;&gt;'!$R:$R, 'Supplier Wise Yearly'!H$6, '&lt;&lt; Working &gt;&gt;'!$L:$L, 'Supplier Wise Yearly'!$B50, '&lt;&lt; Working &gt;&gt;'!$N:$N, 'Supplier Wise Yearly'!$B$2)</f>
        <v>0</v>
      </c>
      <c r="I50" s="39">
        <f>SUMIFS('&lt;&lt; Working &gt;&gt;'!$J:$J, '&lt;&lt; Working &gt;&gt;'!$D:$D, 'Supplier Wise Yearly'!$B$1, '&lt;&lt; Working &gt;&gt;'!$R:$R, 'Supplier Wise Yearly'!I$6, '&lt;&lt; Working &gt;&gt;'!$L:$L, 'Supplier Wise Yearly'!$B50, '&lt;&lt; Working &gt;&gt;'!$N:$N, 'Supplier Wise Yearly'!$B$2)</f>
        <v>0</v>
      </c>
      <c r="J50" s="39">
        <f>SUMIFS('&lt;&lt; Working &gt;&gt;'!$J:$J, '&lt;&lt; Working &gt;&gt;'!$D:$D, 'Supplier Wise Yearly'!$B$1, '&lt;&lt; Working &gt;&gt;'!$R:$R, 'Supplier Wise Yearly'!J$6, '&lt;&lt; Working &gt;&gt;'!$L:$L, 'Supplier Wise Yearly'!$B50, '&lt;&lt; Working &gt;&gt;'!$N:$N, 'Supplier Wise Yearly'!$B$2)</f>
        <v>0</v>
      </c>
      <c r="K50" s="39">
        <f>SUMIFS('&lt;&lt; Working &gt;&gt;'!$J:$J, '&lt;&lt; Working &gt;&gt;'!$D:$D, 'Supplier Wise Yearly'!$B$1, '&lt;&lt; Working &gt;&gt;'!$R:$R, 'Supplier Wise Yearly'!K$6, '&lt;&lt; Working &gt;&gt;'!$L:$L, 'Supplier Wise Yearly'!$B50, '&lt;&lt; Working &gt;&gt;'!$N:$N, 'Supplier Wise Yearly'!$B$2)</f>
        <v>0</v>
      </c>
      <c r="L50" s="39">
        <f>SUMIFS('&lt;&lt; Working &gt;&gt;'!$J:$J, '&lt;&lt; Working &gt;&gt;'!$D:$D, 'Supplier Wise Yearly'!$B$1, '&lt;&lt; Working &gt;&gt;'!$R:$R, 'Supplier Wise Yearly'!L$6, '&lt;&lt; Working &gt;&gt;'!$L:$L, 'Supplier Wise Yearly'!$B50, '&lt;&lt; Working &gt;&gt;'!$N:$N, 'Supplier Wise Yearly'!$B$2)</f>
        <v>0</v>
      </c>
      <c r="M50" s="39">
        <f>SUMIFS('&lt;&lt; Working &gt;&gt;'!$J:$J, '&lt;&lt; Working &gt;&gt;'!$D:$D, 'Supplier Wise Yearly'!$B$1, '&lt;&lt; Working &gt;&gt;'!$R:$R, 'Supplier Wise Yearly'!M$6, '&lt;&lt; Working &gt;&gt;'!$L:$L, 'Supplier Wise Yearly'!$B50, '&lt;&lt; Working &gt;&gt;'!$N:$N, 'Supplier Wise Yearly'!$B$2)</f>
        <v>0</v>
      </c>
      <c r="N50" s="39">
        <f>SUMIFS('&lt;&lt; Working &gt;&gt;'!$J:$J, '&lt;&lt; Working &gt;&gt;'!$D:$D, 'Supplier Wise Yearly'!$B$1, '&lt;&lt; Working &gt;&gt;'!$R:$R, 'Supplier Wise Yearly'!N$6, '&lt;&lt; Working &gt;&gt;'!$L:$L, 'Supplier Wise Yearly'!$B50, '&lt;&lt; Working &gt;&gt;'!$N:$N, 'Supplier Wise Yearly'!$B$2)</f>
        <v>0</v>
      </c>
      <c r="O50" s="39">
        <f t="shared" si="2"/>
        <v>0</v>
      </c>
      <c r="Q50" t="str">
        <f t="shared" si="3"/>
        <v>No</v>
      </c>
    </row>
    <row r="51" spans="1:17" hidden="1" x14ac:dyDescent="0.3">
      <c r="A51" s="21" t="str">
        <f>VLOOKUP(B51, 'Items Master'!E:F,2,0)</f>
        <v>Domestic</v>
      </c>
      <c r="B51" s="21" t="s">
        <v>1235</v>
      </c>
      <c r="C51" s="39">
        <f>SUMIFS('&lt;&lt; Working &gt;&gt;'!$J:$J, '&lt;&lt; Working &gt;&gt;'!$D:$D, 'Supplier Wise Yearly'!$B$1, '&lt;&lt; Working &gt;&gt;'!$R:$R, 'Supplier Wise Yearly'!C$6, '&lt;&lt; Working &gt;&gt;'!$L:$L, 'Supplier Wise Yearly'!$B51, '&lt;&lt; Working &gt;&gt;'!$N:$N, 'Supplier Wise Yearly'!$B$2)</f>
        <v>0</v>
      </c>
      <c r="D51" s="39">
        <f>SUMIFS('&lt;&lt; Working &gt;&gt;'!$J:$J, '&lt;&lt; Working &gt;&gt;'!$D:$D, 'Supplier Wise Yearly'!$B$1, '&lt;&lt; Working &gt;&gt;'!$R:$R, 'Supplier Wise Yearly'!D$6, '&lt;&lt; Working &gt;&gt;'!$L:$L, 'Supplier Wise Yearly'!$B51, '&lt;&lt; Working &gt;&gt;'!$N:$N, 'Supplier Wise Yearly'!$B$2)</f>
        <v>0</v>
      </c>
      <c r="E51" s="39">
        <f>SUMIFS('&lt;&lt; Working &gt;&gt;'!$J:$J, '&lt;&lt; Working &gt;&gt;'!$D:$D, 'Supplier Wise Yearly'!$B$1, '&lt;&lt; Working &gt;&gt;'!$R:$R, 'Supplier Wise Yearly'!E$6, '&lt;&lt; Working &gt;&gt;'!$L:$L, 'Supplier Wise Yearly'!$B51, '&lt;&lt; Working &gt;&gt;'!$N:$N, 'Supplier Wise Yearly'!$B$2)</f>
        <v>0</v>
      </c>
      <c r="F51" s="39">
        <f>SUMIFS('&lt;&lt; Working &gt;&gt;'!$J:$J, '&lt;&lt; Working &gt;&gt;'!$D:$D, 'Supplier Wise Yearly'!$B$1, '&lt;&lt; Working &gt;&gt;'!$R:$R, 'Supplier Wise Yearly'!F$6, '&lt;&lt; Working &gt;&gt;'!$L:$L, 'Supplier Wise Yearly'!$B51, '&lt;&lt; Working &gt;&gt;'!$N:$N, 'Supplier Wise Yearly'!$B$2)</f>
        <v>0</v>
      </c>
      <c r="G51" s="39">
        <f>SUMIFS('&lt;&lt; Working &gt;&gt;'!$J:$J, '&lt;&lt; Working &gt;&gt;'!$D:$D, 'Supplier Wise Yearly'!$B$1, '&lt;&lt; Working &gt;&gt;'!$R:$R, 'Supplier Wise Yearly'!G$6, '&lt;&lt; Working &gt;&gt;'!$L:$L, 'Supplier Wise Yearly'!$B51, '&lt;&lt; Working &gt;&gt;'!$N:$N, 'Supplier Wise Yearly'!$B$2)</f>
        <v>0</v>
      </c>
      <c r="H51" s="39">
        <f>SUMIFS('&lt;&lt; Working &gt;&gt;'!$J:$J, '&lt;&lt; Working &gt;&gt;'!$D:$D, 'Supplier Wise Yearly'!$B$1, '&lt;&lt; Working &gt;&gt;'!$R:$R, 'Supplier Wise Yearly'!H$6, '&lt;&lt; Working &gt;&gt;'!$L:$L, 'Supplier Wise Yearly'!$B51, '&lt;&lt; Working &gt;&gt;'!$N:$N, 'Supplier Wise Yearly'!$B$2)</f>
        <v>0</v>
      </c>
      <c r="I51" s="39">
        <f>SUMIFS('&lt;&lt; Working &gt;&gt;'!$J:$J, '&lt;&lt; Working &gt;&gt;'!$D:$D, 'Supplier Wise Yearly'!$B$1, '&lt;&lt; Working &gt;&gt;'!$R:$R, 'Supplier Wise Yearly'!I$6, '&lt;&lt; Working &gt;&gt;'!$L:$L, 'Supplier Wise Yearly'!$B51, '&lt;&lt; Working &gt;&gt;'!$N:$N, 'Supplier Wise Yearly'!$B$2)</f>
        <v>0</v>
      </c>
      <c r="J51" s="39">
        <f>SUMIFS('&lt;&lt; Working &gt;&gt;'!$J:$J, '&lt;&lt; Working &gt;&gt;'!$D:$D, 'Supplier Wise Yearly'!$B$1, '&lt;&lt; Working &gt;&gt;'!$R:$R, 'Supplier Wise Yearly'!J$6, '&lt;&lt; Working &gt;&gt;'!$L:$L, 'Supplier Wise Yearly'!$B51, '&lt;&lt; Working &gt;&gt;'!$N:$N, 'Supplier Wise Yearly'!$B$2)</f>
        <v>0</v>
      </c>
      <c r="K51" s="39">
        <f>SUMIFS('&lt;&lt; Working &gt;&gt;'!$J:$J, '&lt;&lt; Working &gt;&gt;'!$D:$D, 'Supplier Wise Yearly'!$B$1, '&lt;&lt; Working &gt;&gt;'!$R:$R, 'Supplier Wise Yearly'!K$6, '&lt;&lt; Working &gt;&gt;'!$L:$L, 'Supplier Wise Yearly'!$B51, '&lt;&lt; Working &gt;&gt;'!$N:$N, 'Supplier Wise Yearly'!$B$2)</f>
        <v>0</v>
      </c>
      <c r="L51" s="39">
        <f>SUMIFS('&lt;&lt; Working &gt;&gt;'!$J:$J, '&lt;&lt; Working &gt;&gt;'!$D:$D, 'Supplier Wise Yearly'!$B$1, '&lt;&lt; Working &gt;&gt;'!$R:$R, 'Supplier Wise Yearly'!L$6, '&lt;&lt; Working &gt;&gt;'!$L:$L, 'Supplier Wise Yearly'!$B51, '&lt;&lt; Working &gt;&gt;'!$N:$N, 'Supplier Wise Yearly'!$B$2)</f>
        <v>0</v>
      </c>
      <c r="M51" s="39">
        <f>SUMIFS('&lt;&lt; Working &gt;&gt;'!$J:$J, '&lt;&lt; Working &gt;&gt;'!$D:$D, 'Supplier Wise Yearly'!$B$1, '&lt;&lt; Working &gt;&gt;'!$R:$R, 'Supplier Wise Yearly'!M$6, '&lt;&lt; Working &gt;&gt;'!$L:$L, 'Supplier Wise Yearly'!$B51, '&lt;&lt; Working &gt;&gt;'!$N:$N, 'Supplier Wise Yearly'!$B$2)</f>
        <v>0</v>
      </c>
      <c r="N51" s="39">
        <f>SUMIFS('&lt;&lt; Working &gt;&gt;'!$J:$J, '&lt;&lt; Working &gt;&gt;'!$D:$D, 'Supplier Wise Yearly'!$B$1, '&lt;&lt; Working &gt;&gt;'!$R:$R, 'Supplier Wise Yearly'!N$6, '&lt;&lt; Working &gt;&gt;'!$L:$L, 'Supplier Wise Yearly'!$B51, '&lt;&lt; Working &gt;&gt;'!$N:$N, 'Supplier Wise Yearly'!$B$2)</f>
        <v>0</v>
      </c>
      <c r="O51" s="39">
        <f t="shared" si="2"/>
        <v>0</v>
      </c>
      <c r="Q51" t="str">
        <f t="shared" si="3"/>
        <v>No</v>
      </c>
    </row>
    <row r="52" spans="1:17" hidden="1" x14ac:dyDescent="0.3">
      <c r="A52" s="21" t="str">
        <f>VLOOKUP(B52, 'Items Master'!E:F,2,0)</f>
        <v>Import</v>
      </c>
      <c r="B52" s="21" t="s">
        <v>1260</v>
      </c>
      <c r="C52" s="39">
        <f>SUMIFS('&lt;&lt; Working &gt;&gt;'!$J:$J, '&lt;&lt; Working &gt;&gt;'!$D:$D, 'Supplier Wise Yearly'!$B$1, '&lt;&lt; Working &gt;&gt;'!$R:$R, 'Supplier Wise Yearly'!C$6, '&lt;&lt; Working &gt;&gt;'!$L:$L, 'Supplier Wise Yearly'!$B52, '&lt;&lt; Working &gt;&gt;'!$N:$N, 'Supplier Wise Yearly'!$B$2)</f>
        <v>0</v>
      </c>
      <c r="D52" s="39">
        <f>SUMIFS('&lt;&lt; Working &gt;&gt;'!$J:$J, '&lt;&lt; Working &gt;&gt;'!$D:$D, 'Supplier Wise Yearly'!$B$1, '&lt;&lt; Working &gt;&gt;'!$R:$R, 'Supplier Wise Yearly'!D$6, '&lt;&lt; Working &gt;&gt;'!$L:$L, 'Supplier Wise Yearly'!$B52, '&lt;&lt; Working &gt;&gt;'!$N:$N, 'Supplier Wise Yearly'!$B$2)</f>
        <v>0</v>
      </c>
      <c r="E52" s="39">
        <f>SUMIFS('&lt;&lt; Working &gt;&gt;'!$J:$J, '&lt;&lt; Working &gt;&gt;'!$D:$D, 'Supplier Wise Yearly'!$B$1, '&lt;&lt; Working &gt;&gt;'!$R:$R, 'Supplier Wise Yearly'!E$6, '&lt;&lt; Working &gt;&gt;'!$L:$L, 'Supplier Wise Yearly'!$B52, '&lt;&lt; Working &gt;&gt;'!$N:$N, 'Supplier Wise Yearly'!$B$2)</f>
        <v>0</v>
      </c>
      <c r="F52" s="39">
        <f>SUMIFS('&lt;&lt; Working &gt;&gt;'!$J:$J, '&lt;&lt; Working &gt;&gt;'!$D:$D, 'Supplier Wise Yearly'!$B$1, '&lt;&lt; Working &gt;&gt;'!$R:$R, 'Supplier Wise Yearly'!F$6, '&lt;&lt; Working &gt;&gt;'!$L:$L, 'Supplier Wise Yearly'!$B52, '&lt;&lt; Working &gt;&gt;'!$N:$N, 'Supplier Wise Yearly'!$B$2)</f>
        <v>0</v>
      </c>
      <c r="G52" s="39">
        <f>SUMIFS('&lt;&lt; Working &gt;&gt;'!$J:$J, '&lt;&lt; Working &gt;&gt;'!$D:$D, 'Supplier Wise Yearly'!$B$1, '&lt;&lt; Working &gt;&gt;'!$R:$R, 'Supplier Wise Yearly'!G$6, '&lt;&lt; Working &gt;&gt;'!$L:$L, 'Supplier Wise Yearly'!$B52, '&lt;&lt; Working &gt;&gt;'!$N:$N, 'Supplier Wise Yearly'!$B$2)</f>
        <v>0</v>
      </c>
      <c r="H52" s="39">
        <f>SUMIFS('&lt;&lt; Working &gt;&gt;'!$J:$J, '&lt;&lt; Working &gt;&gt;'!$D:$D, 'Supplier Wise Yearly'!$B$1, '&lt;&lt; Working &gt;&gt;'!$R:$R, 'Supplier Wise Yearly'!H$6, '&lt;&lt; Working &gt;&gt;'!$L:$L, 'Supplier Wise Yearly'!$B52, '&lt;&lt; Working &gt;&gt;'!$N:$N, 'Supplier Wise Yearly'!$B$2)</f>
        <v>0</v>
      </c>
      <c r="I52" s="39">
        <f>SUMIFS('&lt;&lt; Working &gt;&gt;'!$J:$J, '&lt;&lt; Working &gt;&gt;'!$D:$D, 'Supplier Wise Yearly'!$B$1, '&lt;&lt; Working &gt;&gt;'!$R:$R, 'Supplier Wise Yearly'!I$6, '&lt;&lt; Working &gt;&gt;'!$L:$L, 'Supplier Wise Yearly'!$B52, '&lt;&lt; Working &gt;&gt;'!$N:$N, 'Supplier Wise Yearly'!$B$2)</f>
        <v>0</v>
      </c>
      <c r="J52" s="39">
        <f>SUMIFS('&lt;&lt; Working &gt;&gt;'!$J:$J, '&lt;&lt; Working &gt;&gt;'!$D:$D, 'Supplier Wise Yearly'!$B$1, '&lt;&lt; Working &gt;&gt;'!$R:$R, 'Supplier Wise Yearly'!J$6, '&lt;&lt; Working &gt;&gt;'!$L:$L, 'Supplier Wise Yearly'!$B52, '&lt;&lt; Working &gt;&gt;'!$N:$N, 'Supplier Wise Yearly'!$B$2)</f>
        <v>0</v>
      </c>
      <c r="K52" s="39">
        <f>SUMIFS('&lt;&lt; Working &gt;&gt;'!$J:$J, '&lt;&lt; Working &gt;&gt;'!$D:$D, 'Supplier Wise Yearly'!$B$1, '&lt;&lt; Working &gt;&gt;'!$R:$R, 'Supplier Wise Yearly'!K$6, '&lt;&lt; Working &gt;&gt;'!$L:$L, 'Supplier Wise Yearly'!$B52, '&lt;&lt; Working &gt;&gt;'!$N:$N, 'Supplier Wise Yearly'!$B$2)</f>
        <v>0</v>
      </c>
      <c r="L52" s="39">
        <f>SUMIFS('&lt;&lt; Working &gt;&gt;'!$J:$J, '&lt;&lt; Working &gt;&gt;'!$D:$D, 'Supplier Wise Yearly'!$B$1, '&lt;&lt; Working &gt;&gt;'!$R:$R, 'Supplier Wise Yearly'!L$6, '&lt;&lt; Working &gt;&gt;'!$L:$L, 'Supplier Wise Yearly'!$B52, '&lt;&lt; Working &gt;&gt;'!$N:$N, 'Supplier Wise Yearly'!$B$2)</f>
        <v>0</v>
      </c>
      <c r="M52" s="39">
        <f>SUMIFS('&lt;&lt; Working &gt;&gt;'!$J:$J, '&lt;&lt; Working &gt;&gt;'!$D:$D, 'Supplier Wise Yearly'!$B$1, '&lt;&lt; Working &gt;&gt;'!$R:$R, 'Supplier Wise Yearly'!M$6, '&lt;&lt; Working &gt;&gt;'!$L:$L, 'Supplier Wise Yearly'!$B52, '&lt;&lt; Working &gt;&gt;'!$N:$N, 'Supplier Wise Yearly'!$B$2)</f>
        <v>0</v>
      </c>
      <c r="N52" s="39">
        <f>SUMIFS('&lt;&lt; Working &gt;&gt;'!$J:$J, '&lt;&lt; Working &gt;&gt;'!$D:$D, 'Supplier Wise Yearly'!$B$1, '&lt;&lt; Working &gt;&gt;'!$R:$R, 'Supplier Wise Yearly'!N$6, '&lt;&lt; Working &gt;&gt;'!$L:$L, 'Supplier Wise Yearly'!$B52, '&lt;&lt; Working &gt;&gt;'!$N:$N, 'Supplier Wise Yearly'!$B$2)</f>
        <v>0</v>
      </c>
      <c r="O52" s="39">
        <f t="shared" si="2"/>
        <v>0</v>
      </c>
      <c r="Q52" t="str">
        <f t="shared" si="3"/>
        <v>No</v>
      </c>
    </row>
    <row r="53" spans="1:17" hidden="1" x14ac:dyDescent="0.3">
      <c r="A53" s="21" t="str">
        <f>VLOOKUP(B53, 'Items Master'!E:F,2,0)</f>
        <v>Import</v>
      </c>
      <c r="B53" s="21" t="s">
        <v>1262</v>
      </c>
      <c r="C53" s="39">
        <f>SUMIFS('&lt;&lt; Working &gt;&gt;'!$J:$J, '&lt;&lt; Working &gt;&gt;'!$D:$D, 'Supplier Wise Yearly'!$B$1, '&lt;&lt; Working &gt;&gt;'!$R:$R, 'Supplier Wise Yearly'!C$6, '&lt;&lt; Working &gt;&gt;'!$L:$L, 'Supplier Wise Yearly'!$B53, '&lt;&lt; Working &gt;&gt;'!$N:$N, 'Supplier Wise Yearly'!$B$2)</f>
        <v>0</v>
      </c>
      <c r="D53" s="39">
        <f>SUMIFS('&lt;&lt; Working &gt;&gt;'!$J:$J, '&lt;&lt; Working &gt;&gt;'!$D:$D, 'Supplier Wise Yearly'!$B$1, '&lt;&lt; Working &gt;&gt;'!$R:$R, 'Supplier Wise Yearly'!D$6, '&lt;&lt; Working &gt;&gt;'!$L:$L, 'Supplier Wise Yearly'!$B53, '&lt;&lt; Working &gt;&gt;'!$N:$N, 'Supplier Wise Yearly'!$B$2)</f>
        <v>0</v>
      </c>
      <c r="E53" s="39">
        <f>SUMIFS('&lt;&lt; Working &gt;&gt;'!$J:$J, '&lt;&lt; Working &gt;&gt;'!$D:$D, 'Supplier Wise Yearly'!$B$1, '&lt;&lt; Working &gt;&gt;'!$R:$R, 'Supplier Wise Yearly'!E$6, '&lt;&lt; Working &gt;&gt;'!$L:$L, 'Supplier Wise Yearly'!$B53, '&lt;&lt; Working &gt;&gt;'!$N:$N, 'Supplier Wise Yearly'!$B$2)</f>
        <v>0</v>
      </c>
      <c r="F53" s="39">
        <f>SUMIFS('&lt;&lt; Working &gt;&gt;'!$J:$J, '&lt;&lt; Working &gt;&gt;'!$D:$D, 'Supplier Wise Yearly'!$B$1, '&lt;&lt; Working &gt;&gt;'!$R:$R, 'Supplier Wise Yearly'!F$6, '&lt;&lt; Working &gt;&gt;'!$L:$L, 'Supplier Wise Yearly'!$B53, '&lt;&lt; Working &gt;&gt;'!$N:$N, 'Supplier Wise Yearly'!$B$2)</f>
        <v>0</v>
      </c>
      <c r="G53" s="39">
        <f>SUMIFS('&lt;&lt; Working &gt;&gt;'!$J:$J, '&lt;&lt; Working &gt;&gt;'!$D:$D, 'Supplier Wise Yearly'!$B$1, '&lt;&lt; Working &gt;&gt;'!$R:$R, 'Supplier Wise Yearly'!G$6, '&lt;&lt; Working &gt;&gt;'!$L:$L, 'Supplier Wise Yearly'!$B53, '&lt;&lt; Working &gt;&gt;'!$N:$N, 'Supplier Wise Yearly'!$B$2)</f>
        <v>0</v>
      </c>
      <c r="H53" s="39">
        <f>SUMIFS('&lt;&lt; Working &gt;&gt;'!$J:$J, '&lt;&lt; Working &gt;&gt;'!$D:$D, 'Supplier Wise Yearly'!$B$1, '&lt;&lt; Working &gt;&gt;'!$R:$R, 'Supplier Wise Yearly'!H$6, '&lt;&lt; Working &gt;&gt;'!$L:$L, 'Supplier Wise Yearly'!$B53, '&lt;&lt; Working &gt;&gt;'!$N:$N, 'Supplier Wise Yearly'!$B$2)</f>
        <v>0</v>
      </c>
      <c r="I53" s="39">
        <f>SUMIFS('&lt;&lt; Working &gt;&gt;'!$J:$J, '&lt;&lt; Working &gt;&gt;'!$D:$D, 'Supplier Wise Yearly'!$B$1, '&lt;&lt; Working &gt;&gt;'!$R:$R, 'Supplier Wise Yearly'!I$6, '&lt;&lt; Working &gt;&gt;'!$L:$L, 'Supplier Wise Yearly'!$B53, '&lt;&lt; Working &gt;&gt;'!$N:$N, 'Supplier Wise Yearly'!$B$2)</f>
        <v>0</v>
      </c>
      <c r="J53" s="39">
        <f>SUMIFS('&lt;&lt; Working &gt;&gt;'!$J:$J, '&lt;&lt; Working &gt;&gt;'!$D:$D, 'Supplier Wise Yearly'!$B$1, '&lt;&lt; Working &gt;&gt;'!$R:$R, 'Supplier Wise Yearly'!J$6, '&lt;&lt; Working &gt;&gt;'!$L:$L, 'Supplier Wise Yearly'!$B53, '&lt;&lt; Working &gt;&gt;'!$N:$N, 'Supplier Wise Yearly'!$B$2)</f>
        <v>0</v>
      </c>
      <c r="K53" s="39">
        <f>SUMIFS('&lt;&lt; Working &gt;&gt;'!$J:$J, '&lt;&lt; Working &gt;&gt;'!$D:$D, 'Supplier Wise Yearly'!$B$1, '&lt;&lt; Working &gt;&gt;'!$R:$R, 'Supplier Wise Yearly'!K$6, '&lt;&lt; Working &gt;&gt;'!$L:$L, 'Supplier Wise Yearly'!$B53, '&lt;&lt; Working &gt;&gt;'!$N:$N, 'Supplier Wise Yearly'!$B$2)</f>
        <v>0</v>
      </c>
      <c r="L53" s="39">
        <f>SUMIFS('&lt;&lt; Working &gt;&gt;'!$J:$J, '&lt;&lt; Working &gt;&gt;'!$D:$D, 'Supplier Wise Yearly'!$B$1, '&lt;&lt; Working &gt;&gt;'!$R:$R, 'Supplier Wise Yearly'!L$6, '&lt;&lt; Working &gt;&gt;'!$L:$L, 'Supplier Wise Yearly'!$B53, '&lt;&lt; Working &gt;&gt;'!$N:$N, 'Supplier Wise Yearly'!$B$2)</f>
        <v>0</v>
      </c>
      <c r="M53" s="39">
        <f>SUMIFS('&lt;&lt; Working &gt;&gt;'!$J:$J, '&lt;&lt; Working &gt;&gt;'!$D:$D, 'Supplier Wise Yearly'!$B$1, '&lt;&lt; Working &gt;&gt;'!$R:$R, 'Supplier Wise Yearly'!M$6, '&lt;&lt; Working &gt;&gt;'!$L:$L, 'Supplier Wise Yearly'!$B53, '&lt;&lt; Working &gt;&gt;'!$N:$N, 'Supplier Wise Yearly'!$B$2)</f>
        <v>0</v>
      </c>
      <c r="N53" s="39">
        <f>SUMIFS('&lt;&lt; Working &gt;&gt;'!$J:$J, '&lt;&lt; Working &gt;&gt;'!$D:$D, 'Supplier Wise Yearly'!$B$1, '&lt;&lt; Working &gt;&gt;'!$R:$R, 'Supplier Wise Yearly'!N$6, '&lt;&lt; Working &gt;&gt;'!$L:$L, 'Supplier Wise Yearly'!$B53, '&lt;&lt; Working &gt;&gt;'!$N:$N, 'Supplier Wise Yearly'!$B$2)</f>
        <v>0</v>
      </c>
      <c r="O53" s="39">
        <f t="shared" si="2"/>
        <v>0</v>
      </c>
      <c r="Q53" t="str">
        <f t="shared" si="3"/>
        <v>No</v>
      </c>
    </row>
    <row r="54" spans="1:17" hidden="1" x14ac:dyDescent="0.3">
      <c r="A54" s="21" t="str">
        <f>VLOOKUP(B54, 'Items Master'!E:F,2,0)</f>
        <v>Import</v>
      </c>
      <c r="B54" s="21" t="s">
        <v>1267</v>
      </c>
      <c r="C54" s="39">
        <f>SUMIFS('&lt;&lt; Working &gt;&gt;'!$J:$J, '&lt;&lt; Working &gt;&gt;'!$D:$D, 'Supplier Wise Yearly'!$B$1, '&lt;&lt; Working &gt;&gt;'!$R:$R, 'Supplier Wise Yearly'!C$6, '&lt;&lt; Working &gt;&gt;'!$L:$L, 'Supplier Wise Yearly'!$B54, '&lt;&lt; Working &gt;&gt;'!$N:$N, 'Supplier Wise Yearly'!$B$2)</f>
        <v>0</v>
      </c>
      <c r="D54" s="39">
        <f>SUMIFS('&lt;&lt; Working &gt;&gt;'!$J:$J, '&lt;&lt; Working &gt;&gt;'!$D:$D, 'Supplier Wise Yearly'!$B$1, '&lt;&lt; Working &gt;&gt;'!$R:$R, 'Supplier Wise Yearly'!D$6, '&lt;&lt; Working &gt;&gt;'!$L:$L, 'Supplier Wise Yearly'!$B54, '&lt;&lt; Working &gt;&gt;'!$N:$N, 'Supplier Wise Yearly'!$B$2)</f>
        <v>0</v>
      </c>
      <c r="E54" s="39">
        <f>SUMIFS('&lt;&lt; Working &gt;&gt;'!$J:$J, '&lt;&lt; Working &gt;&gt;'!$D:$D, 'Supplier Wise Yearly'!$B$1, '&lt;&lt; Working &gt;&gt;'!$R:$R, 'Supplier Wise Yearly'!E$6, '&lt;&lt; Working &gt;&gt;'!$L:$L, 'Supplier Wise Yearly'!$B54, '&lt;&lt; Working &gt;&gt;'!$N:$N, 'Supplier Wise Yearly'!$B$2)</f>
        <v>0</v>
      </c>
      <c r="F54" s="39">
        <f>SUMIFS('&lt;&lt; Working &gt;&gt;'!$J:$J, '&lt;&lt; Working &gt;&gt;'!$D:$D, 'Supplier Wise Yearly'!$B$1, '&lt;&lt; Working &gt;&gt;'!$R:$R, 'Supplier Wise Yearly'!F$6, '&lt;&lt; Working &gt;&gt;'!$L:$L, 'Supplier Wise Yearly'!$B54, '&lt;&lt; Working &gt;&gt;'!$N:$N, 'Supplier Wise Yearly'!$B$2)</f>
        <v>0</v>
      </c>
      <c r="G54" s="39">
        <f>SUMIFS('&lt;&lt; Working &gt;&gt;'!$J:$J, '&lt;&lt; Working &gt;&gt;'!$D:$D, 'Supplier Wise Yearly'!$B$1, '&lt;&lt; Working &gt;&gt;'!$R:$R, 'Supplier Wise Yearly'!G$6, '&lt;&lt; Working &gt;&gt;'!$L:$L, 'Supplier Wise Yearly'!$B54, '&lt;&lt; Working &gt;&gt;'!$N:$N, 'Supplier Wise Yearly'!$B$2)</f>
        <v>0</v>
      </c>
      <c r="H54" s="39">
        <f>SUMIFS('&lt;&lt; Working &gt;&gt;'!$J:$J, '&lt;&lt; Working &gt;&gt;'!$D:$D, 'Supplier Wise Yearly'!$B$1, '&lt;&lt; Working &gt;&gt;'!$R:$R, 'Supplier Wise Yearly'!H$6, '&lt;&lt; Working &gt;&gt;'!$L:$L, 'Supplier Wise Yearly'!$B54, '&lt;&lt; Working &gt;&gt;'!$N:$N, 'Supplier Wise Yearly'!$B$2)</f>
        <v>0</v>
      </c>
      <c r="I54" s="39">
        <f>SUMIFS('&lt;&lt; Working &gt;&gt;'!$J:$J, '&lt;&lt; Working &gt;&gt;'!$D:$D, 'Supplier Wise Yearly'!$B$1, '&lt;&lt; Working &gt;&gt;'!$R:$R, 'Supplier Wise Yearly'!I$6, '&lt;&lt; Working &gt;&gt;'!$L:$L, 'Supplier Wise Yearly'!$B54, '&lt;&lt; Working &gt;&gt;'!$N:$N, 'Supplier Wise Yearly'!$B$2)</f>
        <v>0</v>
      </c>
      <c r="J54" s="39">
        <f>SUMIFS('&lt;&lt; Working &gt;&gt;'!$J:$J, '&lt;&lt; Working &gt;&gt;'!$D:$D, 'Supplier Wise Yearly'!$B$1, '&lt;&lt; Working &gt;&gt;'!$R:$R, 'Supplier Wise Yearly'!J$6, '&lt;&lt; Working &gt;&gt;'!$L:$L, 'Supplier Wise Yearly'!$B54, '&lt;&lt; Working &gt;&gt;'!$N:$N, 'Supplier Wise Yearly'!$B$2)</f>
        <v>0</v>
      </c>
      <c r="K54" s="39">
        <f>SUMIFS('&lt;&lt; Working &gt;&gt;'!$J:$J, '&lt;&lt; Working &gt;&gt;'!$D:$D, 'Supplier Wise Yearly'!$B$1, '&lt;&lt; Working &gt;&gt;'!$R:$R, 'Supplier Wise Yearly'!K$6, '&lt;&lt; Working &gt;&gt;'!$L:$L, 'Supplier Wise Yearly'!$B54, '&lt;&lt; Working &gt;&gt;'!$N:$N, 'Supplier Wise Yearly'!$B$2)</f>
        <v>0</v>
      </c>
      <c r="L54" s="39">
        <f>SUMIFS('&lt;&lt; Working &gt;&gt;'!$J:$J, '&lt;&lt; Working &gt;&gt;'!$D:$D, 'Supplier Wise Yearly'!$B$1, '&lt;&lt; Working &gt;&gt;'!$R:$R, 'Supplier Wise Yearly'!L$6, '&lt;&lt; Working &gt;&gt;'!$L:$L, 'Supplier Wise Yearly'!$B54, '&lt;&lt; Working &gt;&gt;'!$N:$N, 'Supplier Wise Yearly'!$B$2)</f>
        <v>0</v>
      </c>
      <c r="M54" s="39">
        <f>SUMIFS('&lt;&lt; Working &gt;&gt;'!$J:$J, '&lt;&lt; Working &gt;&gt;'!$D:$D, 'Supplier Wise Yearly'!$B$1, '&lt;&lt; Working &gt;&gt;'!$R:$R, 'Supplier Wise Yearly'!M$6, '&lt;&lt; Working &gt;&gt;'!$L:$L, 'Supplier Wise Yearly'!$B54, '&lt;&lt; Working &gt;&gt;'!$N:$N, 'Supplier Wise Yearly'!$B$2)</f>
        <v>0</v>
      </c>
      <c r="N54" s="39">
        <f>SUMIFS('&lt;&lt; Working &gt;&gt;'!$J:$J, '&lt;&lt; Working &gt;&gt;'!$D:$D, 'Supplier Wise Yearly'!$B$1, '&lt;&lt; Working &gt;&gt;'!$R:$R, 'Supplier Wise Yearly'!N$6, '&lt;&lt; Working &gt;&gt;'!$L:$L, 'Supplier Wise Yearly'!$B54, '&lt;&lt; Working &gt;&gt;'!$N:$N, 'Supplier Wise Yearly'!$B$2)</f>
        <v>0</v>
      </c>
      <c r="O54" s="39">
        <f t="shared" si="2"/>
        <v>0</v>
      </c>
      <c r="Q54" t="str">
        <f t="shared" si="3"/>
        <v>No</v>
      </c>
    </row>
    <row r="55" spans="1:17" hidden="1" x14ac:dyDescent="0.3">
      <c r="A55" s="21" t="str">
        <f>VLOOKUP(B55, 'Items Master'!E:F,2,0)</f>
        <v>Import</v>
      </c>
      <c r="B55" s="21" t="s">
        <v>1270</v>
      </c>
      <c r="C55" s="39">
        <f>SUMIFS('&lt;&lt; Working &gt;&gt;'!$J:$J, '&lt;&lt; Working &gt;&gt;'!$D:$D, 'Supplier Wise Yearly'!$B$1, '&lt;&lt; Working &gt;&gt;'!$R:$R, 'Supplier Wise Yearly'!C$6, '&lt;&lt; Working &gt;&gt;'!$L:$L, 'Supplier Wise Yearly'!$B55, '&lt;&lt; Working &gt;&gt;'!$N:$N, 'Supplier Wise Yearly'!$B$2)</f>
        <v>0</v>
      </c>
      <c r="D55" s="39">
        <f>SUMIFS('&lt;&lt; Working &gt;&gt;'!$J:$J, '&lt;&lt; Working &gt;&gt;'!$D:$D, 'Supplier Wise Yearly'!$B$1, '&lt;&lt; Working &gt;&gt;'!$R:$R, 'Supplier Wise Yearly'!D$6, '&lt;&lt; Working &gt;&gt;'!$L:$L, 'Supplier Wise Yearly'!$B55, '&lt;&lt; Working &gt;&gt;'!$N:$N, 'Supplier Wise Yearly'!$B$2)</f>
        <v>0</v>
      </c>
      <c r="E55" s="39">
        <f>SUMIFS('&lt;&lt; Working &gt;&gt;'!$J:$J, '&lt;&lt; Working &gt;&gt;'!$D:$D, 'Supplier Wise Yearly'!$B$1, '&lt;&lt; Working &gt;&gt;'!$R:$R, 'Supplier Wise Yearly'!E$6, '&lt;&lt; Working &gt;&gt;'!$L:$L, 'Supplier Wise Yearly'!$B55, '&lt;&lt; Working &gt;&gt;'!$N:$N, 'Supplier Wise Yearly'!$B$2)</f>
        <v>0</v>
      </c>
      <c r="F55" s="39">
        <f>SUMIFS('&lt;&lt; Working &gt;&gt;'!$J:$J, '&lt;&lt; Working &gt;&gt;'!$D:$D, 'Supplier Wise Yearly'!$B$1, '&lt;&lt; Working &gt;&gt;'!$R:$R, 'Supplier Wise Yearly'!F$6, '&lt;&lt; Working &gt;&gt;'!$L:$L, 'Supplier Wise Yearly'!$B55, '&lt;&lt; Working &gt;&gt;'!$N:$N, 'Supplier Wise Yearly'!$B$2)</f>
        <v>0</v>
      </c>
      <c r="G55" s="39">
        <f>SUMIFS('&lt;&lt; Working &gt;&gt;'!$J:$J, '&lt;&lt; Working &gt;&gt;'!$D:$D, 'Supplier Wise Yearly'!$B$1, '&lt;&lt; Working &gt;&gt;'!$R:$R, 'Supplier Wise Yearly'!G$6, '&lt;&lt; Working &gt;&gt;'!$L:$L, 'Supplier Wise Yearly'!$B55, '&lt;&lt; Working &gt;&gt;'!$N:$N, 'Supplier Wise Yearly'!$B$2)</f>
        <v>0</v>
      </c>
      <c r="H55" s="39">
        <f>SUMIFS('&lt;&lt; Working &gt;&gt;'!$J:$J, '&lt;&lt; Working &gt;&gt;'!$D:$D, 'Supplier Wise Yearly'!$B$1, '&lt;&lt; Working &gt;&gt;'!$R:$R, 'Supplier Wise Yearly'!H$6, '&lt;&lt; Working &gt;&gt;'!$L:$L, 'Supplier Wise Yearly'!$B55, '&lt;&lt; Working &gt;&gt;'!$N:$N, 'Supplier Wise Yearly'!$B$2)</f>
        <v>0</v>
      </c>
      <c r="I55" s="39">
        <f>SUMIFS('&lt;&lt; Working &gt;&gt;'!$J:$J, '&lt;&lt; Working &gt;&gt;'!$D:$D, 'Supplier Wise Yearly'!$B$1, '&lt;&lt; Working &gt;&gt;'!$R:$R, 'Supplier Wise Yearly'!I$6, '&lt;&lt; Working &gt;&gt;'!$L:$L, 'Supplier Wise Yearly'!$B55, '&lt;&lt; Working &gt;&gt;'!$N:$N, 'Supplier Wise Yearly'!$B$2)</f>
        <v>0</v>
      </c>
      <c r="J55" s="39">
        <f>SUMIFS('&lt;&lt; Working &gt;&gt;'!$J:$J, '&lt;&lt; Working &gt;&gt;'!$D:$D, 'Supplier Wise Yearly'!$B$1, '&lt;&lt; Working &gt;&gt;'!$R:$R, 'Supplier Wise Yearly'!J$6, '&lt;&lt; Working &gt;&gt;'!$L:$L, 'Supplier Wise Yearly'!$B55, '&lt;&lt; Working &gt;&gt;'!$N:$N, 'Supplier Wise Yearly'!$B$2)</f>
        <v>0</v>
      </c>
      <c r="K55" s="39">
        <f>SUMIFS('&lt;&lt; Working &gt;&gt;'!$J:$J, '&lt;&lt; Working &gt;&gt;'!$D:$D, 'Supplier Wise Yearly'!$B$1, '&lt;&lt; Working &gt;&gt;'!$R:$R, 'Supplier Wise Yearly'!K$6, '&lt;&lt; Working &gt;&gt;'!$L:$L, 'Supplier Wise Yearly'!$B55, '&lt;&lt; Working &gt;&gt;'!$N:$N, 'Supplier Wise Yearly'!$B$2)</f>
        <v>0</v>
      </c>
      <c r="L55" s="39">
        <f>SUMIFS('&lt;&lt; Working &gt;&gt;'!$J:$J, '&lt;&lt; Working &gt;&gt;'!$D:$D, 'Supplier Wise Yearly'!$B$1, '&lt;&lt; Working &gt;&gt;'!$R:$R, 'Supplier Wise Yearly'!L$6, '&lt;&lt; Working &gt;&gt;'!$L:$L, 'Supplier Wise Yearly'!$B55, '&lt;&lt; Working &gt;&gt;'!$N:$N, 'Supplier Wise Yearly'!$B$2)</f>
        <v>0</v>
      </c>
      <c r="M55" s="39">
        <f>SUMIFS('&lt;&lt; Working &gt;&gt;'!$J:$J, '&lt;&lt; Working &gt;&gt;'!$D:$D, 'Supplier Wise Yearly'!$B$1, '&lt;&lt; Working &gt;&gt;'!$R:$R, 'Supplier Wise Yearly'!M$6, '&lt;&lt; Working &gt;&gt;'!$L:$L, 'Supplier Wise Yearly'!$B55, '&lt;&lt; Working &gt;&gt;'!$N:$N, 'Supplier Wise Yearly'!$B$2)</f>
        <v>0</v>
      </c>
      <c r="N55" s="39">
        <f>SUMIFS('&lt;&lt; Working &gt;&gt;'!$J:$J, '&lt;&lt; Working &gt;&gt;'!$D:$D, 'Supplier Wise Yearly'!$B$1, '&lt;&lt; Working &gt;&gt;'!$R:$R, 'Supplier Wise Yearly'!N$6, '&lt;&lt; Working &gt;&gt;'!$L:$L, 'Supplier Wise Yearly'!$B55, '&lt;&lt; Working &gt;&gt;'!$N:$N, 'Supplier Wise Yearly'!$B$2)</f>
        <v>0</v>
      </c>
      <c r="O55" s="39">
        <f t="shared" si="2"/>
        <v>0</v>
      </c>
      <c r="Q55" t="str">
        <f t="shared" si="3"/>
        <v>No</v>
      </c>
    </row>
    <row r="56" spans="1:17" hidden="1" x14ac:dyDescent="0.3">
      <c r="A56" s="21" t="str">
        <f>VLOOKUP(B56, 'Items Master'!E:F,2,0)</f>
        <v>Import</v>
      </c>
      <c r="B56" s="21" t="s">
        <v>1274</v>
      </c>
      <c r="C56" s="39">
        <f>SUMIFS('&lt;&lt; Working &gt;&gt;'!$J:$J, '&lt;&lt; Working &gt;&gt;'!$D:$D, 'Supplier Wise Yearly'!$B$1, '&lt;&lt; Working &gt;&gt;'!$R:$R, 'Supplier Wise Yearly'!C$6, '&lt;&lt; Working &gt;&gt;'!$L:$L, 'Supplier Wise Yearly'!$B56, '&lt;&lt; Working &gt;&gt;'!$N:$N, 'Supplier Wise Yearly'!$B$2)</f>
        <v>0</v>
      </c>
      <c r="D56" s="39">
        <f>SUMIFS('&lt;&lt; Working &gt;&gt;'!$J:$J, '&lt;&lt; Working &gt;&gt;'!$D:$D, 'Supplier Wise Yearly'!$B$1, '&lt;&lt; Working &gt;&gt;'!$R:$R, 'Supplier Wise Yearly'!D$6, '&lt;&lt; Working &gt;&gt;'!$L:$L, 'Supplier Wise Yearly'!$B56, '&lt;&lt; Working &gt;&gt;'!$N:$N, 'Supplier Wise Yearly'!$B$2)</f>
        <v>0</v>
      </c>
      <c r="E56" s="39">
        <f>SUMIFS('&lt;&lt; Working &gt;&gt;'!$J:$J, '&lt;&lt; Working &gt;&gt;'!$D:$D, 'Supplier Wise Yearly'!$B$1, '&lt;&lt; Working &gt;&gt;'!$R:$R, 'Supplier Wise Yearly'!E$6, '&lt;&lt; Working &gt;&gt;'!$L:$L, 'Supplier Wise Yearly'!$B56, '&lt;&lt; Working &gt;&gt;'!$N:$N, 'Supplier Wise Yearly'!$B$2)</f>
        <v>0</v>
      </c>
      <c r="F56" s="39">
        <f>SUMIFS('&lt;&lt; Working &gt;&gt;'!$J:$J, '&lt;&lt; Working &gt;&gt;'!$D:$D, 'Supplier Wise Yearly'!$B$1, '&lt;&lt; Working &gt;&gt;'!$R:$R, 'Supplier Wise Yearly'!F$6, '&lt;&lt; Working &gt;&gt;'!$L:$L, 'Supplier Wise Yearly'!$B56, '&lt;&lt; Working &gt;&gt;'!$N:$N, 'Supplier Wise Yearly'!$B$2)</f>
        <v>0</v>
      </c>
      <c r="G56" s="39">
        <f>SUMIFS('&lt;&lt; Working &gt;&gt;'!$J:$J, '&lt;&lt; Working &gt;&gt;'!$D:$D, 'Supplier Wise Yearly'!$B$1, '&lt;&lt; Working &gt;&gt;'!$R:$R, 'Supplier Wise Yearly'!G$6, '&lt;&lt; Working &gt;&gt;'!$L:$L, 'Supplier Wise Yearly'!$B56, '&lt;&lt; Working &gt;&gt;'!$N:$N, 'Supplier Wise Yearly'!$B$2)</f>
        <v>0</v>
      </c>
      <c r="H56" s="39">
        <f>SUMIFS('&lt;&lt; Working &gt;&gt;'!$J:$J, '&lt;&lt; Working &gt;&gt;'!$D:$D, 'Supplier Wise Yearly'!$B$1, '&lt;&lt; Working &gt;&gt;'!$R:$R, 'Supplier Wise Yearly'!H$6, '&lt;&lt; Working &gt;&gt;'!$L:$L, 'Supplier Wise Yearly'!$B56, '&lt;&lt; Working &gt;&gt;'!$N:$N, 'Supplier Wise Yearly'!$B$2)</f>
        <v>0</v>
      </c>
      <c r="I56" s="39">
        <f>SUMIFS('&lt;&lt; Working &gt;&gt;'!$J:$J, '&lt;&lt; Working &gt;&gt;'!$D:$D, 'Supplier Wise Yearly'!$B$1, '&lt;&lt; Working &gt;&gt;'!$R:$R, 'Supplier Wise Yearly'!I$6, '&lt;&lt; Working &gt;&gt;'!$L:$L, 'Supplier Wise Yearly'!$B56, '&lt;&lt; Working &gt;&gt;'!$N:$N, 'Supplier Wise Yearly'!$B$2)</f>
        <v>0</v>
      </c>
      <c r="J56" s="39">
        <f>SUMIFS('&lt;&lt; Working &gt;&gt;'!$J:$J, '&lt;&lt; Working &gt;&gt;'!$D:$D, 'Supplier Wise Yearly'!$B$1, '&lt;&lt; Working &gt;&gt;'!$R:$R, 'Supplier Wise Yearly'!J$6, '&lt;&lt; Working &gt;&gt;'!$L:$L, 'Supplier Wise Yearly'!$B56, '&lt;&lt; Working &gt;&gt;'!$N:$N, 'Supplier Wise Yearly'!$B$2)</f>
        <v>0</v>
      </c>
      <c r="K56" s="39">
        <f>SUMIFS('&lt;&lt; Working &gt;&gt;'!$J:$J, '&lt;&lt; Working &gt;&gt;'!$D:$D, 'Supplier Wise Yearly'!$B$1, '&lt;&lt; Working &gt;&gt;'!$R:$R, 'Supplier Wise Yearly'!K$6, '&lt;&lt; Working &gt;&gt;'!$L:$L, 'Supplier Wise Yearly'!$B56, '&lt;&lt; Working &gt;&gt;'!$N:$N, 'Supplier Wise Yearly'!$B$2)</f>
        <v>0</v>
      </c>
      <c r="L56" s="39">
        <f>SUMIFS('&lt;&lt; Working &gt;&gt;'!$J:$J, '&lt;&lt; Working &gt;&gt;'!$D:$D, 'Supplier Wise Yearly'!$B$1, '&lt;&lt; Working &gt;&gt;'!$R:$R, 'Supplier Wise Yearly'!L$6, '&lt;&lt; Working &gt;&gt;'!$L:$L, 'Supplier Wise Yearly'!$B56, '&lt;&lt; Working &gt;&gt;'!$N:$N, 'Supplier Wise Yearly'!$B$2)</f>
        <v>0</v>
      </c>
      <c r="M56" s="39">
        <f>SUMIFS('&lt;&lt; Working &gt;&gt;'!$J:$J, '&lt;&lt; Working &gt;&gt;'!$D:$D, 'Supplier Wise Yearly'!$B$1, '&lt;&lt; Working &gt;&gt;'!$R:$R, 'Supplier Wise Yearly'!M$6, '&lt;&lt; Working &gt;&gt;'!$L:$L, 'Supplier Wise Yearly'!$B56, '&lt;&lt; Working &gt;&gt;'!$N:$N, 'Supplier Wise Yearly'!$B$2)</f>
        <v>0</v>
      </c>
      <c r="N56" s="39">
        <f>SUMIFS('&lt;&lt; Working &gt;&gt;'!$J:$J, '&lt;&lt; Working &gt;&gt;'!$D:$D, 'Supplier Wise Yearly'!$B$1, '&lt;&lt; Working &gt;&gt;'!$R:$R, 'Supplier Wise Yearly'!N$6, '&lt;&lt; Working &gt;&gt;'!$L:$L, 'Supplier Wise Yearly'!$B56, '&lt;&lt; Working &gt;&gt;'!$N:$N, 'Supplier Wise Yearly'!$B$2)</f>
        <v>0</v>
      </c>
      <c r="O56" s="39">
        <f t="shared" si="2"/>
        <v>0</v>
      </c>
      <c r="Q56" t="str">
        <f t="shared" si="3"/>
        <v>No</v>
      </c>
    </row>
    <row r="57" spans="1:17" hidden="1" x14ac:dyDescent="0.3">
      <c r="A57" s="21" t="str">
        <f>VLOOKUP(B57, 'Items Master'!E:F,2,0)</f>
        <v>Import</v>
      </c>
      <c r="B57" s="21" t="s">
        <v>1278</v>
      </c>
      <c r="C57" s="39">
        <f>SUMIFS('&lt;&lt; Working &gt;&gt;'!$J:$J, '&lt;&lt; Working &gt;&gt;'!$D:$D, 'Supplier Wise Yearly'!$B$1, '&lt;&lt; Working &gt;&gt;'!$R:$R, 'Supplier Wise Yearly'!C$6, '&lt;&lt; Working &gt;&gt;'!$L:$L, 'Supplier Wise Yearly'!$B57, '&lt;&lt; Working &gt;&gt;'!$N:$N, 'Supplier Wise Yearly'!$B$2)</f>
        <v>0</v>
      </c>
      <c r="D57" s="39">
        <f>SUMIFS('&lt;&lt; Working &gt;&gt;'!$J:$J, '&lt;&lt; Working &gt;&gt;'!$D:$D, 'Supplier Wise Yearly'!$B$1, '&lt;&lt; Working &gt;&gt;'!$R:$R, 'Supplier Wise Yearly'!D$6, '&lt;&lt; Working &gt;&gt;'!$L:$L, 'Supplier Wise Yearly'!$B57, '&lt;&lt; Working &gt;&gt;'!$N:$N, 'Supplier Wise Yearly'!$B$2)</f>
        <v>0</v>
      </c>
      <c r="E57" s="39">
        <f>SUMIFS('&lt;&lt; Working &gt;&gt;'!$J:$J, '&lt;&lt; Working &gt;&gt;'!$D:$D, 'Supplier Wise Yearly'!$B$1, '&lt;&lt; Working &gt;&gt;'!$R:$R, 'Supplier Wise Yearly'!E$6, '&lt;&lt; Working &gt;&gt;'!$L:$L, 'Supplier Wise Yearly'!$B57, '&lt;&lt; Working &gt;&gt;'!$N:$N, 'Supplier Wise Yearly'!$B$2)</f>
        <v>0</v>
      </c>
      <c r="F57" s="39">
        <f>SUMIFS('&lt;&lt; Working &gt;&gt;'!$J:$J, '&lt;&lt; Working &gt;&gt;'!$D:$D, 'Supplier Wise Yearly'!$B$1, '&lt;&lt; Working &gt;&gt;'!$R:$R, 'Supplier Wise Yearly'!F$6, '&lt;&lt; Working &gt;&gt;'!$L:$L, 'Supplier Wise Yearly'!$B57, '&lt;&lt; Working &gt;&gt;'!$N:$N, 'Supplier Wise Yearly'!$B$2)</f>
        <v>0</v>
      </c>
      <c r="G57" s="39">
        <f>SUMIFS('&lt;&lt; Working &gt;&gt;'!$J:$J, '&lt;&lt; Working &gt;&gt;'!$D:$D, 'Supplier Wise Yearly'!$B$1, '&lt;&lt; Working &gt;&gt;'!$R:$R, 'Supplier Wise Yearly'!G$6, '&lt;&lt; Working &gt;&gt;'!$L:$L, 'Supplier Wise Yearly'!$B57, '&lt;&lt; Working &gt;&gt;'!$N:$N, 'Supplier Wise Yearly'!$B$2)</f>
        <v>0</v>
      </c>
      <c r="H57" s="39">
        <f>SUMIFS('&lt;&lt; Working &gt;&gt;'!$J:$J, '&lt;&lt; Working &gt;&gt;'!$D:$D, 'Supplier Wise Yearly'!$B$1, '&lt;&lt; Working &gt;&gt;'!$R:$R, 'Supplier Wise Yearly'!H$6, '&lt;&lt; Working &gt;&gt;'!$L:$L, 'Supplier Wise Yearly'!$B57, '&lt;&lt; Working &gt;&gt;'!$N:$N, 'Supplier Wise Yearly'!$B$2)</f>
        <v>0</v>
      </c>
      <c r="I57" s="39">
        <f>SUMIFS('&lt;&lt; Working &gt;&gt;'!$J:$J, '&lt;&lt; Working &gt;&gt;'!$D:$D, 'Supplier Wise Yearly'!$B$1, '&lt;&lt; Working &gt;&gt;'!$R:$R, 'Supplier Wise Yearly'!I$6, '&lt;&lt; Working &gt;&gt;'!$L:$L, 'Supplier Wise Yearly'!$B57, '&lt;&lt; Working &gt;&gt;'!$N:$N, 'Supplier Wise Yearly'!$B$2)</f>
        <v>0</v>
      </c>
      <c r="J57" s="39">
        <f>SUMIFS('&lt;&lt; Working &gt;&gt;'!$J:$J, '&lt;&lt; Working &gt;&gt;'!$D:$D, 'Supplier Wise Yearly'!$B$1, '&lt;&lt; Working &gt;&gt;'!$R:$R, 'Supplier Wise Yearly'!J$6, '&lt;&lt; Working &gt;&gt;'!$L:$L, 'Supplier Wise Yearly'!$B57, '&lt;&lt; Working &gt;&gt;'!$N:$N, 'Supplier Wise Yearly'!$B$2)</f>
        <v>0</v>
      </c>
      <c r="K57" s="39">
        <f>SUMIFS('&lt;&lt; Working &gt;&gt;'!$J:$J, '&lt;&lt; Working &gt;&gt;'!$D:$D, 'Supplier Wise Yearly'!$B$1, '&lt;&lt; Working &gt;&gt;'!$R:$R, 'Supplier Wise Yearly'!K$6, '&lt;&lt; Working &gt;&gt;'!$L:$L, 'Supplier Wise Yearly'!$B57, '&lt;&lt; Working &gt;&gt;'!$N:$N, 'Supplier Wise Yearly'!$B$2)</f>
        <v>0</v>
      </c>
      <c r="L57" s="39">
        <f>SUMIFS('&lt;&lt; Working &gt;&gt;'!$J:$J, '&lt;&lt; Working &gt;&gt;'!$D:$D, 'Supplier Wise Yearly'!$B$1, '&lt;&lt; Working &gt;&gt;'!$R:$R, 'Supplier Wise Yearly'!L$6, '&lt;&lt; Working &gt;&gt;'!$L:$L, 'Supplier Wise Yearly'!$B57, '&lt;&lt; Working &gt;&gt;'!$N:$N, 'Supplier Wise Yearly'!$B$2)</f>
        <v>0</v>
      </c>
      <c r="M57" s="39">
        <f>SUMIFS('&lt;&lt; Working &gt;&gt;'!$J:$J, '&lt;&lt; Working &gt;&gt;'!$D:$D, 'Supplier Wise Yearly'!$B$1, '&lt;&lt; Working &gt;&gt;'!$R:$R, 'Supplier Wise Yearly'!M$6, '&lt;&lt; Working &gt;&gt;'!$L:$L, 'Supplier Wise Yearly'!$B57, '&lt;&lt; Working &gt;&gt;'!$N:$N, 'Supplier Wise Yearly'!$B$2)</f>
        <v>0</v>
      </c>
      <c r="N57" s="39">
        <f>SUMIFS('&lt;&lt; Working &gt;&gt;'!$J:$J, '&lt;&lt; Working &gt;&gt;'!$D:$D, 'Supplier Wise Yearly'!$B$1, '&lt;&lt; Working &gt;&gt;'!$R:$R, 'Supplier Wise Yearly'!N$6, '&lt;&lt; Working &gt;&gt;'!$L:$L, 'Supplier Wise Yearly'!$B57, '&lt;&lt; Working &gt;&gt;'!$N:$N, 'Supplier Wise Yearly'!$B$2)</f>
        <v>0</v>
      </c>
      <c r="O57" s="39">
        <f t="shared" si="2"/>
        <v>0</v>
      </c>
      <c r="Q57" t="str">
        <f t="shared" si="3"/>
        <v>No</v>
      </c>
    </row>
    <row r="58" spans="1:17" hidden="1" x14ac:dyDescent="0.3">
      <c r="A58" s="21" t="str">
        <f>VLOOKUP(B58, 'Items Master'!E:F,2,0)</f>
        <v>Import</v>
      </c>
      <c r="B58" s="21" t="s">
        <v>1280</v>
      </c>
      <c r="C58" s="39">
        <f>SUMIFS('&lt;&lt; Working &gt;&gt;'!$J:$J, '&lt;&lt; Working &gt;&gt;'!$D:$D, 'Supplier Wise Yearly'!$B$1, '&lt;&lt; Working &gt;&gt;'!$R:$R, 'Supplier Wise Yearly'!C$6, '&lt;&lt; Working &gt;&gt;'!$L:$L, 'Supplier Wise Yearly'!$B58, '&lt;&lt; Working &gt;&gt;'!$N:$N, 'Supplier Wise Yearly'!$B$2)</f>
        <v>0</v>
      </c>
      <c r="D58" s="39">
        <f>SUMIFS('&lt;&lt; Working &gt;&gt;'!$J:$J, '&lt;&lt; Working &gt;&gt;'!$D:$D, 'Supplier Wise Yearly'!$B$1, '&lt;&lt; Working &gt;&gt;'!$R:$R, 'Supplier Wise Yearly'!D$6, '&lt;&lt; Working &gt;&gt;'!$L:$L, 'Supplier Wise Yearly'!$B58, '&lt;&lt; Working &gt;&gt;'!$N:$N, 'Supplier Wise Yearly'!$B$2)</f>
        <v>0</v>
      </c>
      <c r="E58" s="39">
        <f>SUMIFS('&lt;&lt; Working &gt;&gt;'!$J:$J, '&lt;&lt; Working &gt;&gt;'!$D:$D, 'Supplier Wise Yearly'!$B$1, '&lt;&lt; Working &gt;&gt;'!$R:$R, 'Supplier Wise Yearly'!E$6, '&lt;&lt; Working &gt;&gt;'!$L:$L, 'Supplier Wise Yearly'!$B58, '&lt;&lt; Working &gt;&gt;'!$N:$N, 'Supplier Wise Yearly'!$B$2)</f>
        <v>0</v>
      </c>
      <c r="F58" s="39">
        <f>SUMIFS('&lt;&lt; Working &gt;&gt;'!$J:$J, '&lt;&lt; Working &gt;&gt;'!$D:$D, 'Supplier Wise Yearly'!$B$1, '&lt;&lt; Working &gt;&gt;'!$R:$R, 'Supplier Wise Yearly'!F$6, '&lt;&lt; Working &gt;&gt;'!$L:$L, 'Supplier Wise Yearly'!$B58, '&lt;&lt; Working &gt;&gt;'!$N:$N, 'Supplier Wise Yearly'!$B$2)</f>
        <v>0</v>
      </c>
      <c r="G58" s="39">
        <f>SUMIFS('&lt;&lt; Working &gt;&gt;'!$J:$J, '&lt;&lt; Working &gt;&gt;'!$D:$D, 'Supplier Wise Yearly'!$B$1, '&lt;&lt; Working &gt;&gt;'!$R:$R, 'Supplier Wise Yearly'!G$6, '&lt;&lt; Working &gt;&gt;'!$L:$L, 'Supplier Wise Yearly'!$B58, '&lt;&lt; Working &gt;&gt;'!$N:$N, 'Supplier Wise Yearly'!$B$2)</f>
        <v>0</v>
      </c>
      <c r="H58" s="39">
        <f>SUMIFS('&lt;&lt; Working &gt;&gt;'!$J:$J, '&lt;&lt; Working &gt;&gt;'!$D:$D, 'Supplier Wise Yearly'!$B$1, '&lt;&lt; Working &gt;&gt;'!$R:$R, 'Supplier Wise Yearly'!H$6, '&lt;&lt; Working &gt;&gt;'!$L:$L, 'Supplier Wise Yearly'!$B58, '&lt;&lt; Working &gt;&gt;'!$N:$N, 'Supplier Wise Yearly'!$B$2)</f>
        <v>0</v>
      </c>
      <c r="I58" s="39">
        <f>SUMIFS('&lt;&lt; Working &gt;&gt;'!$J:$J, '&lt;&lt; Working &gt;&gt;'!$D:$D, 'Supplier Wise Yearly'!$B$1, '&lt;&lt; Working &gt;&gt;'!$R:$R, 'Supplier Wise Yearly'!I$6, '&lt;&lt; Working &gt;&gt;'!$L:$L, 'Supplier Wise Yearly'!$B58, '&lt;&lt; Working &gt;&gt;'!$N:$N, 'Supplier Wise Yearly'!$B$2)</f>
        <v>0</v>
      </c>
      <c r="J58" s="39">
        <f>SUMIFS('&lt;&lt; Working &gt;&gt;'!$J:$J, '&lt;&lt; Working &gt;&gt;'!$D:$D, 'Supplier Wise Yearly'!$B$1, '&lt;&lt; Working &gt;&gt;'!$R:$R, 'Supplier Wise Yearly'!J$6, '&lt;&lt; Working &gt;&gt;'!$L:$L, 'Supplier Wise Yearly'!$B58, '&lt;&lt; Working &gt;&gt;'!$N:$N, 'Supplier Wise Yearly'!$B$2)</f>
        <v>0</v>
      </c>
      <c r="K58" s="39">
        <f>SUMIFS('&lt;&lt; Working &gt;&gt;'!$J:$J, '&lt;&lt; Working &gt;&gt;'!$D:$D, 'Supplier Wise Yearly'!$B$1, '&lt;&lt; Working &gt;&gt;'!$R:$R, 'Supplier Wise Yearly'!K$6, '&lt;&lt; Working &gt;&gt;'!$L:$L, 'Supplier Wise Yearly'!$B58, '&lt;&lt; Working &gt;&gt;'!$N:$N, 'Supplier Wise Yearly'!$B$2)</f>
        <v>0</v>
      </c>
      <c r="L58" s="39">
        <f>SUMIFS('&lt;&lt; Working &gt;&gt;'!$J:$J, '&lt;&lt; Working &gt;&gt;'!$D:$D, 'Supplier Wise Yearly'!$B$1, '&lt;&lt; Working &gt;&gt;'!$R:$R, 'Supplier Wise Yearly'!L$6, '&lt;&lt; Working &gt;&gt;'!$L:$L, 'Supplier Wise Yearly'!$B58, '&lt;&lt; Working &gt;&gt;'!$N:$N, 'Supplier Wise Yearly'!$B$2)</f>
        <v>0</v>
      </c>
      <c r="M58" s="39">
        <f>SUMIFS('&lt;&lt; Working &gt;&gt;'!$J:$J, '&lt;&lt; Working &gt;&gt;'!$D:$D, 'Supplier Wise Yearly'!$B$1, '&lt;&lt; Working &gt;&gt;'!$R:$R, 'Supplier Wise Yearly'!M$6, '&lt;&lt; Working &gt;&gt;'!$L:$L, 'Supplier Wise Yearly'!$B58, '&lt;&lt; Working &gt;&gt;'!$N:$N, 'Supplier Wise Yearly'!$B$2)</f>
        <v>0</v>
      </c>
      <c r="N58" s="39">
        <f>SUMIFS('&lt;&lt; Working &gt;&gt;'!$J:$J, '&lt;&lt; Working &gt;&gt;'!$D:$D, 'Supplier Wise Yearly'!$B$1, '&lt;&lt; Working &gt;&gt;'!$R:$R, 'Supplier Wise Yearly'!N$6, '&lt;&lt; Working &gt;&gt;'!$L:$L, 'Supplier Wise Yearly'!$B58, '&lt;&lt; Working &gt;&gt;'!$N:$N, 'Supplier Wise Yearly'!$B$2)</f>
        <v>0</v>
      </c>
      <c r="O58" s="39">
        <f t="shared" si="2"/>
        <v>0</v>
      </c>
      <c r="Q58" t="str">
        <f t="shared" si="3"/>
        <v>No</v>
      </c>
    </row>
    <row r="59" spans="1:17" hidden="1" x14ac:dyDescent="0.3">
      <c r="A59" s="21" t="str">
        <f>VLOOKUP(B59, 'Items Master'!E:F,2,0)</f>
        <v>Import</v>
      </c>
      <c r="B59" s="21" t="s">
        <v>1281</v>
      </c>
      <c r="C59" s="39">
        <f>SUMIFS('&lt;&lt; Working &gt;&gt;'!$J:$J, '&lt;&lt; Working &gt;&gt;'!$D:$D, 'Supplier Wise Yearly'!$B$1, '&lt;&lt; Working &gt;&gt;'!$R:$R, 'Supplier Wise Yearly'!C$6, '&lt;&lt; Working &gt;&gt;'!$L:$L, 'Supplier Wise Yearly'!$B59, '&lt;&lt; Working &gt;&gt;'!$N:$N, 'Supplier Wise Yearly'!$B$2)</f>
        <v>0</v>
      </c>
      <c r="D59" s="39">
        <f>SUMIFS('&lt;&lt; Working &gt;&gt;'!$J:$J, '&lt;&lt; Working &gt;&gt;'!$D:$D, 'Supplier Wise Yearly'!$B$1, '&lt;&lt; Working &gt;&gt;'!$R:$R, 'Supplier Wise Yearly'!D$6, '&lt;&lt; Working &gt;&gt;'!$L:$L, 'Supplier Wise Yearly'!$B59, '&lt;&lt; Working &gt;&gt;'!$N:$N, 'Supplier Wise Yearly'!$B$2)</f>
        <v>0</v>
      </c>
      <c r="E59" s="39">
        <f>SUMIFS('&lt;&lt; Working &gt;&gt;'!$J:$J, '&lt;&lt; Working &gt;&gt;'!$D:$D, 'Supplier Wise Yearly'!$B$1, '&lt;&lt; Working &gt;&gt;'!$R:$R, 'Supplier Wise Yearly'!E$6, '&lt;&lt; Working &gt;&gt;'!$L:$L, 'Supplier Wise Yearly'!$B59, '&lt;&lt; Working &gt;&gt;'!$N:$N, 'Supplier Wise Yearly'!$B$2)</f>
        <v>0</v>
      </c>
      <c r="F59" s="39">
        <f>SUMIFS('&lt;&lt; Working &gt;&gt;'!$J:$J, '&lt;&lt; Working &gt;&gt;'!$D:$D, 'Supplier Wise Yearly'!$B$1, '&lt;&lt; Working &gt;&gt;'!$R:$R, 'Supplier Wise Yearly'!F$6, '&lt;&lt; Working &gt;&gt;'!$L:$L, 'Supplier Wise Yearly'!$B59, '&lt;&lt; Working &gt;&gt;'!$N:$N, 'Supplier Wise Yearly'!$B$2)</f>
        <v>0</v>
      </c>
      <c r="G59" s="39">
        <f>SUMIFS('&lt;&lt; Working &gt;&gt;'!$J:$J, '&lt;&lt; Working &gt;&gt;'!$D:$D, 'Supplier Wise Yearly'!$B$1, '&lt;&lt; Working &gt;&gt;'!$R:$R, 'Supplier Wise Yearly'!G$6, '&lt;&lt; Working &gt;&gt;'!$L:$L, 'Supplier Wise Yearly'!$B59, '&lt;&lt; Working &gt;&gt;'!$N:$N, 'Supplier Wise Yearly'!$B$2)</f>
        <v>0</v>
      </c>
      <c r="H59" s="39">
        <f>SUMIFS('&lt;&lt; Working &gt;&gt;'!$J:$J, '&lt;&lt; Working &gt;&gt;'!$D:$D, 'Supplier Wise Yearly'!$B$1, '&lt;&lt; Working &gt;&gt;'!$R:$R, 'Supplier Wise Yearly'!H$6, '&lt;&lt; Working &gt;&gt;'!$L:$L, 'Supplier Wise Yearly'!$B59, '&lt;&lt; Working &gt;&gt;'!$N:$N, 'Supplier Wise Yearly'!$B$2)</f>
        <v>0</v>
      </c>
      <c r="I59" s="39">
        <f>SUMIFS('&lt;&lt; Working &gt;&gt;'!$J:$J, '&lt;&lt; Working &gt;&gt;'!$D:$D, 'Supplier Wise Yearly'!$B$1, '&lt;&lt; Working &gt;&gt;'!$R:$R, 'Supplier Wise Yearly'!I$6, '&lt;&lt; Working &gt;&gt;'!$L:$L, 'Supplier Wise Yearly'!$B59, '&lt;&lt; Working &gt;&gt;'!$N:$N, 'Supplier Wise Yearly'!$B$2)</f>
        <v>0</v>
      </c>
      <c r="J59" s="39">
        <f>SUMIFS('&lt;&lt; Working &gt;&gt;'!$J:$J, '&lt;&lt; Working &gt;&gt;'!$D:$D, 'Supplier Wise Yearly'!$B$1, '&lt;&lt; Working &gt;&gt;'!$R:$R, 'Supplier Wise Yearly'!J$6, '&lt;&lt; Working &gt;&gt;'!$L:$L, 'Supplier Wise Yearly'!$B59, '&lt;&lt; Working &gt;&gt;'!$N:$N, 'Supplier Wise Yearly'!$B$2)</f>
        <v>0</v>
      </c>
      <c r="K59" s="39">
        <f>SUMIFS('&lt;&lt; Working &gt;&gt;'!$J:$J, '&lt;&lt; Working &gt;&gt;'!$D:$D, 'Supplier Wise Yearly'!$B$1, '&lt;&lt; Working &gt;&gt;'!$R:$R, 'Supplier Wise Yearly'!K$6, '&lt;&lt; Working &gt;&gt;'!$L:$L, 'Supplier Wise Yearly'!$B59, '&lt;&lt; Working &gt;&gt;'!$N:$N, 'Supplier Wise Yearly'!$B$2)</f>
        <v>0</v>
      </c>
      <c r="L59" s="39">
        <f>SUMIFS('&lt;&lt; Working &gt;&gt;'!$J:$J, '&lt;&lt; Working &gt;&gt;'!$D:$D, 'Supplier Wise Yearly'!$B$1, '&lt;&lt; Working &gt;&gt;'!$R:$R, 'Supplier Wise Yearly'!L$6, '&lt;&lt; Working &gt;&gt;'!$L:$L, 'Supplier Wise Yearly'!$B59, '&lt;&lt; Working &gt;&gt;'!$N:$N, 'Supplier Wise Yearly'!$B$2)</f>
        <v>0</v>
      </c>
      <c r="M59" s="39">
        <f>SUMIFS('&lt;&lt; Working &gt;&gt;'!$J:$J, '&lt;&lt; Working &gt;&gt;'!$D:$D, 'Supplier Wise Yearly'!$B$1, '&lt;&lt; Working &gt;&gt;'!$R:$R, 'Supplier Wise Yearly'!M$6, '&lt;&lt; Working &gt;&gt;'!$L:$L, 'Supplier Wise Yearly'!$B59, '&lt;&lt; Working &gt;&gt;'!$N:$N, 'Supplier Wise Yearly'!$B$2)</f>
        <v>0</v>
      </c>
      <c r="N59" s="39">
        <f>SUMIFS('&lt;&lt; Working &gt;&gt;'!$J:$J, '&lt;&lt; Working &gt;&gt;'!$D:$D, 'Supplier Wise Yearly'!$B$1, '&lt;&lt; Working &gt;&gt;'!$R:$R, 'Supplier Wise Yearly'!N$6, '&lt;&lt; Working &gt;&gt;'!$L:$L, 'Supplier Wise Yearly'!$B59, '&lt;&lt; Working &gt;&gt;'!$N:$N, 'Supplier Wise Yearly'!$B$2)</f>
        <v>0</v>
      </c>
      <c r="O59" s="39">
        <f t="shared" si="2"/>
        <v>0</v>
      </c>
      <c r="Q59" t="str">
        <f t="shared" si="3"/>
        <v>No</v>
      </c>
    </row>
    <row r="60" spans="1:17" hidden="1" x14ac:dyDescent="0.3">
      <c r="A60" s="21" t="str">
        <f>VLOOKUP(B60, 'Items Master'!E:F,2,0)</f>
        <v>Import</v>
      </c>
      <c r="B60" s="21" t="s">
        <v>41</v>
      </c>
      <c r="C60" s="39">
        <f>SUMIFS('&lt;&lt; Working &gt;&gt;'!$J:$J, '&lt;&lt; Working &gt;&gt;'!$D:$D, 'Supplier Wise Yearly'!$B$1, '&lt;&lt; Working &gt;&gt;'!$R:$R, 'Supplier Wise Yearly'!C$6, '&lt;&lt; Working &gt;&gt;'!$L:$L, 'Supplier Wise Yearly'!$B60, '&lt;&lt; Working &gt;&gt;'!$N:$N, 'Supplier Wise Yearly'!$B$2)</f>
        <v>0</v>
      </c>
      <c r="D60" s="39">
        <f>SUMIFS('&lt;&lt; Working &gt;&gt;'!$J:$J, '&lt;&lt; Working &gt;&gt;'!$D:$D, 'Supplier Wise Yearly'!$B$1, '&lt;&lt; Working &gt;&gt;'!$R:$R, 'Supplier Wise Yearly'!D$6, '&lt;&lt; Working &gt;&gt;'!$L:$L, 'Supplier Wise Yearly'!$B60, '&lt;&lt; Working &gt;&gt;'!$N:$N, 'Supplier Wise Yearly'!$B$2)</f>
        <v>0</v>
      </c>
      <c r="E60" s="39">
        <f>SUMIFS('&lt;&lt; Working &gt;&gt;'!$J:$J, '&lt;&lt; Working &gt;&gt;'!$D:$D, 'Supplier Wise Yearly'!$B$1, '&lt;&lt; Working &gt;&gt;'!$R:$R, 'Supplier Wise Yearly'!E$6, '&lt;&lt; Working &gt;&gt;'!$L:$L, 'Supplier Wise Yearly'!$B60, '&lt;&lt; Working &gt;&gt;'!$N:$N, 'Supplier Wise Yearly'!$B$2)</f>
        <v>0</v>
      </c>
      <c r="F60" s="39">
        <f>SUMIFS('&lt;&lt; Working &gt;&gt;'!$J:$J, '&lt;&lt; Working &gt;&gt;'!$D:$D, 'Supplier Wise Yearly'!$B$1, '&lt;&lt; Working &gt;&gt;'!$R:$R, 'Supplier Wise Yearly'!F$6, '&lt;&lt; Working &gt;&gt;'!$L:$L, 'Supplier Wise Yearly'!$B60, '&lt;&lt; Working &gt;&gt;'!$N:$N, 'Supplier Wise Yearly'!$B$2)</f>
        <v>0</v>
      </c>
      <c r="G60" s="39">
        <f>SUMIFS('&lt;&lt; Working &gt;&gt;'!$J:$J, '&lt;&lt; Working &gt;&gt;'!$D:$D, 'Supplier Wise Yearly'!$B$1, '&lt;&lt; Working &gt;&gt;'!$R:$R, 'Supplier Wise Yearly'!G$6, '&lt;&lt; Working &gt;&gt;'!$L:$L, 'Supplier Wise Yearly'!$B60, '&lt;&lt; Working &gt;&gt;'!$N:$N, 'Supplier Wise Yearly'!$B$2)</f>
        <v>0</v>
      </c>
      <c r="H60" s="39">
        <f>SUMIFS('&lt;&lt; Working &gt;&gt;'!$J:$J, '&lt;&lt; Working &gt;&gt;'!$D:$D, 'Supplier Wise Yearly'!$B$1, '&lt;&lt; Working &gt;&gt;'!$R:$R, 'Supplier Wise Yearly'!H$6, '&lt;&lt; Working &gt;&gt;'!$L:$L, 'Supplier Wise Yearly'!$B60, '&lt;&lt; Working &gt;&gt;'!$N:$N, 'Supplier Wise Yearly'!$B$2)</f>
        <v>0</v>
      </c>
      <c r="I60" s="39">
        <f>SUMIFS('&lt;&lt; Working &gt;&gt;'!$J:$J, '&lt;&lt; Working &gt;&gt;'!$D:$D, 'Supplier Wise Yearly'!$B$1, '&lt;&lt; Working &gt;&gt;'!$R:$R, 'Supplier Wise Yearly'!I$6, '&lt;&lt; Working &gt;&gt;'!$L:$L, 'Supplier Wise Yearly'!$B60, '&lt;&lt; Working &gt;&gt;'!$N:$N, 'Supplier Wise Yearly'!$B$2)</f>
        <v>0</v>
      </c>
      <c r="J60" s="39">
        <f>SUMIFS('&lt;&lt; Working &gt;&gt;'!$J:$J, '&lt;&lt; Working &gt;&gt;'!$D:$D, 'Supplier Wise Yearly'!$B$1, '&lt;&lt; Working &gt;&gt;'!$R:$R, 'Supplier Wise Yearly'!J$6, '&lt;&lt; Working &gt;&gt;'!$L:$L, 'Supplier Wise Yearly'!$B60, '&lt;&lt; Working &gt;&gt;'!$N:$N, 'Supplier Wise Yearly'!$B$2)</f>
        <v>0</v>
      </c>
      <c r="K60" s="39">
        <f>SUMIFS('&lt;&lt; Working &gt;&gt;'!$J:$J, '&lt;&lt; Working &gt;&gt;'!$D:$D, 'Supplier Wise Yearly'!$B$1, '&lt;&lt; Working &gt;&gt;'!$R:$R, 'Supplier Wise Yearly'!K$6, '&lt;&lt; Working &gt;&gt;'!$L:$L, 'Supplier Wise Yearly'!$B60, '&lt;&lt; Working &gt;&gt;'!$N:$N, 'Supplier Wise Yearly'!$B$2)</f>
        <v>0</v>
      </c>
      <c r="L60" s="39">
        <f>SUMIFS('&lt;&lt; Working &gt;&gt;'!$J:$J, '&lt;&lt; Working &gt;&gt;'!$D:$D, 'Supplier Wise Yearly'!$B$1, '&lt;&lt; Working &gt;&gt;'!$R:$R, 'Supplier Wise Yearly'!L$6, '&lt;&lt; Working &gt;&gt;'!$L:$L, 'Supplier Wise Yearly'!$B60, '&lt;&lt; Working &gt;&gt;'!$N:$N, 'Supplier Wise Yearly'!$B$2)</f>
        <v>0</v>
      </c>
      <c r="M60" s="39">
        <f>SUMIFS('&lt;&lt; Working &gt;&gt;'!$J:$J, '&lt;&lt; Working &gt;&gt;'!$D:$D, 'Supplier Wise Yearly'!$B$1, '&lt;&lt; Working &gt;&gt;'!$R:$R, 'Supplier Wise Yearly'!M$6, '&lt;&lt; Working &gt;&gt;'!$L:$L, 'Supplier Wise Yearly'!$B60, '&lt;&lt; Working &gt;&gt;'!$N:$N, 'Supplier Wise Yearly'!$B$2)</f>
        <v>0</v>
      </c>
      <c r="N60" s="39">
        <f>SUMIFS('&lt;&lt; Working &gt;&gt;'!$J:$J, '&lt;&lt; Working &gt;&gt;'!$D:$D, 'Supplier Wise Yearly'!$B$1, '&lt;&lt; Working &gt;&gt;'!$R:$R, 'Supplier Wise Yearly'!N$6, '&lt;&lt; Working &gt;&gt;'!$L:$L, 'Supplier Wise Yearly'!$B60, '&lt;&lt; Working &gt;&gt;'!$N:$N, 'Supplier Wise Yearly'!$B$2)</f>
        <v>0</v>
      </c>
      <c r="O60" s="39">
        <f t="shared" si="2"/>
        <v>0</v>
      </c>
      <c r="Q60" t="str">
        <f t="shared" si="3"/>
        <v>No</v>
      </c>
    </row>
    <row r="61" spans="1:17" hidden="1" x14ac:dyDescent="0.3">
      <c r="A61" s="21" t="str">
        <f>VLOOKUP(B61, 'Items Master'!E:F,2,0)</f>
        <v>Domestic</v>
      </c>
      <c r="B61" s="21" t="s">
        <v>1283</v>
      </c>
      <c r="C61" s="39">
        <f>SUMIFS('&lt;&lt; Working &gt;&gt;'!$J:$J, '&lt;&lt; Working &gt;&gt;'!$D:$D, 'Supplier Wise Yearly'!$B$1, '&lt;&lt; Working &gt;&gt;'!$R:$R, 'Supplier Wise Yearly'!C$6, '&lt;&lt; Working &gt;&gt;'!$L:$L, 'Supplier Wise Yearly'!$B61, '&lt;&lt; Working &gt;&gt;'!$N:$N, 'Supplier Wise Yearly'!$B$2)</f>
        <v>0</v>
      </c>
      <c r="D61" s="39">
        <f>SUMIFS('&lt;&lt; Working &gt;&gt;'!$J:$J, '&lt;&lt; Working &gt;&gt;'!$D:$D, 'Supplier Wise Yearly'!$B$1, '&lt;&lt; Working &gt;&gt;'!$R:$R, 'Supplier Wise Yearly'!D$6, '&lt;&lt; Working &gt;&gt;'!$L:$L, 'Supplier Wise Yearly'!$B61, '&lt;&lt; Working &gt;&gt;'!$N:$N, 'Supplier Wise Yearly'!$B$2)</f>
        <v>0</v>
      </c>
      <c r="E61" s="39">
        <f>SUMIFS('&lt;&lt; Working &gt;&gt;'!$J:$J, '&lt;&lt; Working &gt;&gt;'!$D:$D, 'Supplier Wise Yearly'!$B$1, '&lt;&lt; Working &gt;&gt;'!$R:$R, 'Supplier Wise Yearly'!E$6, '&lt;&lt; Working &gt;&gt;'!$L:$L, 'Supplier Wise Yearly'!$B61, '&lt;&lt; Working &gt;&gt;'!$N:$N, 'Supplier Wise Yearly'!$B$2)</f>
        <v>0</v>
      </c>
      <c r="F61" s="39">
        <f>SUMIFS('&lt;&lt; Working &gt;&gt;'!$J:$J, '&lt;&lt; Working &gt;&gt;'!$D:$D, 'Supplier Wise Yearly'!$B$1, '&lt;&lt; Working &gt;&gt;'!$R:$R, 'Supplier Wise Yearly'!F$6, '&lt;&lt; Working &gt;&gt;'!$L:$L, 'Supplier Wise Yearly'!$B61, '&lt;&lt; Working &gt;&gt;'!$N:$N, 'Supplier Wise Yearly'!$B$2)</f>
        <v>0</v>
      </c>
      <c r="G61" s="39">
        <f>SUMIFS('&lt;&lt; Working &gt;&gt;'!$J:$J, '&lt;&lt; Working &gt;&gt;'!$D:$D, 'Supplier Wise Yearly'!$B$1, '&lt;&lt; Working &gt;&gt;'!$R:$R, 'Supplier Wise Yearly'!G$6, '&lt;&lt; Working &gt;&gt;'!$L:$L, 'Supplier Wise Yearly'!$B61, '&lt;&lt; Working &gt;&gt;'!$N:$N, 'Supplier Wise Yearly'!$B$2)</f>
        <v>0</v>
      </c>
      <c r="H61" s="39">
        <f>SUMIFS('&lt;&lt; Working &gt;&gt;'!$J:$J, '&lt;&lt; Working &gt;&gt;'!$D:$D, 'Supplier Wise Yearly'!$B$1, '&lt;&lt; Working &gt;&gt;'!$R:$R, 'Supplier Wise Yearly'!H$6, '&lt;&lt; Working &gt;&gt;'!$L:$L, 'Supplier Wise Yearly'!$B61, '&lt;&lt; Working &gt;&gt;'!$N:$N, 'Supplier Wise Yearly'!$B$2)</f>
        <v>0</v>
      </c>
      <c r="I61" s="39">
        <f>SUMIFS('&lt;&lt; Working &gt;&gt;'!$J:$J, '&lt;&lt; Working &gt;&gt;'!$D:$D, 'Supplier Wise Yearly'!$B$1, '&lt;&lt; Working &gt;&gt;'!$R:$R, 'Supplier Wise Yearly'!I$6, '&lt;&lt; Working &gt;&gt;'!$L:$L, 'Supplier Wise Yearly'!$B61, '&lt;&lt; Working &gt;&gt;'!$N:$N, 'Supplier Wise Yearly'!$B$2)</f>
        <v>0</v>
      </c>
      <c r="J61" s="39">
        <f>SUMIFS('&lt;&lt; Working &gt;&gt;'!$J:$J, '&lt;&lt; Working &gt;&gt;'!$D:$D, 'Supplier Wise Yearly'!$B$1, '&lt;&lt; Working &gt;&gt;'!$R:$R, 'Supplier Wise Yearly'!J$6, '&lt;&lt; Working &gt;&gt;'!$L:$L, 'Supplier Wise Yearly'!$B61, '&lt;&lt; Working &gt;&gt;'!$N:$N, 'Supplier Wise Yearly'!$B$2)</f>
        <v>0</v>
      </c>
      <c r="K61" s="39">
        <f>SUMIFS('&lt;&lt; Working &gt;&gt;'!$J:$J, '&lt;&lt; Working &gt;&gt;'!$D:$D, 'Supplier Wise Yearly'!$B$1, '&lt;&lt; Working &gt;&gt;'!$R:$R, 'Supplier Wise Yearly'!K$6, '&lt;&lt; Working &gt;&gt;'!$L:$L, 'Supplier Wise Yearly'!$B61, '&lt;&lt; Working &gt;&gt;'!$N:$N, 'Supplier Wise Yearly'!$B$2)</f>
        <v>0</v>
      </c>
      <c r="L61" s="39">
        <f>SUMIFS('&lt;&lt; Working &gt;&gt;'!$J:$J, '&lt;&lt; Working &gt;&gt;'!$D:$D, 'Supplier Wise Yearly'!$B$1, '&lt;&lt; Working &gt;&gt;'!$R:$R, 'Supplier Wise Yearly'!L$6, '&lt;&lt; Working &gt;&gt;'!$L:$L, 'Supplier Wise Yearly'!$B61, '&lt;&lt; Working &gt;&gt;'!$N:$N, 'Supplier Wise Yearly'!$B$2)</f>
        <v>0</v>
      </c>
      <c r="M61" s="39">
        <f>SUMIFS('&lt;&lt; Working &gt;&gt;'!$J:$J, '&lt;&lt; Working &gt;&gt;'!$D:$D, 'Supplier Wise Yearly'!$B$1, '&lt;&lt; Working &gt;&gt;'!$R:$R, 'Supplier Wise Yearly'!M$6, '&lt;&lt; Working &gt;&gt;'!$L:$L, 'Supplier Wise Yearly'!$B61, '&lt;&lt; Working &gt;&gt;'!$N:$N, 'Supplier Wise Yearly'!$B$2)</f>
        <v>0</v>
      </c>
      <c r="N61" s="39">
        <f>SUMIFS('&lt;&lt; Working &gt;&gt;'!$J:$J, '&lt;&lt; Working &gt;&gt;'!$D:$D, 'Supplier Wise Yearly'!$B$1, '&lt;&lt; Working &gt;&gt;'!$R:$R, 'Supplier Wise Yearly'!N$6, '&lt;&lt; Working &gt;&gt;'!$L:$L, 'Supplier Wise Yearly'!$B61, '&lt;&lt; Working &gt;&gt;'!$N:$N, 'Supplier Wise Yearly'!$B$2)</f>
        <v>0</v>
      </c>
      <c r="O61" s="39">
        <f t="shared" si="2"/>
        <v>0</v>
      </c>
      <c r="Q61" t="str">
        <f t="shared" si="3"/>
        <v>No</v>
      </c>
    </row>
    <row r="62" spans="1:17" hidden="1" x14ac:dyDescent="0.3">
      <c r="A62" s="21" t="str">
        <f>VLOOKUP(B62, 'Items Master'!E:F,2,0)</f>
        <v>Import</v>
      </c>
      <c r="B62" s="21" t="s">
        <v>1285</v>
      </c>
      <c r="C62" s="39">
        <f>SUMIFS('&lt;&lt; Working &gt;&gt;'!$J:$J, '&lt;&lt; Working &gt;&gt;'!$D:$D, 'Supplier Wise Yearly'!$B$1, '&lt;&lt; Working &gt;&gt;'!$R:$R, 'Supplier Wise Yearly'!C$6, '&lt;&lt; Working &gt;&gt;'!$L:$L, 'Supplier Wise Yearly'!$B62, '&lt;&lt; Working &gt;&gt;'!$N:$N, 'Supplier Wise Yearly'!$B$2)</f>
        <v>0</v>
      </c>
      <c r="D62" s="39">
        <f>SUMIFS('&lt;&lt; Working &gt;&gt;'!$J:$J, '&lt;&lt; Working &gt;&gt;'!$D:$D, 'Supplier Wise Yearly'!$B$1, '&lt;&lt; Working &gt;&gt;'!$R:$R, 'Supplier Wise Yearly'!D$6, '&lt;&lt; Working &gt;&gt;'!$L:$L, 'Supplier Wise Yearly'!$B62, '&lt;&lt; Working &gt;&gt;'!$N:$N, 'Supplier Wise Yearly'!$B$2)</f>
        <v>0</v>
      </c>
      <c r="E62" s="39">
        <f>SUMIFS('&lt;&lt; Working &gt;&gt;'!$J:$J, '&lt;&lt; Working &gt;&gt;'!$D:$D, 'Supplier Wise Yearly'!$B$1, '&lt;&lt; Working &gt;&gt;'!$R:$R, 'Supplier Wise Yearly'!E$6, '&lt;&lt; Working &gt;&gt;'!$L:$L, 'Supplier Wise Yearly'!$B62, '&lt;&lt; Working &gt;&gt;'!$N:$N, 'Supplier Wise Yearly'!$B$2)</f>
        <v>0</v>
      </c>
      <c r="F62" s="39">
        <f>SUMIFS('&lt;&lt; Working &gt;&gt;'!$J:$J, '&lt;&lt; Working &gt;&gt;'!$D:$D, 'Supplier Wise Yearly'!$B$1, '&lt;&lt; Working &gt;&gt;'!$R:$R, 'Supplier Wise Yearly'!F$6, '&lt;&lt; Working &gt;&gt;'!$L:$L, 'Supplier Wise Yearly'!$B62, '&lt;&lt; Working &gt;&gt;'!$N:$N, 'Supplier Wise Yearly'!$B$2)</f>
        <v>0</v>
      </c>
      <c r="G62" s="39">
        <f>SUMIFS('&lt;&lt; Working &gt;&gt;'!$J:$J, '&lt;&lt; Working &gt;&gt;'!$D:$D, 'Supplier Wise Yearly'!$B$1, '&lt;&lt; Working &gt;&gt;'!$R:$R, 'Supplier Wise Yearly'!G$6, '&lt;&lt; Working &gt;&gt;'!$L:$L, 'Supplier Wise Yearly'!$B62, '&lt;&lt; Working &gt;&gt;'!$N:$N, 'Supplier Wise Yearly'!$B$2)</f>
        <v>0</v>
      </c>
      <c r="H62" s="39">
        <f>SUMIFS('&lt;&lt; Working &gt;&gt;'!$J:$J, '&lt;&lt; Working &gt;&gt;'!$D:$D, 'Supplier Wise Yearly'!$B$1, '&lt;&lt; Working &gt;&gt;'!$R:$R, 'Supplier Wise Yearly'!H$6, '&lt;&lt; Working &gt;&gt;'!$L:$L, 'Supplier Wise Yearly'!$B62, '&lt;&lt; Working &gt;&gt;'!$N:$N, 'Supplier Wise Yearly'!$B$2)</f>
        <v>0</v>
      </c>
      <c r="I62" s="39">
        <f>SUMIFS('&lt;&lt; Working &gt;&gt;'!$J:$J, '&lt;&lt; Working &gt;&gt;'!$D:$D, 'Supplier Wise Yearly'!$B$1, '&lt;&lt; Working &gt;&gt;'!$R:$R, 'Supplier Wise Yearly'!I$6, '&lt;&lt; Working &gt;&gt;'!$L:$L, 'Supplier Wise Yearly'!$B62, '&lt;&lt; Working &gt;&gt;'!$N:$N, 'Supplier Wise Yearly'!$B$2)</f>
        <v>0</v>
      </c>
      <c r="J62" s="39">
        <f>SUMIFS('&lt;&lt; Working &gt;&gt;'!$J:$J, '&lt;&lt; Working &gt;&gt;'!$D:$D, 'Supplier Wise Yearly'!$B$1, '&lt;&lt; Working &gt;&gt;'!$R:$R, 'Supplier Wise Yearly'!J$6, '&lt;&lt; Working &gt;&gt;'!$L:$L, 'Supplier Wise Yearly'!$B62, '&lt;&lt; Working &gt;&gt;'!$N:$N, 'Supplier Wise Yearly'!$B$2)</f>
        <v>0</v>
      </c>
      <c r="K62" s="39">
        <f>SUMIFS('&lt;&lt; Working &gt;&gt;'!$J:$J, '&lt;&lt; Working &gt;&gt;'!$D:$D, 'Supplier Wise Yearly'!$B$1, '&lt;&lt; Working &gt;&gt;'!$R:$R, 'Supplier Wise Yearly'!K$6, '&lt;&lt; Working &gt;&gt;'!$L:$L, 'Supplier Wise Yearly'!$B62, '&lt;&lt; Working &gt;&gt;'!$N:$N, 'Supplier Wise Yearly'!$B$2)</f>
        <v>0</v>
      </c>
      <c r="L62" s="39">
        <f>SUMIFS('&lt;&lt; Working &gt;&gt;'!$J:$J, '&lt;&lt; Working &gt;&gt;'!$D:$D, 'Supplier Wise Yearly'!$B$1, '&lt;&lt; Working &gt;&gt;'!$R:$R, 'Supplier Wise Yearly'!L$6, '&lt;&lt; Working &gt;&gt;'!$L:$L, 'Supplier Wise Yearly'!$B62, '&lt;&lt; Working &gt;&gt;'!$N:$N, 'Supplier Wise Yearly'!$B$2)</f>
        <v>0</v>
      </c>
      <c r="M62" s="39">
        <f>SUMIFS('&lt;&lt; Working &gt;&gt;'!$J:$J, '&lt;&lt; Working &gt;&gt;'!$D:$D, 'Supplier Wise Yearly'!$B$1, '&lt;&lt; Working &gt;&gt;'!$R:$R, 'Supplier Wise Yearly'!M$6, '&lt;&lt; Working &gt;&gt;'!$L:$L, 'Supplier Wise Yearly'!$B62, '&lt;&lt; Working &gt;&gt;'!$N:$N, 'Supplier Wise Yearly'!$B$2)</f>
        <v>0</v>
      </c>
      <c r="N62" s="39">
        <f>SUMIFS('&lt;&lt; Working &gt;&gt;'!$J:$J, '&lt;&lt; Working &gt;&gt;'!$D:$D, 'Supplier Wise Yearly'!$B$1, '&lt;&lt; Working &gt;&gt;'!$R:$R, 'Supplier Wise Yearly'!N$6, '&lt;&lt; Working &gt;&gt;'!$L:$L, 'Supplier Wise Yearly'!$B62, '&lt;&lt; Working &gt;&gt;'!$N:$N, 'Supplier Wise Yearly'!$B$2)</f>
        <v>0</v>
      </c>
      <c r="O62" s="39">
        <f t="shared" si="2"/>
        <v>0</v>
      </c>
      <c r="Q62" t="str">
        <f t="shared" si="3"/>
        <v>No</v>
      </c>
    </row>
    <row r="63" spans="1:17" hidden="1" x14ac:dyDescent="0.3">
      <c r="A63" s="21" t="str">
        <f>VLOOKUP(B63, 'Items Master'!E:F,2,0)</f>
        <v>Import</v>
      </c>
      <c r="B63" s="21" t="s">
        <v>1286</v>
      </c>
      <c r="C63" s="39">
        <f>SUMIFS('&lt;&lt; Working &gt;&gt;'!$J:$J, '&lt;&lt; Working &gt;&gt;'!$D:$D, 'Supplier Wise Yearly'!$B$1, '&lt;&lt; Working &gt;&gt;'!$R:$R, 'Supplier Wise Yearly'!C$6, '&lt;&lt; Working &gt;&gt;'!$L:$L, 'Supplier Wise Yearly'!$B63, '&lt;&lt; Working &gt;&gt;'!$N:$N, 'Supplier Wise Yearly'!$B$2)</f>
        <v>0</v>
      </c>
      <c r="D63" s="39">
        <f>SUMIFS('&lt;&lt; Working &gt;&gt;'!$J:$J, '&lt;&lt; Working &gt;&gt;'!$D:$D, 'Supplier Wise Yearly'!$B$1, '&lt;&lt; Working &gt;&gt;'!$R:$R, 'Supplier Wise Yearly'!D$6, '&lt;&lt; Working &gt;&gt;'!$L:$L, 'Supplier Wise Yearly'!$B63, '&lt;&lt; Working &gt;&gt;'!$N:$N, 'Supplier Wise Yearly'!$B$2)</f>
        <v>0</v>
      </c>
      <c r="E63" s="39">
        <f>SUMIFS('&lt;&lt; Working &gt;&gt;'!$J:$J, '&lt;&lt; Working &gt;&gt;'!$D:$D, 'Supplier Wise Yearly'!$B$1, '&lt;&lt; Working &gt;&gt;'!$R:$R, 'Supplier Wise Yearly'!E$6, '&lt;&lt; Working &gt;&gt;'!$L:$L, 'Supplier Wise Yearly'!$B63, '&lt;&lt; Working &gt;&gt;'!$N:$N, 'Supplier Wise Yearly'!$B$2)</f>
        <v>0</v>
      </c>
      <c r="F63" s="39">
        <f>SUMIFS('&lt;&lt; Working &gt;&gt;'!$J:$J, '&lt;&lt; Working &gt;&gt;'!$D:$D, 'Supplier Wise Yearly'!$B$1, '&lt;&lt; Working &gt;&gt;'!$R:$R, 'Supplier Wise Yearly'!F$6, '&lt;&lt; Working &gt;&gt;'!$L:$L, 'Supplier Wise Yearly'!$B63, '&lt;&lt; Working &gt;&gt;'!$N:$N, 'Supplier Wise Yearly'!$B$2)</f>
        <v>0</v>
      </c>
      <c r="G63" s="39">
        <f>SUMIFS('&lt;&lt; Working &gt;&gt;'!$J:$J, '&lt;&lt; Working &gt;&gt;'!$D:$D, 'Supplier Wise Yearly'!$B$1, '&lt;&lt; Working &gt;&gt;'!$R:$R, 'Supplier Wise Yearly'!G$6, '&lt;&lt; Working &gt;&gt;'!$L:$L, 'Supplier Wise Yearly'!$B63, '&lt;&lt; Working &gt;&gt;'!$N:$N, 'Supplier Wise Yearly'!$B$2)</f>
        <v>0</v>
      </c>
      <c r="H63" s="39">
        <f>SUMIFS('&lt;&lt; Working &gt;&gt;'!$J:$J, '&lt;&lt; Working &gt;&gt;'!$D:$D, 'Supplier Wise Yearly'!$B$1, '&lt;&lt; Working &gt;&gt;'!$R:$R, 'Supplier Wise Yearly'!H$6, '&lt;&lt; Working &gt;&gt;'!$L:$L, 'Supplier Wise Yearly'!$B63, '&lt;&lt; Working &gt;&gt;'!$N:$N, 'Supplier Wise Yearly'!$B$2)</f>
        <v>0</v>
      </c>
      <c r="I63" s="39">
        <f>SUMIFS('&lt;&lt; Working &gt;&gt;'!$J:$J, '&lt;&lt; Working &gt;&gt;'!$D:$D, 'Supplier Wise Yearly'!$B$1, '&lt;&lt; Working &gt;&gt;'!$R:$R, 'Supplier Wise Yearly'!I$6, '&lt;&lt; Working &gt;&gt;'!$L:$L, 'Supplier Wise Yearly'!$B63, '&lt;&lt; Working &gt;&gt;'!$N:$N, 'Supplier Wise Yearly'!$B$2)</f>
        <v>0</v>
      </c>
      <c r="J63" s="39">
        <f>SUMIFS('&lt;&lt; Working &gt;&gt;'!$J:$J, '&lt;&lt; Working &gt;&gt;'!$D:$D, 'Supplier Wise Yearly'!$B$1, '&lt;&lt; Working &gt;&gt;'!$R:$R, 'Supplier Wise Yearly'!J$6, '&lt;&lt; Working &gt;&gt;'!$L:$L, 'Supplier Wise Yearly'!$B63, '&lt;&lt; Working &gt;&gt;'!$N:$N, 'Supplier Wise Yearly'!$B$2)</f>
        <v>0</v>
      </c>
      <c r="K63" s="39">
        <f>SUMIFS('&lt;&lt; Working &gt;&gt;'!$J:$J, '&lt;&lt; Working &gt;&gt;'!$D:$D, 'Supplier Wise Yearly'!$B$1, '&lt;&lt; Working &gt;&gt;'!$R:$R, 'Supplier Wise Yearly'!K$6, '&lt;&lt; Working &gt;&gt;'!$L:$L, 'Supplier Wise Yearly'!$B63, '&lt;&lt; Working &gt;&gt;'!$N:$N, 'Supplier Wise Yearly'!$B$2)</f>
        <v>0</v>
      </c>
      <c r="L63" s="39">
        <f>SUMIFS('&lt;&lt; Working &gt;&gt;'!$J:$J, '&lt;&lt; Working &gt;&gt;'!$D:$D, 'Supplier Wise Yearly'!$B$1, '&lt;&lt; Working &gt;&gt;'!$R:$R, 'Supplier Wise Yearly'!L$6, '&lt;&lt; Working &gt;&gt;'!$L:$L, 'Supplier Wise Yearly'!$B63, '&lt;&lt; Working &gt;&gt;'!$N:$N, 'Supplier Wise Yearly'!$B$2)</f>
        <v>0</v>
      </c>
      <c r="M63" s="39">
        <f>SUMIFS('&lt;&lt; Working &gt;&gt;'!$J:$J, '&lt;&lt; Working &gt;&gt;'!$D:$D, 'Supplier Wise Yearly'!$B$1, '&lt;&lt; Working &gt;&gt;'!$R:$R, 'Supplier Wise Yearly'!M$6, '&lt;&lt; Working &gt;&gt;'!$L:$L, 'Supplier Wise Yearly'!$B63, '&lt;&lt; Working &gt;&gt;'!$N:$N, 'Supplier Wise Yearly'!$B$2)</f>
        <v>0</v>
      </c>
      <c r="N63" s="39">
        <f>SUMIFS('&lt;&lt; Working &gt;&gt;'!$J:$J, '&lt;&lt; Working &gt;&gt;'!$D:$D, 'Supplier Wise Yearly'!$B$1, '&lt;&lt; Working &gt;&gt;'!$R:$R, 'Supplier Wise Yearly'!N$6, '&lt;&lt; Working &gt;&gt;'!$L:$L, 'Supplier Wise Yearly'!$B63, '&lt;&lt; Working &gt;&gt;'!$N:$N, 'Supplier Wise Yearly'!$B$2)</f>
        <v>0</v>
      </c>
      <c r="O63" s="39">
        <f t="shared" si="2"/>
        <v>0</v>
      </c>
      <c r="Q63" t="str">
        <f t="shared" si="3"/>
        <v>No</v>
      </c>
    </row>
    <row r="64" spans="1:17" hidden="1" x14ac:dyDescent="0.3">
      <c r="A64" s="21" t="str">
        <f>VLOOKUP(B64, 'Items Master'!E:F,2,0)</f>
        <v>Import</v>
      </c>
      <c r="B64" s="21" t="s">
        <v>1287</v>
      </c>
      <c r="C64" s="39">
        <f>SUMIFS('&lt;&lt; Working &gt;&gt;'!$J:$J, '&lt;&lt; Working &gt;&gt;'!$D:$D, 'Supplier Wise Yearly'!$B$1, '&lt;&lt; Working &gt;&gt;'!$R:$R, 'Supplier Wise Yearly'!C$6, '&lt;&lt; Working &gt;&gt;'!$L:$L, 'Supplier Wise Yearly'!$B64, '&lt;&lt; Working &gt;&gt;'!$N:$N, 'Supplier Wise Yearly'!$B$2)</f>
        <v>0</v>
      </c>
      <c r="D64" s="39">
        <f>SUMIFS('&lt;&lt; Working &gt;&gt;'!$J:$J, '&lt;&lt; Working &gt;&gt;'!$D:$D, 'Supplier Wise Yearly'!$B$1, '&lt;&lt; Working &gt;&gt;'!$R:$R, 'Supplier Wise Yearly'!D$6, '&lt;&lt; Working &gt;&gt;'!$L:$L, 'Supplier Wise Yearly'!$B64, '&lt;&lt; Working &gt;&gt;'!$N:$N, 'Supplier Wise Yearly'!$B$2)</f>
        <v>0</v>
      </c>
      <c r="E64" s="39">
        <f>SUMIFS('&lt;&lt; Working &gt;&gt;'!$J:$J, '&lt;&lt; Working &gt;&gt;'!$D:$D, 'Supplier Wise Yearly'!$B$1, '&lt;&lt; Working &gt;&gt;'!$R:$R, 'Supplier Wise Yearly'!E$6, '&lt;&lt; Working &gt;&gt;'!$L:$L, 'Supplier Wise Yearly'!$B64, '&lt;&lt; Working &gt;&gt;'!$N:$N, 'Supplier Wise Yearly'!$B$2)</f>
        <v>0</v>
      </c>
      <c r="F64" s="39">
        <f>SUMIFS('&lt;&lt; Working &gt;&gt;'!$J:$J, '&lt;&lt; Working &gt;&gt;'!$D:$D, 'Supplier Wise Yearly'!$B$1, '&lt;&lt; Working &gt;&gt;'!$R:$R, 'Supplier Wise Yearly'!F$6, '&lt;&lt; Working &gt;&gt;'!$L:$L, 'Supplier Wise Yearly'!$B64, '&lt;&lt; Working &gt;&gt;'!$N:$N, 'Supplier Wise Yearly'!$B$2)</f>
        <v>0</v>
      </c>
      <c r="G64" s="39">
        <f>SUMIFS('&lt;&lt; Working &gt;&gt;'!$J:$J, '&lt;&lt; Working &gt;&gt;'!$D:$D, 'Supplier Wise Yearly'!$B$1, '&lt;&lt; Working &gt;&gt;'!$R:$R, 'Supplier Wise Yearly'!G$6, '&lt;&lt; Working &gt;&gt;'!$L:$L, 'Supplier Wise Yearly'!$B64, '&lt;&lt; Working &gt;&gt;'!$N:$N, 'Supplier Wise Yearly'!$B$2)</f>
        <v>0</v>
      </c>
      <c r="H64" s="39">
        <f>SUMIFS('&lt;&lt; Working &gt;&gt;'!$J:$J, '&lt;&lt; Working &gt;&gt;'!$D:$D, 'Supplier Wise Yearly'!$B$1, '&lt;&lt; Working &gt;&gt;'!$R:$R, 'Supplier Wise Yearly'!H$6, '&lt;&lt; Working &gt;&gt;'!$L:$L, 'Supplier Wise Yearly'!$B64, '&lt;&lt; Working &gt;&gt;'!$N:$N, 'Supplier Wise Yearly'!$B$2)</f>
        <v>0</v>
      </c>
      <c r="I64" s="39">
        <f>SUMIFS('&lt;&lt; Working &gt;&gt;'!$J:$J, '&lt;&lt; Working &gt;&gt;'!$D:$D, 'Supplier Wise Yearly'!$B$1, '&lt;&lt; Working &gt;&gt;'!$R:$R, 'Supplier Wise Yearly'!I$6, '&lt;&lt; Working &gt;&gt;'!$L:$L, 'Supplier Wise Yearly'!$B64, '&lt;&lt; Working &gt;&gt;'!$N:$N, 'Supplier Wise Yearly'!$B$2)</f>
        <v>0</v>
      </c>
      <c r="J64" s="39">
        <f>SUMIFS('&lt;&lt; Working &gt;&gt;'!$J:$J, '&lt;&lt; Working &gt;&gt;'!$D:$D, 'Supplier Wise Yearly'!$B$1, '&lt;&lt; Working &gt;&gt;'!$R:$R, 'Supplier Wise Yearly'!J$6, '&lt;&lt; Working &gt;&gt;'!$L:$L, 'Supplier Wise Yearly'!$B64, '&lt;&lt; Working &gt;&gt;'!$N:$N, 'Supplier Wise Yearly'!$B$2)</f>
        <v>0</v>
      </c>
      <c r="K64" s="39">
        <f>SUMIFS('&lt;&lt; Working &gt;&gt;'!$J:$J, '&lt;&lt; Working &gt;&gt;'!$D:$D, 'Supplier Wise Yearly'!$B$1, '&lt;&lt; Working &gt;&gt;'!$R:$R, 'Supplier Wise Yearly'!K$6, '&lt;&lt; Working &gt;&gt;'!$L:$L, 'Supplier Wise Yearly'!$B64, '&lt;&lt; Working &gt;&gt;'!$N:$N, 'Supplier Wise Yearly'!$B$2)</f>
        <v>0</v>
      </c>
      <c r="L64" s="39">
        <f>SUMIFS('&lt;&lt; Working &gt;&gt;'!$J:$J, '&lt;&lt; Working &gt;&gt;'!$D:$D, 'Supplier Wise Yearly'!$B$1, '&lt;&lt; Working &gt;&gt;'!$R:$R, 'Supplier Wise Yearly'!L$6, '&lt;&lt; Working &gt;&gt;'!$L:$L, 'Supplier Wise Yearly'!$B64, '&lt;&lt; Working &gt;&gt;'!$N:$N, 'Supplier Wise Yearly'!$B$2)</f>
        <v>0</v>
      </c>
      <c r="M64" s="39">
        <f>SUMIFS('&lt;&lt; Working &gt;&gt;'!$J:$J, '&lt;&lt; Working &gt;&gt;'!$D:$D, 'Supplier Wise Yearly'!$B$1, '&lt;&lt; Working &gt;&gt;'!$R:$R, 'Supplier Wise Yearly'!M$6, '&lt;&lt; Working &gt;&gt;'!$L:$L, 'Supplier Wise Yearly'!$B64, '&lt;&lt; Working &gt;&gt;'!$N:$N, 'Supplier Wise Yearly'!$B$2)</f>
        <v>0</v>
      </c>
      <c r="N64" s="39">
        <f>SUMIFS('&lt;&lt; Working &gt;&gt;'!$J:$J, '&lt;&lt; Working &gt;&gt;'!$D:$D, 'Supplier Wise Yearly'!$B$1, '&lt;&lt; Working &gt;&gt;'!$R:$R, 'Supplier Wise Yearly'!N$6, '&lt;&lt; Working &gt;&gt;'!$L:$L, 'Supplier Wise Yearly'!$B64, '&lt;&lt; Working &gt;&gt;'!$N:$N, 'Supplier Wise Yearly'!$B$2)</f>
        <v>0</v>
      </c>
      <c r="O64" s="39">
        <f t="shared" si="2"/>
        <v>0</v>
      </c>
      <c r="Q64" t="str">
        <f t="shared" si="3"/>
        <v>No</v>
      </c>
    </row>
    <row r="65" spans="1:17" hidden="1" x14ac:dyDescent="0.3">
      <c r="A65" s="21" t="str">
        <f>VLOOKUP(B65, 'Items Master'!E:F,2,0)</f>
        <v>Import</v>
      </c>
      <c r="B65" s="21" t="s">
        <v>1288</v>
      </c>
      <c r="C65" s="39">
        <f>SUMIFS('&lt;&lt; Working &gt;&gt;'!$J:$J, '&lt;&lt; Working &gt;&gt;'!$D:$D, 'Supplier Wise Yearly'!$B$1, '&lt;&lt; Working &gt;&gt;'!$R:$R, 'Supplier Wise Yearly'!C$6, '&lt;&lt; Working &gt;&gt;'!$L:$L, 'Supplier Wise Yearly'!$B65, '&lt;&lt; Working &gt;&gt;'!$N:$N, 'Supplier Wise Yearly'!$B$2)</f>
        <v>0</v>
      </c>
      <c r="D65" s="39">
        <f>SUMIFS('&lt;&lt; Working &gt;&gt;'!$J:$J, '&lt;&lt; Working &gt;&gt;'!$D:$D, 'Supplier Wise Yearly'!$B$1, '&lt;&lt; Working &gt;&gt;'!$R:$R, 'Supplier Wise Yearly'!D$6, '&lt;&lt; Working &gt;&gt;'!$L:$L, 'Supplier Wise Yearly'!$B65, '&lt;&lt; Working &gt;&gt;'!$N:$N, 'Supplier Wise Yearly'!$B$2)</f>
        <v>0</v>
      </c>
      <c r="E65" s="39">
        <f>SUMIFS('&lt;&lt; Working &gt;&gt;'!$J:$J, '&lt;&lt; Working &gt;&gt;'!$D:$D, 'Supplier Wise Yearly'!$B$1, '&lt;&lt; Working &gt;&gt;'!$R:$R, 'Supplier Wise Yearly'!E$6, '&lt;&lt; Working &gt;&gt;'!$L:$L, 'Supplier Wise Yearly'!$B65, '&lt;&lt; Working &gt;&gt;'!$N:$N, 'Supplier Wise Yearly'!$B$2)</f>
        <v>0</v>
      </c>
      <c r="F65" s="39">
        <f>SUMIFS('&lt;&lt; Working &gt;&gt;'!$J:$J, '&lt;&lt; Working &gt;&gt;'!$D:$D, 'Supplier Wise Yearly'!$B$1, '&lt;&lt; Working &gt;&gt;'!$R:$R, 'Supplier Wise Yearly'!F$6, '&lt;&lt; Working &gt;&gt;'!$L:$L, 'Supplier Wise Yearly'!$B65, '&lt;&lt; Working &gt;&gt;'!$N:$N, 'Supplier Wise Yearly'!$B$2)</f>
        <v>0</v>
      </c>
      <c r="G65" s="39">
        <f>SUMIFS('&lt;&lt; Working &gt;&gt;'!$J:$J, '&lt;&lt; Working &gt;&gt;'!$D:$D, 'Supplier Wise Yearly'!$B$1, '&lt;&lt; Working &gt;&gt;'!$R:$R, 'Supplier Wise Yearly'!G$6, '&lt;&lt; Working &gt;&gt;'!$L:$L, 'Supplier Wise Yearly'!$B65, '&lt;&lt; Working &gt;&gt;'!$N:$N, 'Supplier Wise Yearly'!$B$2)</f>
        <v>0</v>
      </c>
      <c r="H65" s="39">
        <f>SUMIFS('&lt;&lt; Working &gt;&gt;'!$J:$J, '&lt;&lt; Working &gt;&gt;'!$D:$D, 'Supplier Wise Yearly'!$B$1, '&lt;&lt; Working &gt;&gt;'!$R:$R, 'Supplier Wise Yearly'!H$6, '&lt;&lt; Working &gt;&gt;'!$L:$L, 'Supplier Wise Yearly'!$B65, '&lt;&lt; Working &gt;&gt;'!$N:$N, 'Supplier Wise Yearly'!$B$2)</f>
        <v>0</v>
      </c>
      <c r="I65" s="39">
        <f>SUMIFS('&lt;&lt; Working &gt;&gt;'!$J:$J, '&lt;&lt; Working &gt;&gt;'!$D:$D, 'Supplier Wise Yearly'!$B$1, '&lt;&lt; Working &gt;&gt;'!$R:$R, 'Supplier Wise Yearly'!I$6, '&lt;&lt; Working &gt;&gt;'!$L:$L, 'Supplier Wise Yearly'!$B65, '&lt;&lt; Working &gt;&gt;'!$N:$N, 'Supplier Wise Yearly'!$B$2)</f>
        <v>0</v>
      </c>
      <c r="J65" s="39">
        <f>SUMIFS('&lt;&lt; Working &gt;&gt;'!$J:$J, '&lt;&lt; Working &gt;&gt;'!$D:$D, 'Supplier Wise Yearly'!$B$1, '&lt;&lt; Working &gt;&gt;'!$R:$R, 'Supplier Wise Yearly'!J$6, '&lt;&lt; Working &gt;&gt;'!$L:$L, 'Supplier Wise Yearly'!$B65, '&lt;&lt; Working &gt;&gt;'!$N:$N, 'Supplier Wise Yearly'!$B$2)</f>
        <v>0</v>
      </c>
      <c r="K65" s="39">
        <f>SUMIFS('&lt;&lt; Working &gt;&gt;'!$J:$J, '&lt;&lt; Working &gt;&gt;'!$D:$D, 'Supplier Wise Yearly'!$B$1, '&lt;&lt; Working &gt;&gt;'!$R:$R, 'Supplier Wise Yearly'!K$6, '&lt;&lt; Working &gt;&gt;'!$L:$L, 'Supplier Wise Yearly'!$B65, '&lt;&lt; Working &gt;&gt;'!$N:$N, 'Supplier Wise Yearly'!$B$2)</f>
        <v>0</v>
      </c>
      <c r="L65" s="39">
        <f>SUMIFS('&lt;&lt; Working &gt;&gt;'!$J:$J, '&lt;&lt; Working &gt;&gt;'!$D:$D, 'Supplier Wise Yearly'!$B$1, '&lt;&lt; Working &gt;&gt;'!$R:$R, 'Supplier Wise Yearly'!L$6, '&lt;&lt; Working &gt;&gt;'!$L:$L, 'Supplier Wise Yearly'!$B65, '&lt;&lt; Working &gt;&gt;'!$N:$N, 'Supplier Wise Yearly'!$B$2)</f>
        <v>0</v>
      </c>
      <c r="M65" s="39">
        <f>SUMIFS('&lt;&lt; Working &gt;&gt;'!$J:$J, '&lt;&lt; Working &gt;&gt;'!$D:$D, 'Supplier Wise Yearly'!$B$1, '&lt;&lt; Working &gt;&gt;'!$R:$R, 'Supplier Wise Yearly'!M$6, '&lt;&lt; Working &gt;&gt;'!$L:$L, 'Supplier Wise Yearly'!$B65, '&lt;&lt; Working &gt;&gt;'!$N:$N, 'Supplier Wise Yearly'!$B$2)</f>
        <v>0</v>
      </c>
      <c r="N65" s="39">
        <f>SUMIFS('&lt;&lt; Working &gt;&gt;'!$J:$J, '&lt;&lt; Working &gt;&gt;'!$D:$D, 'Supplier Wise Yearly'!$B$1, '&lt;&lt; Working &gt;&gt;'!$R:$R, 'Supplier Wise Yearly'!N$6, '&lt;&lt; Working &gt;&gt;'!$L:$L, 'Supplier Wise Yearly'!$B65, '&lt;&lt; Working &gt;&gt;'!$N:$N, 'Supplier Wise Yearly'!$B$2)</f>
        <v>0</v>
      </c>
      <c r="O65" s="39">
        <f t="shared" si="2"/>
        <v>0</v>
      </c>
      <c r="Q65" t="str">
        <f t="shared" si="3"/>
        <v>No</v>
      </c>
    </row>
    <row r="66" spans="1:17" hidden="1" x14ac:dyDescent="0.3">
      <c r="A66" s="21" t="str">
        <f>VLOOKUP(B66, 'Items Master'!E:F,2,0)</f>
        <v>Import</v>
      </c>
      <c r="B66" s="21" t="s">
        <v>1291</v>
      </c>
      <c r="C66" s="39">
        <f>SUMIFS('&lt;&lt; Working &gt;&gt;'!$J:$J, '&lt;&lt; Working &gt;&gt;'!$D:$D, 'Supplier Wise Yearly'!$B$1, '&lt;&lt; Working &gt;&gt;'!$R:$R, 'Supplier Wise Yearly'!C$6, '&lt;&lt; Working &gt;&gt;'!$L:$L, 'Supplier Wise Yearly'!$B66, '&lt;&lt; Working &gt;&gt;'!$N:$N, 'Supplier Wise Yearly'!$B$2)</f>
        <v>0</v>
      </c>
      <c r="D66" s="39">
        <f>SUMIFS('&lt;&lt; Working &gt;&gt;'!$J:$J, '&lt;&lt; Working &gt;&gt;'!$D:$D, 'Supplier Wise Yearly'!$B$1, '&lt;&lt; Working &gt;&gt;'!$R:$R, 'Supplier Wise Yearly'!D$6, '&lt;&lt; Working &gt;&gt;'!$L:$L, 'Supplier Wise Yearly'!$B66, '&lt;&lt; Working &gt;&gt;'!$N:$N, 'Supplier Wise Yearly'!$B$2)</f>
        <v>0</v>
      </c>
      <c r="E66" s="39">
        <f>SUMIFS('&lt;&lt; Working &gt;&gt;'!$J:$J, '&lt;&lt; Working &gt;&gt;'!$D:$D, 'Supplier Wise Yearly'!$B$1, '&lt;&lt; Working &gt;&gt;'!$R:$R, 'Supplier Wise Yearly'!E$6, '&lt;&lt; Working &gt;&gt;'!$L:$L, 'Supplier Wise Yearly'!$B66, '&lt;&lt; Working &gt;&gt;'!$N:$N, 'Supplier Wise Yearly'!$B$2)</f>
        <v>0</v>
      </c>
      <c r="F66" s="39">
        <f>SUMIFS('&lt;&lt; Working &gt;&gt;'!$J:$J, '&lt;&lt; Working &gt;&gt;'!$D:$D, 'Supplier Wise Yearly'!$B$1, '&lt;&lt; Working &gt;&gt;'!$R:$R, 'Supplier Wise Yearly'!F$6, '&lt;&lt; Working &gt;&gt;'!$L:$L, 'Supplier Wise Yearly'!$B66, '&lt;&lt; Working &gt;&gt;'!$N:$N, 'Supplier Wise Yearly'!$B$2)</f>
        <v>0</v>
      </c>
      <c r="G66" s="39">
        <f>SUMIFS('&lt;&lt; Working &gt;&gt;'!$J:$J, '&lt;&lt; Working &gt;&gt;'!$D:$D, 'Supplier Wise Yearly'!$B$1, '&lt;&lt; Working &gt;&gt;'!$R:$R, 'Supplier Wise Yearly'!G$6, '&lt;&lt; Working &gt;&gt;'!$L:$L, 'Supplier Wise Yearly'!$B66, '&lt;&lt; Working &gt;&gt;'!$N:$N, 'Supplier Wise Yearly'!$B$2)</f>
        <v>0</v>
      </c>
      <c r="H66" s="39">
        <f>SUMIFS('&lt;&lt; Working &gt;&gt;'!$J:$J, '&lt;&lt; Working &gt;&gt;'!$D:$D, 'Supplier Wise Yearly'!$B$1, '&lt;&lt; Working &gt;&gt;'!$R:$R, 'Supplier Wise Yearly'!H$6, '&lt;&lt; Working &gt;&gt;'!$L:$L, 'Supplier Wise Yearly'!$B66, '&lt;&lt; Working &gt;&gt;'!$N:$N, 'Supplier Wise Yearly'!$B$2)</f>
        <v>0</v>
      </c>
      <c r="I66" s="39">
        <f>SUMIFS('&lt;&lt; Working &gt;&gt;'!$J:$J, '&lt;&lt; Working &gt;&gt;'!$D:$D, 'Supplier Wise Yearly'!$B$1, '&lt;&lt; Working &gt;&gt;'!$R:$R, 'Supplier Wise Yearly'!I$6, '&lt;&lt; Working &gt;&gt;'!$L:$L, 'Supplier Wise Yearly'!$B66, '&lt;&lt; Working &gt;&gt;'!$N:$N, 'Supplier Wise Yearly'!$B$2)</f>
        <v>0</v>
      </c>
      <c r="J66" s="39">
        <f>SUMIFS('&lt;&lt; Working &gt;&gt;'!$J:$J, '&lt;&lt; Working &gt;&gt;'!$D:$D, 'Supplier Wise Yearly'!$B$1, '&lt;&lt; Working &gt;&gt;'!$R:$R, 'Supplier Wise Yearly'!J$6, '&lt;&lt; Working &gt;&gt;'!$L:$L, 'Supplier Wise Yearly'!$B66, '&lt;&lt; Working &gt;&gt;'!$N:$N, 'Supplier Wise Yearly'!$B$2)</f>
        <v>0</v>
      </c>
      <c r="K66" s="39">
        <f>SUMIFS('&lt;&lt; Working &gt;&gt;'!$J:$J, '&lt;&lt; Working &gt;&gt;'!$D:$D, 'Supplier Wise Yearly'!$B$1, '&lt;&lt; Working &gt;&gt;'!$R:$R, 'Supplier Wise Yearly'!K$6, '&lt;&lt; Working &gt;&gt;'!$L:$L, 'Supplier Wise Yearly'!$B66, '&lt;&lt; Working &gt;&gt;'!$N:$N, 'Supplier Wise Yearly'!$B$2)</f>
        <v>0</v>
      </c>
      <c r="L66" s="39">
        <f>SUMIFS('&lt;&lt; Working &gt;&gt;'!$J:$J, '&lt;&lt; Working &gt;&gt;'!$D:$D, 'Supplier Wise Yearly'!$B$1, '&lt;&lt; Working &gt;&gt;'!$R:$R, 'Supplier Wise Yearly'!L$6, '&lt;&lt; Working &gt;&gt;'!$L:$L, 'Supplier Wise Yearly'!$B66, '&lt;&lt; Working &gt;&gt;'!$N:$N, 'Supplier Wise Yearly'!$B$2)</f>
        <v>0</v>
      </c>
      <c r="M66" s="39">
        <f>SUMIFS('&lt;&lt; Working &gt;&gt;'!$J:$J, '&lt;&lt; Working &gt;&gt;'!$D:$D, 'Supplier Wise Yearly'!$B$1, '&lt;&lt; Working &gt;&gt;'!$R:$R, 'Supplier Wise Yearly'!M$6, '&lt;&lt; Working &gt;&gt;'!$L:$L, 'Supplier Wise Yearly'!$B66, '&lt;&lt; Working &gt;&gt;'!$N:$N, 'Supplier Wise Yearly'!$B$2)</f>
        <v>0</v>
      </c>
      <c r="N66" s="39">
        <f>SUMIFS('&lt;&lt; Working &gt;&gt;'!$J:$J, '&lt;&lt; Working &gt;&gt;'!$D:$D, 'Supplier Wise Yearly'!$B$1, '&lt;&lt; Working &gt;&gt;'!$R:$R, 'Supplier Wise Yearly'!N$6, '&lt;&lt; Working &gt;&gt;'!$L:$L, 'Supplier Wise Yearly'!$B66, '&lt;&lt; Working &gt;&gt;'!$N:$N, 'Supplier Wise Yearly'!$B$2)</f>
        <v>0</v>
      </c>
      <c r="O66" s="39">
        <f t="shared" si="2"/>
        <v>0</v>
      </c>
      <c r="Q66" t="str">
        <f t="shared" si="3"/>
        <v>No</v>
      </c>
    </row>
  </sheetData>
  <autoFilter ref="A6:Q66" xr:uid="{5F7F700D-FFDF-4EA4-9C9B-FBF4599C2E77}">
    <filterColumn colId="16">
      <filters>
        <filter val="Yes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1C5F17-2CB2-4A58-893C-92ED8BFABCD6}">
          <x14:formula1>
            <xm:f>Dropdown!$A$2:$A$1048576</xm:f>
          </x14:formula1>
          <xm:sqref>B1</xm:sqref>
        </x14:dataValidation>
        <x14:dataValidation type="list" allowBlank="1" showInputMessage="1" showErrorMessage="1" xr:uid="{1D856F1C-ED7D-4974-81A9-2E4E8ABE27E8}">
          <x14:formula1>
            <xm:f>Dropdown!$D$2:$D$4</xm:f>
          </x14:formula1>
          <xm:sqref>B2:B3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6D1D-3FCC-4245-9F8C-7722E96077A0}">
  <dimension ref="A1:M66"/>
  <sheetViews>
    <sheetView workbookViewId="0">
      <selection activeCell="C1" sqref="C1"/>
    </sheetView>
  </sheetViews>
  <sheetFormatPr defaultRowHeight="14.4" x14ac:dyDescent="0.3"/>
  <cols>
    <col min="3" max="3" width="10.77734375" bestFit="1" customWidth="1"/>
    <col min="4" max="4" width="8.77734375" bestFit="1" customWidth="1"/>
    <col min="5" max="5" width="10.21875" bestFit="1" customWidth="1"/>
    <col min="6" max="6" width="10" bestFit="1" customWidth="1"/>
    <col min="7" max="7" width="11" bestFit="1" customWidth="1"/>
    <col min="8" max="8" width="10.109375" bestFit="1" customWidth="1"/>
    <col min="9" max="9" width="8.6640625" bestFit="1" customWidth="1"/>
    <col min="10" max="10" width="8.77734375" bestFit="1" customWidth="1"/>
    <col min="11" max="11" width="8" bestFit="1" customWidth="1"/>
    <col min="12" max="12" width="7.44140625" bestFit="1" customWidth="1"/>
    <col min="13" max="13" width="14.6640625" bestFit="1" customWidth="1"/>
  </cols>
  <sheetData>
    <row r="1" spans="1:13" x14ac:dyDescent="0.3">
      <c r="B1" s="10" t="s">
        <v>1336</v>
      </c>
      <c r="C1" s="7">
        <v>45748</v>
      </c>
    </row>
    <row r="2" spans="1:13" x14ac:dyDescent="0.3">
      <c r="B2" s="10" t="s">
        <v>4</v>
      </c>
      <c r="C2" t="s">
        <v>24</v>
      </c>
    </row>
    <row r="3" spans="1:13" x14ac:dyDescent="0.3">
      <c r="B3" s="10"/>
    </row>
    <row r="4" spans="1:13" x14ac:dyDescent="0.3">
      <c r="B4" s="10"/>
      <c r="D4" s="4">
        <f>SUM(D7:D66)</f>
        <v>17850</v>
      </c>
      <c r="E4" s="4">
        <f t="shared" ref="E4:L4" si="0">SUM(E7:E66)</f>
        <v>8500</v>
      </c>
      <c r="F4" s="4">
        <f t="shared" si="0"/>
        <v>10000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t="s">
        <v>37</v>
      </c>
    </row>
    <row r="5" spans="1:13" x14ac:dyDescent="0.3">
      <c r="D5" s="35">
        <f>SUBTOTAL(9, D7:D66)</f>
        <v>17850</v>
      </c>
      <c r="E5" s="35">
        <f t="shared" ref="E5:L5" si="1">SUBTOTAL(9, E7:E66)</f>
        <v>8500</v>
      </c>
      <c r="F5" s="35">
        <f t="shared" si="1"/>
        <v>10000</v>
      </c>
      <c r="G5" s="35">
        <f t="shared" si="1"/>
        <v>0</v>
      </c>
      <c r="H5" s="35">
        <f t="shared" si="1"/>
        <v>0</v>
      </c>
      <c r="I5" s="35">
        <f t="shared" si="1"/>
        <v>0</v>
      </c>
      <c r="J5" s="35">
        <f t="shared" si="1"/>
        <v>0</v>
      </c>
      <c r="K5" s="35">
        <f t="shared" si="1"/>
        <v>0</v>
      </c>
      <c r="L5" s="35">
        <f t="shared" si="1"/>
        <v>0</v>
      </c>
      <c r="M5" s="10" t="s">
        <v>1333</v>
      </c>
    </row>
    <row r="6" spans="1:13" x14ac:dyDescent="0.3">
      <c r="A6" s="10" t="s">
        <v>1335</v>
      </c>
      <c r="B6" s="23" t="s">
        <v>4</v>
      </c>
      <c r="C6" s="23" t="s">
        <v>2</v>
      </c>
      <c r="D6" s="23" t="s">
        <v>1339</v>
      </c>
      <c r="E6" s="23" t="s">
        <v>1340</v>
      </c>
      <c r="F6" s="23" t="s">
        <v>1345</v>
      </c>
      <c r="G6" s="23" t="s">
        <v>1341</v>
      </c>
      <c r="H6" s="23" t="s">
        <v>1343</v>
      </c>
      <c r="I6" s="23" t="s">
        <v>1342</v>
      </c>
      <c r="J6" s="23" t="s">
        <v>1344</v>
      </c>
      <c r="K6" s="23" t="s">
        <v>1346</v>
      </c>
      <c r="L6" s="23" t="s">
        <v>1347</v>
      </c>
    </row>
    <row r="7" spans="1:13" x14ac:dyDescent="0.3">
      <c r="A7" t="str">
        <f>IF(SUM(D7:L7)&gt;0,"Yes","No")</f>
        <v>No</v>
      </c>
      <c r="B7" s="21" t="str">
        <f>VLOOKUP(C7, 'Items Master'!E:F,2,0)</f>
        <v>Domestic</v>
      </c>
      <c r="C7" s="21" t="s">
        <v>1026</v>
      </c>
      <c r="D7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Monthly'!$C7)</f>
        <v>0</v>
      </c>
      <c r="E7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Monthly'!$C7)</f>
        <v>0</v>
      </c>
      <c r="F7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Monthly'!$C7)</f>
        <v>0</v>
      </c>
      <c r="G7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Monthly'!$C7)</f>
        <v>0</v>
      </c>
      <c r="H7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Monthly'!$C7)</f>
        <v>0</v>
      </c>
      <c r="I7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Monthly'!$C7)</f>
        <v>0</v>
      </c>
      <c r="J7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Monthly'!$C7)</f>
        <v>0</v>
      </c>
      <c r="K7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Monthly'!$C7)</f>
        <v>0</v>
      </c>
      <c r="L7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Monthly'!$C7)</f>
        <v>0</v>
      </c>
    </row>
    <row r="8" spans="1:13" x14ac:dyDescent="0.3">
      <c r="A8" t="str">
        <f t="shared" ref="A8:A66" si="2">IF(SUM(D8:L8)&gt;0,"Yes","No")</f>
        <v>Yes</v>
      </c>
      <c r="B8" s="21" t="str">
        <f>VLOOKUP(C8, 'Items Master'!E:F,2,0)</f>
        <v>Domestic</v>
      </c>
      <c r="C8" s="21" t="s">
        <v>43</v>
      </c>
      <c r="D8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Monthly'!$C8)</f>
        <v>1000</v>
      </c>
      <c r="E8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Monthly'!$C8)</f>
        <v>0</v>
      </c>
      <c r="F8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Monthly'!$C8)</f>
        <v>0</v>
      </c>
      <c r="G8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Monthly'!$C8)</f>
        <v>0</v>
      </c>
      <c r="H8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Monthly'!$C8)</f>
        <v>0</v>
      </c>
      <c r="I8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Monthly'!$C8)</f>
        <v>0</v>
      </c>
      <c r="J8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Monthly'!$C8)</f>
        <v>0</v>
      </c>
      <c r="K8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Monthly'!$C8)</f>
        <v>0</v>
      </c>
      <c r="L8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Monthly'!$C8)</f>
        <v>0</v>
      </c>
    </row>
    <row r="9" spans="1:13" x14ac:dyDescent="0.3">
      <c r="A9" t="str">
        <f t="shared" si="2"/>
        <v>No</v>
      </c>
      <c r="B9" s="21" t="str">
        <f>VLOOKUP(C9, 'Items Master'!E:F,2,0)</f>
        <v>Domestic</v>
      </c>
      <c r="C9" s="21" t="s">
        <v>38</v>
      </c>
      <c r="D9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Monthly'!$C9)</f>
        <v>0</v>
      </c>
      <c r="E9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Monthly'!$C9)</f>
        <v>0</v>
      </c>
      <c r="F9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Monthly'!$C9)</f>
        <v>0</v>
      </c>
      <c r="G9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Monthly'!$C9)</f>
        <v>0</v>
      </c>
      <c r="H9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Monthly'!$C9)</f>
        <v>0</v>
      </c>
      <c r="I9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Monthly'!$C9)</f>
        <v>0</v>
      </c>
      <c r="J9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Monthly'!$C9)</f>
        <v>0</v>
      </c>
      <c r="K9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Monthly'!$C9)</f>
        <v>0</v>
      </c>
      <c r="L9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Monthly'!$C9)</f>
        <v>0</v>
      </c>
    </row>
    <row r="10" spans="1:13" x14ac:dyDescent="0.3">
      <c r="A10" t="str">
        <f t="shared" si="2"/>
        <v>Yes</v>
      </c>
      <c r="B10" s="21" t="str">
        <f>VLOOKUP(C10, 'Items Master'!E:F,2,0)</f>
        <v>Domestic</v>
      </c>
      <c r="C10" s="21" t="s">
        <v>22</v>
      </c>
      <c r="D10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Monthly'!$C10)</f>
        <v>10850</v>
      </c>
      <c r="E10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Monthly'!$C10)</f>
        <v>0</v>
      </c>
      <c r="F10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Monthly'!$C10)</f>
        <v>0</v>
      </c>
      <c r="G10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Monthly'!$C10)</f>
        <v>0</v>
      </c>
      <c r="H10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Monthly'!$C10)</f>
        <v>0</v>
      </c>
      <c r="I10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Monthly'!$C10)</f>
        <v>0</v>
      </c>
      <c r="J10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Monthly'!$C10)</f>
        <v>0</v>
      </c>
      <c r="K10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Monthly'!$C10)</f>
        <v>0</v>
      </c>
      <c r="L10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Monthly'!$C10)</f>
        <v>0</v>
      </c>
    </row>
    <row r="11" spans="1:13" x14ac:dyDescent="0.3">
      <c r="A11" t="str">
        <f t="shared" si="2"/>
        <v>No</v>
      </c>
      <c r="B11" s="21" t="str">
        <f>VLOOKUP(C11, 'Items Master'!E:F,2,0)</f>
        <v>Domestic</v>
      </c>
      <c r="C11" s="21" t="s">
        <v>40</v>
      </c>
      <c r="D11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Monthly'!$C11)</f>
        <v>0</v>
      </c>
      <c r="E11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Monthly'!$C11)</f>
        <v>0</v>
      </c>
      <c r="F11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Monthly'!$C11)</f>
        <v>0</v>
      </c>
      <c r="G11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Monthly'!$C11)</f>
        <v>0</v>
      </c>
      <c r="H11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Monthly'!$C11)</f>
        <v>0</v>
      </c>
      <c r="I11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Monthly'!$C11)</f>
        <v>0</v>
      </c>
      <c r="J11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Monthly'!$C11)</f>
        <v>0</v>
      </c>
      <c r="K11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Monthly'!$C11)</f>
        <v>0</v>
      </c>
      <c r="L11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Monthly'!$C11)</f>
        <v>0</v>
      </c>
    </row>
    <row r="12" spans="1:13" x14ac:dyDescent="0.3">
      <c r="A12" t="str">
        <f t="shared" si="2"/>
        <v>No</v>
      </c>
      <c r="B12" s="21" t="str">
        <f>VLOOKUP(C12, 'Items Master'!E:F,2,0)</f>
        <v>Domestic</v>
      </c>
      <c r="C12" s="21" t="s">
        <v>18</v>
      </c>
      <c r="D12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Monthly'!$C12)</f>
        <v>0</v>
      </c>
      <c r="E12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Monthly'!$C12)</f>
        <v>0</v>
      </c>
      <c r="F12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Monthly'!$C12)</f>
        <v>0</v>
      </c>
      <c r="G12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Monthly'!$C12)</f>
        <v>0</v>
      </c>
      <c r="H12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Monthly'!$C12)</f>
        <v>0</v>
      </c>
      <c r="I12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Monthly'!$C12)</f>
        <v>0</v>
      </c>
      <c r="J12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Monthly'!$C12)</f>
        <v>0</v>
      </c>
      <c r="K12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Monthly'!$C12)</f>
        <v>0</v>
      </c>
      <c r="L12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Monthly'!$C12)</f>
        <v>0</v>
      </c>
    </row>
    <row r="13" spans="1:13" x14ac:dyDescent="0.3">
      <c r="A13" t="str">
        <f t="shared" si="2"/>
        <v>Yes</v>
      </c>
      <c r="B13" s="21" t="str">
        <f>VLOOKUP(C13, 'Items Master'!E:F,2,0)</f>
        <v>Domestic</v>
      </c>
      <c r="C13" s="21" t="s">
        <v>39</v>
      </c>
      <c r="D13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Monthly'!$C13)</f>
        <v>6000</v>
      </c>
      <c r="E13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Monthly'!$C13)</f>
        <v>8500</v>
      </c>
      <c r="F13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Monthly'!$C13)</f>
        <v>10000</v>
      </c>
      <c r="G13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Monthly'!$C13)</f>
        <v>0</v>
      </c>
      <c r="H13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Monthly'!$C13)</f>
        <v>0</v>
      </c>
      <c r="I13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Monthly'!$C13)</f>
        <v>0</v>
      </c>
      <c r="J13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Monthly'!$C13)</f>
        <v>0</v>
      </c>
      <c r="K13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Monthly'!$C13)</f>
        <v>0</v>
      </c>
      <c r="L13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Monthly'!$C13)</f>
        <v>0</v>
      </c>
    </row>
    <row r="14" spans="1:13" x14ac:dyDescent="0.3">
      <c r="A14" t="str">
        <f t="shared" si="2"/>
        <v>No</v>
      </c>
      <c r="B14" s="21" t="str">
        <f>VLOOKUP(C14, 'Items Master'!E:F,2,0)</f>
        <v>Domestic</v>
      </c>
      <c r="C14" s="21" t="s">
        <v>46</v>
      </c>
      <c r="D14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Monthly'!$C14)</f>
        <v>0</v>
      </c>
      <c r="E14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Monthly'!$C14)</f>
        <v>0</v>
      </c>
      <c r="F14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Monthly'!$C14)</f>
        <v>0</v>
      </c>
      <c r="G14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Monthly'!$C14)</f>
        <v>0</v>
      </c>
      <c r="H14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Monthly'!$C14)</f>
        <v>0</v>
      </c>
      <c r="I14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Monthly'!$C14)</f>
        <v>0</v>
      </c>
      <c r="J14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Monthly'!$C14)</f>
        <v>0</v>
      </c>
      <c r="K14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Monthly'!$C14)</f>
        <v>0</v>
      </c>
      <c r="L14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Monthly'!$C14)</f>
        <v>0</v>
      </c>
    </row>
    <row r="15" spans="1:13" x14ac:dyDescent="0.3">
      <c r="A15" t="str">
        <f t="shared" si="2"/>
        <v>No</v>
      </c>
      <c r="B15" s="21" t="str">
        <f>VLOOKUP(C15, 'Items Master'!E:F,2,0)</f>
        <v>Import</v>
      </c>
      <c r="C15" s="21" t="s">
        <v>45</v>
      </c>
      <c r="D15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Monthly'!$C15)</f>
        <v>0</v>
      </c>
      <c r="E15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Monthly'!$C15)</f>
        <v>0</v>
      </c>
      <c r="F15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Monthly'!$C15)</f>
        <v>0</v>
      </c>
      <c r="G15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Monthly'!$C15)</f>
        <v>0</v>
      </c>
      <c r="H15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Monthly'!$C15)</f>
        <v>0</v>
      </c>
      <c r="I15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Monthly'!$C15)</f>
        <v>0</v>
      </c>
      <c r="J15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Monthly'!$C15)</f>
        <v>0</v>
      </c>
      <c r="K15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Monthly'!$C15)</f>
        <v>0</v>
      </c>
      <c r="L15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Monthly'!$C15)</f>
        <v>0</v>
      </c>
    </row>
    <row r="16" spans="1:13" x14ac:dyDescent="0.3">
      <c r="A16" t="str">
        <f t="shared" si="2"/>
        <v>No</v>
      </c>
      <c r="B16" s="21" t="str">
        <f>VLOOKUP(C16, 'Items Master'!E:F,2,0)</f>
        <v>Import</v>
      </c>
      <c r="C16" s="21" t="s">
        <v>42</v>
      </c>
      <c r="D16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Monthly'!$C16)</f>
        <v>0</v>
      </c>
      <c r="E16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Monthly'!$C16)</f>
        <v>0</v>
      </c>
      <c r="F16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Monthly'!$C16)</f>
        <v>0</v>
      </c>
      <c r="G16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Monthly'!$C16)</f>
        <v>0</v>
      </c>
      <c r="H16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Monthly'!$C16)</f>
        <v>0</v>
      </c>
      <c r="I16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Monthly'!$C16)</f>
        <v>0</v>
      </c>
      <c r="J16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Monthly'!$C16)</f>
        <v>0</v>
      </c>
      <c r="K16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Monthly'!$C16)</f>
        <v>0</v>
      </c>
      <c r="L16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Monthly'!$C16)</f>
        <v>0</v>
      </c>
    </row>
    <row r="17" spans="1:12" x14ac:dyDescent="0.3">
      <c r="A17" t="str">
        <f t="shared" si="2"/>
        <v>No</v>
      </c>
      <c r="B17" s="21" t="str">
        <f>VLOOKUP(C17, 'Items Master'!E:F,2,0)</f>
        <v>Import</v>
      </c>
      <c r="C17" s="21" t="s">
        <v>47</v>
      </c>
      <c r="D17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Monthly'!$C17)</f>
        <v>0</v>
      </c>
      <c r="E17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Monthly'!$C17)</f>
        <v>0</v>
      </c>
      <c r="F17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Monthly'!$C17)</f>
        <v>0</v>
      </c>
      <c r="G17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Monthly'!$C17)</f>
        <v>0</v>
      </c>
      <c r="H17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Monthly'!$C17)</f>
        <v>0</v>
      </c>
      <c r="I17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Monthly'!$C17)</f>
        <v>0</v>
      </c>
      <c r="J17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Monthly'!$C17)</f>
        <v>0</v>
      </c>
      <c r="K17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Monthly'!$C17)</f>
        <v>0</v>
      </c>
      <c r="L17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Monthly'!$C17)</f>
        <v>0</v>
      </c>
    </row>
    <row r="18" spans="1:12" x14ac:dyDescent="0.3">
      <c r="A18" t="str">
        <f t="shared" si="2"/>
        <v>No</v>
      </c>
      <c r="B18" s="21" t="str">
        <f>VLOOKUP(C18, 'Items Master'!E:F,2,0)</f>
        <v>Import</v>
      </c>
      <c r="C18" s="21" t="s">
        <v>1037</v>
      </c>
      <c r="D18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Monthly'!$C18)</f>
        <v>0</v>
      </c>
      <c r="E18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Monthly'!$C18)</f>
        <v>0</v>
      </c>
      <c r="F18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Monthly'!$C18)</f>
        <v>0</v>
      </c>
      <c r="G18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Monthly'!$C18)</f>
        <v>0</v>
      </c>
      <c r="H18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Monthly'!$C18)</f>
        <v>0</v>
      </c>
      <c r="I18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Monthly'!$C18)</f>
        <v>0</v>
      </c>
      <c r="J18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Monthly'!$C18)</f>
        <v>0</v>
      </c>
      <c r="K18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Monthly'!$C18)</f>
        <v>0</v>
      </c>
      <c r="L18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Monthly'!$C18)</f>
        <v>0</v>
      </c>
    </row>
    <row r="19" spans="1:12" x14ac:dyDescent="0.3">
      <c r="A19" t="str">
        <f t="shared" si="2"/>
        <v>No</v>
      </c>
      <c r="B19" s="21" t="str">
        <f>VLOOKUP(C19, 'Items Master'!E:F,2,0)</f>
        <v>Others</v>
      </c>
      <c r="C19" s="21" t="s">
        <v>1041</v>
      </c>
      <c r="D19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Monthly'!$C19)</f>
        <v>0</v>
      </c>
      <c r="E19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Monthly'!$C19)</f>
        <v>0</v>
      </c>
      <c r="F19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Monthly'!$C19)</f>
        <v>0</v>
      </c>
      <c r="G19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Monthly'!$C19)</f>
        <v>0</v>
      </c>
      <c r="H19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Monthly'!$C19)</f>
        <v>0</v>
      </c>
      <c r="I19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Monthly'!$C19)</f>
        <v>0</v>
      </c>
      <c r="J19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Monthly'!$C19)</f>
        <v>0</v>
      </c>
      <c r="K19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Monthly'!$C19)</f>
        <v>0</v>
      </c>
      <c r="L19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Monthly'!$C19)</f>
        <v>0</v>
      </c>
    </row>
    <row r="20" spans="1:12" x14ac:dyDescent="0.3">
      <c r="A20" t="str">
        <f t="shared" si="2"/>
        <v>No</v>
      </c>
      <c r="B20" s="21" t="str">
        <f>VLOOKUP(C20, 'Items Master'!E:F,2,0)</f>
        <v>Import</v>
      </c>
      <c r="C20" s="21" t="s">
        <v>1047</v>
      </c>
      <c r="D20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Monthly'!$C20)</f>
        <v>0</v>
      </c>
      <c r="E20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Monthly'!$C20)</f>
        <v>0</v>
      </c>
      <c r="F20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Monthly'!$C20)</f>
        <v>0</v>
      </c>
      <c r="G20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Monthly'!$C20)</f>
        <v>0</v>
      </c>
      <c r="H20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Monthly'!$C20)</f>
        <v>0</v>
      </c>
      <c r="I20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Monthly'!$C20)</f>
        <v>0</v>
      </c>
      <c r="J20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Monthly'!$C20)</f>
        <v>0</v>
      </c>
      <c r="K20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Monthly'!$C20)</f>
        <v>0</v>
      </c>
      <c r="L20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Monthly'!$C20)</f>
        <v>0</v>
      </c>
    </row>
    <row r="21" spans="1:12" x14ac:dyDescent="0.3">
      <c r="A21" t="str">
        <f t="shared" si="2"/>
        <v>No</v>
      </c>
      <c r="B21" s="21" t="str">
        <f>VLOOKUP(C21, 'Items Master'!E:F,2,0)</f>
        <v>Import</v>
      </c>
      <c r="C21" s="21" t="s">
        <v>1051</v>
      </c>
      <c r="D21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Monthly'!$C21)</f>
        <v>0</v>
      </c>
      <c r="E21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Monthly'!$C21)</f>
        <v>0</v>
      </c>
      <c r="F21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Monthly'!$C21)</f>
        <v>0</v>
      </c>
      <c r="G21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Monthly'!$C21)</f>
        <v>0</v>
      </c>
      <c r="H21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Monthly'!$C21)</f>
        <v>0</v>
      </c>
      <c r="I21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Monthly'!$C21)</f>
        <v>0</v>
      </c>
      <c r="J21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Monthly'!$C21)</f>
        <v>0</v>
      </c>
      <c r="K21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Monthly'!$C21)</f>
        <v>0</v>
      </c>
      <c r="L21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Monthly'!$C21)</f>
        <v>0</v>
      </c>
    </row>
    <row r="22" spans="1:12" x14ac:dyDescent="0.3">
      <c r="A22" t="str">
        <f t="shared" si="2"/>
        <v>No</v>
      </c>
      <c r="B22" s="21" t="str">
        <f>VLOOKUP(C22, 'Items Master'!E:F,2,0)</f>
        <v>Import</v>
      </c>
      <c r="C22" s="21" t="s">
        <v>44</v>
      </c>
      <c r="D22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Monthly'!$C22)</f>
        <v>0</v>
      </c>
      <c r="E22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Monthly'!$C22)</f>
        <v>0</v>
      </c>
      <c r="F22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Monthly'!$C22)</f>
        <v>0</v>
      </c>
      <c r="G22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Monthly'!$C22)</f>
        <v>0</v>
      </c>
      <c r="H22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Monthly'!$C22)</f>
        <v>0</v>
      </c>
      <c r="I22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Monthly'!$C22)</f>
        <v>0</v>
      </c>
      <c r="J22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Monthly'!$C22)</f>
        <v>0</v>
      </c>
      <c r="K22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Monthly'!$C22)</f>
        <v>0</v>
      </c>
      <c r="L22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Monthly'!$C22)</f>
        <v>0</v>
      </c>
    </row>
    <row r="23" spans="1:12" x14ac:dyDescent="0.3">
      <c r="A23" t="str">
        <f t="shared" si="2"/>
        <v>No</v>
      </c>
      <c r="B23" s="21" t="str">
        <f>VLOOKUP(C23, 'Items Master'!E:F,2,0)</f>
        <v>Import</v>
      </c>
      <c r="C23" s="21" t="s">
        <v>1058</v>
      </c>
      <c r="D23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Monthly'!$C23)</f>
        <v>0</v>
      </c>
      <c r="E23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Monthly'!$C23)</f>
        <v>0</v>
      </c>
      <c r="F23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Monthly'!$C23)</f>
        <v>0</v>
      </c>
      <c r="G23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Monthly'!$C23)</f>
        <v>0</v>
      </c>
      <c r="H23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Monthly'!$C23)</f>
        <v>0</v>
      </c>
      <c r="I23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Monthly'!$C23)</f>
        <v>0</v>
      </c>
      <c r="J23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Monthly'!$C23)</f>
        <v>0</v>
      </c>
      <c r="K23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Monthly'!$C23)</f>
        <v>0</v>
      </c>
      <c r="L23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Monthly'!$C23)</f>
        <v>0</v>
      </c>
    </row>
    <row r="24" spans="1:12" x14ac:dyDescent="0.3">
      <c r="A24" t="str">
        <f t="shared" si="2"/>
        <v>No</v>
      </c>
      <c r="B24" s="21" t="str">
        <f>VLOOKUP(C24, 'Items Master'!E:F,2,0)</f>
        <v>Import</v>
      </c>
      <c r="C24" s="21" t="s">
        <v>1070</v>
      </c>
      <c r="D24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Monthly'!$C24)</f>
        <v>0</v>
      </c>
      <c r="E24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Monthly'!$C24)</f>
        <v>0</v>
      </c>
      <c r="F24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Monthly'!$C24)</f>
        <v>0</v>
      </c>
      <c r="G24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Monthly'!$C24)</f>
        <v>0</v>
      </c>
      <c r="H24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Monthly'!$C24)</f>
        <v>0</v>
      </c>
      <c r="I24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Monthly'!$C24)</f>
        <v>0</v>
      </c>
      <c r="J24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Monthly'!$C24)</f>
        <v>0</v>
      </c>
      <c r="K24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Monthly'!$C24)</f>
        <v>0</v>
      </c>
      <c r="L24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Monthly'!$C24)</f>
        <v>0</v>
      </c>
    </row>
    <row r="25" spans="1:12" x14ac:dyDescent="0.3">
      <c r="A25" t="str">
        <f t="shared" si="2"/>
        <v>No</v>
      </c>
      <c r="B25" s="21" t="str">
        <f>VLOOKUP(C25, 'Items Master'!E:F,2,0)</f>
        <v>Import</v>
      </c>
      <c r="C25" s="21" t="s">
        <v>1074</v>
      </c>
      <c r="D25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Monthly'!$C25)</f>
        <v>0</v>
      </c>
      <c r="E25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Monthly'!$C25)</f>
        <v>0</v>
      </c>
      <c r="F25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Monthly'!$C25)</f>
        <v>0</v>
      </c>
      <c r="G25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Monthly'!$C25)</f>
        <v>0</v>
      </c>
      <c r="H25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Monthly'!$C25)</f>
        <v>0</v>
      </c>
      <c r="I25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Monthly'!$C25)</f>
        <v>0</v>
      </c>
      <c r="J25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Monthly'!$C25)</f>
        <v>0</v>
      </c>
      <c r="K25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Monthly'!$C25)</f>
        <v>0</v>
      </c>
      <c r="L25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Monthly'!$C25)</f>
        <v>0</v>
      </c>
    </row>
    <row r="26" spans="1:12" x14ac:dyDescent="0.3">
      <c r="A26" t="str">
        <f t="shared" si="2"/>
        <v>No</v>
      </c>
      <c r="B26" s="21" t="str">
        <f>VLOOKUP(C26, 'Items Master'!E:F,2,0)</f>
        <v>Import</v>
      </c>
      <c r="C26" s="21" t="s">
        <v>1076</v>
      </c>
      <c r="D26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Monthly'!$C26)</f>
        <v>0</v>
      </c>
      <c r="E26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Monthly'!$C26)</f>
        <v>0</v>
      </c>
      <c r="F26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Monthly'!$C26)</f>
        <v>0</v>
      </c>
      <c r="G26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Monthly'!$C26)</f>
        <v>0</v>
      </c>
      <c r="H26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Monthly'!$C26)</f>
        <v>0</v>
      </c>
      <c r="I26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Monthly'!$C26)</f>
        <v>0</v>
      </c>
      <c r="J26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Monthly'!$C26)</f>
        <v>0</v>
      </c>
      <c r="K26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Monthly'!$C26)</f>
        <v>0</v>
      </c>
      <c r="L26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Monthly'!$C26)</f>
        <v>0</v>
      </c>
    </row>
    <row r="27" spans="1:12" x14ac:dyDescent="0.3">
      <c r="A27" t="str">
        <f t="shared" si="2"/>
        <v>No</v>
      </c>
      <c r="B27" s="21" t="str">
        <f>VLOOKUP(C27, 'Items Master'!E:F,2,0)</f>
        <v>Import</v>
      </c>
      <c r="C27" s="21" t="s">
        <v>1080</v>
      </c>
      <c r="D27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Monthly'!$C27)</f>
        <v>0</v>
      </c>
      <c r="E27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Monthly'!$C27)</f>
        <v>0</v>
      </c>
      <c r="F27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Monthly'!$C27)</f>
        <v>0</v>
      </c>
      <c r="G27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Monthly'!$C27)</f>
        <v>0</v>
      </c>
      <c r="H27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Monthly'!$C27)</f>
        <v>0</v>
      </c>
      <c r="I27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Monthly'!$C27)</f>
        <v>0</v>
      </c>
      <c r="J27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Monthly'!$C27)</f>
        <v>0</v>
      </c>
      <c r="K27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Monthly'!$C27)</f>
        <v>0</v>
      </c>
      <c r="L27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Monthly'!$C27)</f>
        <v>0</v>
      </c>
    </row>
    <row r="28" spans="1:12" x14ac:dyDescent="0.3">
      <c r="A28" t="str">
        <f t="shared" si="2"/>
        <v>No</v>
      </c>
      <c r="B28" s="21" t="str">
        <f>VLOOKUP(C28, 'Items Master'!E:F,2,0)</f>
        <v>Import</v>
      </c>
      <c r="C28" s="21" t="s">
        <v>1086</v>
      </c>
      <c r="D28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Monthly'!$C28)</f>
        <v>0</v>
      </c>
      <c r="E28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Monthly'!$C28)</f>
        <v>0</v>
      </c>
      <c r="F28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Monthly'!$C28)</f>
        <v>0</v>
      </c>
      <c r="G28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Monthly'!$C28)</f>
        <v>0</v>
      </c>
      <c r="H28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Monthly'!$C28)</f>
        <v>0</v>
      </c>
      <c r="I28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Monthly'!$C28)</f>
        <v>0</v>
      </c>
      <c r="J28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Monthly'!$C28)</f>
        <v>0</v>
      </c>
      <c r="K28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Monthly'!$C28)</f>
        <v>0</v>
      </c>
      <c r="L28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Monthly'!$C28)</f>
        <v>0</v>
      </c>
    </row>
    <row r="29" spans="1:12" x14ac:dyDescent="0.3">
      <c r="A29" t="str">
        <f t="shared" si="2"/>
        <v>No</v>
      </c>
      <c r="B29" s="21" t="str">
        <f>VLOOKUP(C29, 'Items Master'!E:F,2,0)</f>
        <v>Import</v>
      </c>
      <c r="C29" s="21" t="s">
        <v>1087</v>
      </c>
      <c r="D29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Monthly'!$C29)</f>
        <v>0</v>
      </c>
      <c r="E29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Monthly'!$C29)</f>
        <v>0</v>
      </c>
      <c r="F29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Monthly'!$C29)</f>
        <v>0</v>
      </c>
      <c r="G29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Monthly'!$C29)</f>
        <v>0</v>
      </c>
      <c r="H29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Monthly'!$C29)</f>
        <v>0</v>
      </c>
      <c r="I29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Monthly'!$C29)</f>
        <v>0</v>
      </c>
      <c r="J29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Monthly'!$C29)</f>
        <v>0</v>
      </c>
      <c r="K29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Monthly'!$C29)</f>
        <v>0</v>
      </c>
      <c r="L29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Monthly'!$C29)</f>
        <v>0</v>
      </c>
    </row>
    <row r="30" spans="1:12" x14ac:dyDescent="0.3">
      <c r="A30" t="str">
        <f t="shared" si="2"/>
        <v>No</v>
      </c>
      <c r="B30" s="21" t="str">
        <f>VLOOKUP(C30, 'Items Master'!E:F,2,0)</f>
        <v>Import</v>
      </c>
      <c r="C30" s="21" t="s">
        <v>1091</v>
      </c>
      <c r="D30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Monthly'!$C30)</f>
        <v>0</v>
      </c>
      <c r="E30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Monthly'!$C30)</f>
        <v>0</v>
      </c>
      <c r="F30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Monthly'!$C30)</f>
        <v>0</v>
      </c>
      <c r="G30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Monthly'!$C30)</f>
        <v>0</v>
      </c>
      <c r="H30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Monthly'!$C30)</f>
        <v>0</v>
      </c>
      <c r="I30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Monthly'!$C30)</f>
        <v>0</v>
      </c>
      <c r="J30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Monthly'!$C30)</f>
        <v>0</v>
      </c>
      <c r="K30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Monthly'!$C30)</f>
        <v>0</v>
      </c>
      <c r="L30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Monthly'!$C30)</f>
        <v>0</v>
      </c>
    </row>
    <row r="31" spans="1:12" x14ac:dyDescent="0.3">
      <c r="A31" t="str">
        <f t="shared" si="2"/>
        <v>No</v>
      </c>
      <c r="B31" s="21" t="str">
        <f>VLOOKUP(C31, 'Items Master'!E:F,2,0)</f>
        <v>Import</v>
      </c>
      <c r="C31" s="21" t="s">
        <v>1092</v>
      </c>
      <c r="D31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Monthly'!$C31)</f>
        <v>0</v>
      </c>
      <c r="E31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Monthly'!$C31)</f>
        <v>0</v>
      </c>
      <c r="F31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Monthly'!$C31)</f>
        <v>0</v>
      </c>
      <c r="G31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Monthly'!$C31)</f>
        <v>0</v>
      </c>
      <c r="H31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Monthly'!$C31)</f>
        <v>0</v>
      </c>
      <c r="I31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Monthly'!$C31)</f>
        <v>0</v>
      </c>
      <c r="J31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Monthly'!$C31)</f>
        <v>0</v>
      </c>
      <c r="K31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Monthly'!$C31)</f>
        <v>0</v>
      </c>
      <c r="L31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Monthly'!$C31)</f>
        <v>0</v>
      </c>
    </row>
    <row r="32" spans="1:12" x14ac:dyDescent="0.3">
      <c r="A32" t="str">
        <f t="shared" si="2"/>
        <v>No</v>
      </c>
      <c r="B32" s="21" t="str">
        <f>VLOOKUP(C32, 'Items Master'!E:F,2,0)</f>
        <v>Import</v>
      </c>
      <c r="C32" s="21" t="s">
        <v>1097</v>
      </c>
      <c r="D32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Monthly'!$C32)</f>
        <v>0</v>
      </c>
      <c r="E32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Monthly'!$C32)</f>
        <v>0</v>
      </c>
      <c r="F32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Monthly'!$C32)</f>
        <v>0</v>
      </c>
      <c r="G32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Monthly'!$C32)</f>
        <v>0</v>
      </c>
      <c r="H32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Monthly'!$C32)</f>
        <v>0</v>
      </c>
      <c r="I32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Monthly'!$C32)</f>
        <v>0</v>
      </c>
      <c r="J32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Monthly'!$C32)</f>
        <v>0</v>
      </c>
      <c r="K32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Monthly'!$C32)</f>
        <v>0</v>
      </c>
      <c r="L32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Monthly'!$C32)</f>
        <v>0</v>
      </c>
    </row>
    <row r="33" spans="1:12" x14ac:dyDescent="0.3">
      <c r="A33" t="str">
        <f t="shared" si="2"/>
        <v>No</v>
      </c>
      <c r="B33" s="21" t="str">
        <f>VLOOKUP(C33, 'Items Master'!E:F,2,0)</f>
        <v>Domestic</v>
      </c>
      <c r="C33" s="21" t="s">
        <v>1104</v>
      </c>
      <c r="D33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Monthly'!$C33)</f>
        <v>0</v>
      </c>
      <c r="E33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Monthly'!$C33)</f>
        <v>0</v>
      </c>
      <c r="F33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Monthly'!$C33)</f>
        <v>0</v>
      </c>
      <c r="G33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Monthly'!$C33)</f>
        <v>0</v>
      </c>
      <c r="H33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Monthly'!$C33)</f>
        <v>0</v>
      </c>
      <c r="I33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Monthly'!$C33)</f>
        <v>0</v>
      </c>
      <c r="J33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Monthly'!$C33)</f>
        <v>0</v>
      </c>
      <c r="K33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Monthly'!$C33)</f>
        <v>0</v>
      </c>
      <c r="L33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Monthly'!$C33)</f>
        <v>0</v>
      </c>
    </row>
    <row r="34" spans="1:12" x14ac:dyDescent="0.3">
      <c r="A34" t="str">
        <f t="shared" si="2"/>
        <v>No</v>
      </c>
      <c r="B34" s="21" t="str">
        <f>VLOOKUP(C34, 'Items Master'!E:F,2,0)</f>
        <v>Import</v>
      </c>
      <c r="C34" s="21" t="s">
        <v>1110</v>
      </c>
      <c r="D34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Monthly'!$C34)</f>
        <v>0</v>
      </c>
      <c r="E34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Monthly'!$C34)</f>
        <v>0</v>
      </c>
      <c r="F34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Monthly'!$C34)</f>
        <v>0</v>
      </c>
      <c r="G34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Monthly'!$C34)</f>
        <v>0</v>
      </c>
      <c r="H34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Monthly'!$C34)</f>
        <v>0</v>
      </c>
      <c r="I34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Monthly'!$C34)</f>
        <v>0</v>
      </c>
      <c r="J34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Monthly'!$C34)</f>
        <v>0</v>
      </c>
      <c r="K34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Monthly'!$C34)</f>
        <v>0</v>
      </c>
      <c r="L34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Monthly'!$C34)</f>
        <v>0</v>
      </c>
    </row>
    <row r="35" spans="1:12" x14ac:dyDescent="0.3">
      <c r="A35" t="str">
        <f t="shared" si="2"/>
        <v>No</v>
      </c>
      <c r="B35" s="21" t="str">
        <f>VLOOKUP(C35, 'Items Master'!E:F,2,0)</f>
        <v>Import</v>
      </c>
      <c r="C35" s="21" t="s">
        <v>1112</v>
      </c>
      <c r="D35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Monthly'!$C35)</f>
        <v>0</v>
      </c>
      <c r="E35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Monthly'!$C35)</f>
        <v>0</v>
      </c>
      <c r="F35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Monthly'!$C35)</f>
        <v>0</v>
      </c>
      <c r="G35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Monthly'!$C35)</f>
        <v>0</v>
      </c>
      <c r="H35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Monthly'!$C35)</f>
        <v>0</v>
      </c>
      <c r="I35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Monthly'!$C35)</f>
        <v>0</v>
      </c>
      <c r="J35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Monthly'!$C35)</f>
        <v>0</v>
      </c>
      <c r="K35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Monthly'!$C35)</f>
        <v>0</v>
      </c>
      <c r="L35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Monthly'!$C35)</f>
        <v>0</v>
      </c>
    </row>
    <row r="36" spans="1:12" x14ac:dyDescent="0.3">
      <c r="A36" t="str">
        <f t="shared" si="2"/>
        <v>No</v>
      </c>
      <c r="B36" s="21" t="str">
        <f>VLOOKUP(C36, 'Items Master'!E:F,2,0)</f>
        <v>Import</v>
      </c>
      <c r="C36" s="21" t="s">
        <v>1135</v>
      </c>
      <c r="D36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Monthly'!$C36)</f>
        <v>0</v>
      </c>
      <c r="E36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Monthly'!$C36)</f>
        <v>0</v>
      </c>
      <c r="F36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Monthly'!$C36)</f>
        <v>0</v>
      </c>
      <c r="G36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Monthly'!$C36)</f>
        <v>0</v>
      </c>
      <c r="H36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Monthly'!$C36)</f>
        <v>0</v>
      </c>
      <c r="I36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Monthly'!$C36)</f>
        <v>0</v>
      </c>
      <c r="J36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Monthly'!$C36)</f>
        <v>0</v>
      </c>
      <c r="K36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Monthly'!$C36)</f>
        <v>0</v>
      </c>
      <c r="L36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Monthly'!$C36)</f>
        <v>0</v>
      </c>
    </row>
    <row r="37" spans="1:12" x14ac:dyDescent="0.3">
      <c r="A37" t="str">
        <f t="shared" si="2"/>
        <v>No</v>
      </c>
      <c r="B37" s="21" t="str">
        <f>VLOOKUP(C37, 'Items Master'!E:F,2,0)</f>
        <v>Import</v>
      </c>
      <c r="C37" s="21" t="s">
        <v>1153</v>
      </c>
      <c r="D37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Monthly'!$C37)</f>
        <v>0</v>
      </c>
      <c r="E37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Monthly'!$C37)</f>
        <v>0</v>
      </c>
      <c r="F37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Monthly'!$C37)</f>
        <v>0</v>
      </c>
      <c r="G37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Monthly'!$C37)</f>
        <v>0</v>
      </c>
      <c r="H37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Monthly'!$C37)</f>
        <v>0</v>
      </c>
      <c r="I37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Monthly'!$C37)</f>
        <v>0</v>
      </c>
      <c r="J37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Monthly'!$C37)</f>
        <v>0</v>
      </c>
      <c r="K37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Monthly'!$C37)</f>
        <v>0</v>
      </c>
      <c r="L37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Monthly'!$C37)</f>
        <v>0</v>
      </c>
    </row>
    <row r="38" spans="1:12" x14ac:dyDescent="0.3">
      <c r="A38" t="str">
        <f t="shared" si="2"/>
        <v>No</v>
      </c>
      <c r="B38" s="21" t="str">
        <f>VLOOKUP(C38, 'Items Master'!E:F,2,0)</f>
        <v>Import</v>
      </c>
      <c r="C38" s="21" t="s">
        <v>1159</v>
      </c>
      <c r="D38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Monthly'!$C38)</f>
        <v>0</v>
      </c>
      <c r="E38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Monthly'!$C38)</f>
        <v>0</v>
      </c>
      <c r="F38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Monthly'!$C38)</f>
        <v>0</v>
      </c>
      <c r="G38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Monthly'!$C38)</f>
        <v>0</v>
      </c>
      <c r="H38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Monthly'!$C38)</f>
        <v>0</v>
      </c>
      <c r="I38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Monthly'!$C38)</f>
        <v>0</v>
      </c>
      <c r="J38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Monthly'!$C38)</f>
        <v>0</v>
      </c>
      <c r="K38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Monthly'!$C38)</f>
        <v>0</v>
      </c>
      <c r="L38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Monthly'!$C38)</f>
        <v>0</v>
      </c>
    </row>
    <row r="39" spans="1:12" x14ac:dyDescent="0.3">
      <c r="A39" t="str">
        <f t="shared" si="2"/>
        <v>No</v>
      </c>
      <c r="B39" s="21" t="str">
        <f>VLOOKUP(C39, 'Items Master'!E:F,2,0)</f>
        <v>Import</v>
      </c>
      <c r="C39" s="21" t="s">
        <v>1165</v>
      </c>
      <c r="D39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Monthly'!$C39)</f>
        <v>0</v>
      </c>
      <c r="E39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Monthly'!$C39)</f>
        <v>0</v>
      </c>
      <c r="F39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Monthly'!$C39)</f>
        <v>0</v>
      </c>
      <c r="G39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Monthly'!$C39)</f>
        <v>0</v>
      </c>
      <c r="H39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Monthly'!$C39)</f>
        <v>0</v>
      </c>
      <c r="I39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Monthly'!$C39)</f>
        <v>0</v>
      </c>
      <c r="J39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Monthly'!$C39)</f>
        <v>0</v>
      </c>
      <c r="K39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Monthly'!$C39)</f>
        <v>0</v>
      </c>
      <c r="L39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Monthly'!$C39)</f>
        <v>0</v>
      </c>
    </row>
    <row r="40" spans="1:12" x14ac:dyDescent="0.3">
      <c r="A40" t="str">
        <f t="shared" si="2"/>
        <v>No</v>
      </c>
      <c r="B40" s="21" t="str">
        <f>VLOOKUP(C40, 'Items Master'!E:F,2,0)</f>
        <v>Import</v>
      </c>
      <c r="C40" s="21" t="s">
        <v>1181</v>
      </c>
      <c r="D40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Monthly'!$C40)</f>
        <v>0</v>
      </c>
      <c r="E40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Monthly'!$C40)</f>
        <v>0</v>
      </c>
      <c r="F40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Monthly'!$C40)</f>
        <v>0</v>
      </c>
      <c r="G40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Monthly'!$C40)</f>
        <v>0</v>
      </c>
      <c r="H40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Monthly'!$C40)</f>
        <v>0</v>
      </c>
      <c r="I40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Monthly'!$C40)</f>
        <v>0</v>
      </c>
      <c r="J40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Monthly'!$C40)</f>
        <v>0</v>
      </c>
      <c r="K40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Monthly'!$C40)</f>
        <v>0</v>
      </c>
      <c r="L40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Monthly'!$C40)</f>
        <v>0</v>
      </c>
    </row>
    <row r="41" spans="1:12" x14ac:dyDescent="0.3">
      <c r="A41" t="str">
        <f t="shared" si="2"/>
        <v>No</v>
      </c>
      <c r="B41" s="21" t="str">
        <f>VLOOKUP(C41, 'Items Master'!E:F,2,0)</f>
        <v>Import</v>
      </c>
      <c r="C41" s="21" t="s">
        <v>1184</v>
      </c>
      <c r="D41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Monthly'!$C41)</f>
        <v>0</v>
      </c>
      <c r="E41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Monthly'!$C41)</f>
        <v>0</v>
      </c>
      <c r="F41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Monthly'!$C41)</f>
        <v>0</v>
      </c>
      <c r="G41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Monthly'!$C41)</f>
        <v>0</v>
      </c>
      <c r="H41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Monthly'!$C41)</f>
        <v>0</v>
      </c>
      <c r="I41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Monthly'!$C41)</f>
        <v>0</v>
      </c>
      <c r="J41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Monthly'!$C41)</f>
        <v>0</v>
      </c>
      <c r="K41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Monthly'!$C41)</f>
        <v>0</v>
      </c>
      <c r="L41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Monthly'!$C41)</f>
        <v>0</v>
      </c>
    </row>
    <row r="42" spans="1:12" x14ac:dyDescent="0.3">
      <c r="A42" t="str">
        <f t="shared" si="2"/>
        <v>No</v>
      </c>
      <c r="B42" s="21" t="str">
        <f>VLOOKUP(C42, 'Items Master'!E:F,2,0)</f>
        <v>Import</v>
      </c>
      <c r="C42" s="21" t="s">
        <v>1198</v>
      </c>
      <c r="D42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Monthly'!$C42)</f>
        <v>0</v>
      </c>
      <c r="E42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Monthly'!$C42)</f>
        <v>0</v>
      </c>
      <c r="F42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Monthly'!$C42)</f>
        <v>0</v>
      </c>
      <c r="G42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Monthly'!$C42)</f>
        <v>0</v>
      </c>
      <c r="H42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Monthly'!$C42)</f>
        <v>0</v>
      </c>
      <c r="I42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Monthly'!$C42)</f>
        <v>0</v>
      </c>
      <c r="J42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Monthly'!$C42)</f>
        <v>0</v>
      </c>
      <c r="K42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Monthly'!$C42)</f>
        <v>0</v>
      </c>
      <c r="L42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Monthly'!$C42)</f>
        <v>0</v>
      </c>
    </row>
    <row r="43" spans="1:12" x14ac:dyDescent="0.3">
      <c r="A43" t="str">
        <f t="shared" si="2"/>
        <v>No</v>
      </c>
      <c r="B43" s="21" t="str">
        <f>VLOOKUP(C43, 'Items Master'!E:F,2,0)</f>
        <v>Import</v>
      </c>
      <c r="C43" s="21" t="s">
        <v>1202</v>
      </c>
      <c r="D43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Monthly'!$C43)</f>
        <v>0</v>
      </c>
      <c r="E43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Monthly'!$C43)</f>
        <v>0</v>
      </c>
      <c r="F43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Monthly'!$C43)</f>
        <v>0</v>
      </c>
      <c r="G43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Monthly'!$C43)</f>
        <v>0</v>
      </c>
      <c r="H43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Monthly'!$C43)</f>
        <v>0</v>
      </c>
      <c r="I43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Monthly'!$C43)</f>
        <v>0</v>
      </c>
      <c r="J43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Monthly'!$C43)</f>
        <v>0</v>
      </c>
      <c r="K43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Monthly'!$C43)</f>
        <v>0</v>
      </c>
      <c r="L43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Monthly'!$C43)</f>
        <v>0</v>
      </c>
    </row>
    <row r="44" spans="1:12" x14ac:dyDescent="0.3">
      <c r="A44" t="str">
        <f t="shared" si="2"/>
        <v>No</v>
      </c>
      <c r="B44" s="21" t="str">
        <f>VLOOKUP(C44, 'Items Master'!E:F,2,0)</f>
        <v>Import</v>
      </c>
      <c r="C44" s="21" t="s">
        <v>1206</v>
      </c>
      <c r="D44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Monthly'!$C44)</f>
        <v>0</v>
      </c>
      <c r="E44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Monthly'!$C44)</f>
        <v>0</v>
      </c>
      <c r="F44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Monthly'!$C44)</f>
        <v>0</v>
      </c>
      <c r="G44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Monthly'!$C44)</f>
        <v>0</v>
      </c>
      <c r="H44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Monthly'!$C44)</f>
        <v>0</v>
      </c>
      <c r="I44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Monthly'!$C44)</f>
        <v>0</v>
      </c>
      <c r="J44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Monthly'!$C44)</f>
        <v>0</v>
      </c>
      <c r="K44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Monthly'!$C44)</f>
        <v>0</v>
      </c>
      <c r="L44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Monthly'!$C44)</f>
        <v>0</v>
      </c>
    </row>
    <row r="45" spans="1:12" x14ac:dyDescent="0.3">
      <c r="A45" t="str">
        <f t="shared" si="2"/>
        <v>No</v>
      </c>
      <c r="B45" s="21" t="str">
        <f>VLOOKUP(C45, 'Items Master'!E:F,2,0)</f>
        <v>Import</v>
      </c>
      <c r="C45" s="21" t="s">
        <v>1213</v>
      </c>
      <c r="D45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Monthly'!$C45)</f>
        <v>0</v>
      </c>
      <c r="E45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Monthly'!$C45)</f>
        <v>0</v>
      </c>
      <c r="F45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Monthly'!$C45)</f>
        <v>0</v>
      </c>
      <c r="G45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Monthly'!$C45)</f>
        <v>0</v>
      </c>
      <c r="H45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Monthly'!$C45)</f>
        <v>0</v>
      </c>
      <c r="I45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Monthly'!$C45)</f>
        <v>0</v>
      </c>
      <c r="J45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Monthly'!$C45)</f>
        <v>0</v>
      </c>
      <c r="K45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Monthly'!$C45)</f>
        <v>0</v>
      </c>
      <c r="L45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Monthly'!$C45)</f>
        <v>0</v>
      </c>
    </row>
    <row r="46" spans="1:12" x14ac:dyDescent="0.3">
      <c r="A46" t="str">
        <f t="shared" si="2"/>
        <v>No</v>
      </c>
      <c r="B46" s="21" t="str">
        <f>VLOOKUP(C46, 'Items Master'!E:F,2,0)</f>
        <v>Import</v>
      </c>
      <c r="C46" s="21" t="s">
        <v>1218</v>
      </c>
      <c r="D46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Monthly'!$C46)</f>
        <v>0</v>
      </c>
      <c r="E46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Monthly'!$C46)</f>
        <v>0</v>
      </c>
      <c r="F46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Monthly'!$C46)</f>
        <v>0</v>
      </c>
      <c r="G46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Monthly'!$C46)</f>
        <v>0</v>
      </c>
      <c r="H46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Monthly'!$C46)</f>
        <v>0</v>
      </c>
      <c r="I46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Monthly'!$C46)</f>
        <v>0</v>
      </c>
      <c r="J46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Monthly'!$C46)</f>
        <v>0</v>
      </c>
      <c r="K46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Monthly'!$C46)</f>
        <v>0</v>
      </c>
      <c r="L46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Monthly'!$C46)</f>
        <v>0</v>
      </c>
    </row>
    <row r="47" spans="1:12" x14ac:dyDescent="0.3">
      <c r="A47" t="str">
        <f t="shared" si="2"/>
        <v>No</v>
      </c>
      <c r="B47" s="21" t="str">
        <f>VLOOKUP(C47, 'Items Master'!E:F,2,0)</f>
        <v>Domestic</v>
      </c>
      <c r="C47" s="21" t="s">
        <v>1220</v>
      </c>
      <c r="D47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Monthly'!$C47)</f>
        <v>0</v>
      </c>
      <c r="E47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Monthly'!$C47)</f>
        <v>0</v>
      </c>
      <c r="F47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Monthly'!$C47)</f>
        <v>0</v>
      </c>
      <c r="G47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Monthly'!$C47)</f>
        <v>0</v>
      </c>
      <c r="H47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Monthly'!$C47)</f>
        <v>0</v>
      </c>
      <c r="I47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Monthly'!$C47)</f>
        <v>0</v>
      </c>
      <c r="J47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Monthly'!$C47)</f>
        <v>0</v>
      </c>
      <c r="K47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Monthly'!$C47)</f>
        <v>0</v>
      </c>
      <c r="L47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Monthly'!$C47)</f>
        <v>0</v>
      </c>
    </row>
    <row r="48" spans="1:12" x14ac:dyDescent="0.3">
      <c r="A48" t="str">
        <f t="shared" si="2"/>
        <v>No</v>
      </c>
      <c r="B48" s="21" t="str">
        <f>VLOOKUP(C48, 'Items Master'!E:F,2,0)</f>
        <v>Import</v>
      </c>
      <c r="C48" s="21" t="s">
        <v>1222</v>
      </c>
      <c r="D48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Monthly'!$C48)</f>
        <v>0</v>
      </c>
      <c r="E48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Monthly'!$C48)</f>
        <v>0</v>
      </c>
      <c r="F48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Monthly'!$C48)</f>
        <v>0</v>
      </c>
      <c r="G48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Monthly'!$C48)</f>
        <v>0</v>
      </c>
      <c r="H48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Monthly'!$C48)</f>
        <v>0</v>
      </c>
      <c r="I48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Monthly'!$C48)</f>
        <v>0</v>
      </c>
      <c r="J48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Monthly'!$C48)</f>
        <v>0</v>
      </c>
      <c r="K48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Monthly'!$C48)</f>
        <v>0</v>
      </c>
      <c r="L48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Monthly'!$C48)</f>
        <v>0</v>
      </c>
    </row>
    <row r="49" spans="1:12" x14ac:dyDescent="0.3">
      <c r="A49" t="str">
        <f t="shared" si="2"/>
        <v>No</v>
      </c>
      <c r="B49" s="21" t="str">
        <f>VLOOKUP(C49, 'Items Master'!E:F,2,0)</f>
        <v>Import</v>
      </c>
      <c r="C49" s="21" t="s">
        <v>1225</v>
      </c>
      <c r="D49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Monthly'!$C49)</f>
        <v>0</v>
      </c>
      <c r="E49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Monthly'!$C49)</f>
        <v>0</v>
      </c>
      <c r="F49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Monthly'!$C49)</f>
        <v>0</v>
      </c>
      <c r="G49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Monthly'!$C49)</f>
        <v>0</v>
      </c>
      <c r="H49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Monthly'!$C49)</f>
        <v>0</v>
      </c>
      <c r="I49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Monthly'!$C49)</f>
        <v>0</v>
      </c>
      <c r="J49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Monthly'!$C49)</f>
        <v>0</v>
      </c>
      <c r="K49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Monthly'!$C49)</f>
        <v>0</v>
      </c>
      <c r="L49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Monthly'!$C49)</f>
        <v>0</v>
      </c>
    </row>
    <row r="50" spans="1:12" x14ac:dyDescent="0.3">
      <c r="A50" t="str">
        <f t="shared" si="2"/>
        <v>No</v>
      </c>
      <c r="B50" s="21" t="str">
        <f>VLOOKUP(C50, 'Items Master'!E:F,2,0)</f>
        <v>Import</v>
      </c>
      <c r="C50" s="21" t="s">
        <v>1231</v>
      </c>
      <c r="D50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Monthly'!$C50)</f>
        <v>0</v>
      </c>
      <c r="E50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Monthly'!$C50)</f>
        <v>0</v>
      </c>
      <c r="F50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Monthly'!$C50)</f>
        <v>0</v>
      </c>
      <c r="G50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Monthly'!$C50)</f>
        <v>0</v>
      </c>
      <c r="H50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Monthly'!$C50)</f>
        <v>0</v>
      </c>
      <c r="I50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Monthly'!$C50)</f>
        <v>0</v>
      </c>
      <c r="J50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Monthly'!$C50)</f>
        <v>0</v>
      </c>
      <c r="K50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Monthly'!$C50)</f>
        <v>0</v>
      </c>
      <c r="L50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Monthly'!$C50)</f>
        <v>0</v>
      </c>
    </row>
    <row r="51" spans="1:12" x14ac:dyDescent="0.3">
      <c r="A51" t="str">
        <f t="shared" si="2"/>
        <v>No</v>
      </c>
      <c r="B51" s="21" t="str">
        <f>VLOOKUP(C51, 'Items Master'!E:F,2,0)</f>
        <v>Domestic</v>
      </c>
      <c r="C51" s="21" t="s">
        <v>1235</v>
      </c>
      <c r="D51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Monthly'!$C51)</f>
        <v>0</v>
      </c>
      <c r="E51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Monthly'!$C51)</f>
        <v>0</v>
      </c>
      <c r="F51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Monthly'!$C51)</f>
        <v>0</v>
      </c>
      <c r="G51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Monthly'!$C51)</f>
        <v>0</v>
      </c>
      <c r="H51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Monthly'!$C51)</f>
        <v>0</v>
      </c>
      <c r="I51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Monthly'!$C51)</f>
        <v>0</v>
      </c>
      <c r="J51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Monthly'!$C51)</f>
        <v>0</v>
      </c>
      <c r="K51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Monthly'!$C51)</f>
        <v>0</v>
      </c>
      <c r="L51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Monthly'!$C51)</f>
        <v>0</v>
      </c>
    </row>
    <row r="52" spans="1:12" x14ac:dyDescent="0.3">
      <c r="A52" t="str">
        <f t="shared" si="2"/>
        <v>No</v>
      </c>
      <c r="B52" s="21" t="str">
        <f>VLOOKUP(C52, 'Items Master'!E:F,2,0)</f>
        <v>Import</v>
      </c>
      <c r="C52" s="21" t="s">
        <v>1260</v>
      </c>
      <c r="D52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Monthly'!$C52)</f>
        <v>0</v>
      </c>
      <c r="E52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Monthly'!$C52)</f>
        <v>0</v>
      </c>
      <c r="F52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Monthly'!$C52)</f>
        <v>0</v>
      </c>
      <c r="G52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Monthly'!$C52)</f>
        <v>0</v>
      </c>
      <c r="H52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Monthly'!$C52)</f>
        <v>0</v>
      </c>
      <c r="I52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Monthly'!$C52)</f>
        <v>0</v>
      </c>
      <c r="J52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Monthly'!$C52)</f>
        <v>0</v>
      </c>
      <c r="K52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Monthly'!$C52)</f>
        <v>0</v>
      </c>
      <c r="L52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Monthly'!$C52)</f>
        <v>0</v>
      </c>
    </row>
    <row r="53" spans="1:12" x14ac:dyDescent="0.3">
      <c r="A53" t="str">
        <f t="shared" si="2"/>
        <v>No</v>
      </c>
      <c r="B53" s="21" t="str">
        <f>VLOOKUP(C53, 'Items Master'!E:F,2,0)</f>
        <v>Import</v>
      </c>
      <c r="C53" s="21" t="s">
        <v>1262</v>
      </c>
      <c r="D53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Monthly'!$C53)</f>
        <v>0</v>
      </c>
      <c r="E53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Monthly'!$C53)</f>
        <v>0</v>
      </c>
      <c r="F53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Monthly'!$C53)</f>
        <v>0</v>
      </c>
      <c r="G53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Monthly'!$C53)</f>
        <v>0</v>
      </c>
      <c r="H53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Monthly'!$C53)</f>
        <v>0</v>
      </c>
      <c r="I53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Monthly'!$C53)</f>
        <v>0</v>
      </c>
      <c r="J53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Monthly'!$C53)</f>
        <v>0</v>
      </c>
      <c r="K53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Monthly'!$C53)</f>
        <v>0</v>
      </c>
      <c r="L53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Monthly'!$C53)</f>
        <v>0</v>
      </c>
    </row>
    <row r="54" spans="1:12" x14ac:dyDescent="0.3">
      <c r="A54" t="str">
        <f t="shared" si="2"/>
        <v>No</v>
      </c>
      <c r="B54" s="21" t="str">
        <f>VLOOKUP(C54, 'Items Master'!E:F,2,0)</f>
        <v>Import</v>
      </c>
      <c r="C54" s="21" t="s">
        <v>1267</v>
      </c>
      <c r="D54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Monthly'!$C54)</f>
        <v>0</v>
      </c>
      <c r="E54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Monthly'!$C54)</f>
        <v>0</v>
      </c>
      <c r="F54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Monthly'!$C54)</f>
        <v>0</v>
      </c>
      <c r="G54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Monthly'!$C54)</f>
        <v>0</v>
      </c>
      <c r="H54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Monthly'!$C54)</f>
        <v>0</v>
      </c>
      <c r="I54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Monthly'!$C54)</f>
        <v>0</v>
      </c>
      <c r="J54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Monthly'!$C54)</f>
        <v>0</v>
      </c>
      <c r="K54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Monthly'!$C54)</f>
        <v>0</v>
      </c>
      <c r="L54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Monthly'!$C54)</f>
        <v>0</v>
      </c>
    </row>
    <row r="55" spans="1:12" x14ac:dyDescent="0.3">
      <c r="A55" t="str">
        <f t="shared" si="2"/>
        <v>No</v>
      </c>
      <c r="B55" s="21" t="str">
        <f>VLOOKUP(C55, 'Items Master'!E:F,2,0)</f>
        <v>Import</v>
      </c>
      <c r="C55" s="21" t="s">
        <v>1270</v>
      </c>
      <c r="D55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Monthly'!$C55)</f>
        <v>0</v>
      </c>
      <c r="E55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Monthly'!$C55)</f>
        <v>0</v>
      </c>
      <c r="F55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Monthly'!$C55)</f>
        <v>0</v>
      </c>
      <c r="G55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Monthly'!$C55)</f>
        <v>0</v>
      </c>
      <c r="H55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Monthly'!$C55)</f>
        <v>0</v>
      </c>
      <c r="I55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Monthly'!$C55)</f>
        <v>0</v>
      </c>
      <c r="J55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Monthly'!$C55)</f>
        <v>0</v>
      </c>
      <c r="K55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Monthly'!$C55)</f>
        <v>0</v>
      </c>
      <c r="L55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Monthly'!$C55)</f>
        <v>0</v>
      </c>
    </row>
    <row r="56" spans="1:12" x14ac:dyDescent="0.3">
      <c r="A56" t="str">
        <f t="shared" si="2"/>
        <v>No</v>
      </c>
      <c r="B56" s="21" t="str">
        <f>VLOOKUP(C56, 'Items Master'!E:F,2,0)</f>
        <v>Import</v>
      </c>
      <c r="C56" s="21" t="s">
        <v>1274</v>
      </c>
      <c r="D56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Monthly'!$C56)</f>
        <v>0</v>
      </c>
      <c r="E56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Monthly'!$C56)</f>
        <v>0</v>
      </c>
      <c r="F56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Monthly'!$C56)</f>
        <v>0</v>
      </c>
      <c r="G56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Monthly'!$C56)</f>
        <v>0</v>
      </c>
      <c r="H56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Monthly'!$C56)</f>
        <v>0</v>
      </c>
      <c r="I56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Monthly'!$C56)</f>
        <v>0</v>
      </c>
      <c r="J56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Monthly'!$C56)</f>
        <v>0</v>
      </c>
      <c r="K56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Monthly'!$C56)</f>
        <v>0</v>
      </c>
      <c r="L56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Monthly'!$C56)</f>
        <v>0</v>
      </c>
    </row>
    <row r="57" spans="1:12" x14ac:dyDescent="0.3">
      <c r="A57" t="str">
        <f t="shared" si="2"/>
        <v>No</v>
      </c>
      <c r="B57" s="21" t="str">
        <f>VLOOKUP(C57, 'Items Master'!E:F,2,0)</f>
        <v>Import</v>
      </c>
      <c r="C57" s="21" t="s">
        <v>1278</v>
      </c>
      <c r="D57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Monthly'!$C57)</f>
        <v>0</v>
      </c>
      <c r="E57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Monthly'!$C57)</f>
        <v>0</v>
      </c>
      <c r="F57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Monthly'!$C57)</f>
        <v>0</v>
      </c>
      <c r="G57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Monthly'!$C57)</f>
        <v>0</v>
      </c>
      <c r="H57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Monthly'!$C57)</f>
        <v>0</v>
      </c>
      <c r="I57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Monthly'!$C57)</f>
        <v>0</v>
      </c>
      <c r="J57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Monthly'!$C57)</f>
        <v>0</v>
      </c>
      <c r="K57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Monthly'!$C57)</f>
        <v>0</v>
      </c>
      <c r="L57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Monthly'!$C57)</f>
        <v>0</v>
      </c>
    </row>
    <row r="58" spans="1:12" x14ac:dyDescent="0.3">
      <c r="A58" t="str">
        <f t="shared" si="2"/>
        <v>No</v>
      </c>
      <c r="B58" s="21" t="str">
        <f>VLOOKUP(C58, 'Items Master'!E:F,2,0)</f>
        <v>Import</v>
      </c>
      <c r="C58" s="21" t="s">
        <v>1280</v>
      </c>
      <c r="D58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Monthly'!$C58)</f>
        <v>0</v>
      </c>
      <c r="E58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Monthly'!$C58)</f>
        <v>0</v>
      </c>
      <c r="F58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Monthly'!$C58)</f>
        <v>0</v>
      </c>
      <c r="G58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Monthly'!$C58)</f>
        <v>0</v>
      </c>
      <c r="H58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Monthly'!$C58)</f>
        <v>0</v>
      </c>
      <c r="I58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Monthly'!$C58)</f>
        <v>0</v>
      </c>
      <c r="J58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Monthly'!$C58)</f>
        <v>0</v>
      </c>
      <c r="K58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Monthly'!$C58)</f>
        <v>0</v>
      </c>
      <c r="L58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Monthly'!$C58)</f>
        <v>0</v>
      </c>
    </row>
    <row r="59" spans="1:12" x14ac:dyDescent="0.3">
      <c r="A59" t="str">
        <f t="shared" si="2"/>
        <v>No</v>
      </c>
      <c r="B59" s="21" t="str">
        <f>VLOOKUP(C59, 'Items Master'!E:F,2,0)</f>
        <v>Import</v>
      </c>
      <c r="C59" s="21" t="s">
        <v>1281</v>
      </c>
      <c r="D59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Monthly'!$C59)</f>
        <v>0</v>
      </c>
      <c r="E59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Monthly'!$C59)</f>
        <v>0</v>
      </c>
      <c r="F59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Monthly'!$C59)</f>
        <v>0</v>
      </c>
      <c r="G59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Monthly'!$C59)</f>
        <v>0</v>
      </c>
      <c r="H59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Monthly'!$C59)</f>
        <v>0</v>
      </c>
      <c r="I59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Monthly'!$C59)</f>
        <v>0</v>
      </c>
      <c r="J59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Monthly'!$C59)</f>
        <v>0</v>
      </c>
      <c r="K59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Monthly'!$C59)</f>
        <v>0</v>
      </c>
      <c r="L59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Monthly'!$C59)</f>
        <v>0</v>
      </c>
    </row>
    <row r="60" spans="1:12" x14ac:dyDescent="0.3">
      <c r="A60" t="str">
        <f t="shared" si="2"/>
        <v>No</v>
      </c>
      <c r="B60" s="21" t="str">
        <f>VLOOKUP(C60, 'Items Master'!E:F,2,0)</f>
        <v>Import</v>
      </c>
      <c r="C60" s="21" t="s">
        <v>41</v>
      </c>
      <c r="D60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Monthly'!$C60)</f>
        <v>0</v>
      </c>
      <c r="E60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Monthly'!$C60)</f>
        <v>0</v>
      </c>
      <c r="F60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Monthly'!$C60)</f>
        <v>0</v>
      </c>
      <c r="G60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Monthly'!$C60)</f>
        <v>0</v>
      </c>
      <c r="H60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Monthly'!$C60)</f>
        <v>0</v>
      </c>
      <c r="I60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Monthly'!$C60)</f>
        <v>0</v>
      </c>
      <c r="J60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Monthly'!$C60)</f>
        <v>0</v>
      </c>
      <c r="K60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Monthly'!$C60)</f>
        <v>0</v>
      </c>
      <c r="L60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Monthly'!$C60)</f>
        <v>0</v>
      </c>
    </row>
    <row r="61" spans="1:12" x14ac:dyDescent="0.3">
      <c r="A61" t="str">
        <f t="shared" si="2"/>
        <v>No</v>
      </c>
      <c r="B61" s="21" t="str">
        <f>VLOOKUP(C61, 'Items Master'!E:F,2,0)</f>
        <v>Domestic</v>
      </c>
      <c r="C61" s="21" t="s">
        <v>1283</v>
      </c>
      <c r="D61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Monthly'!$C61)</f>
        <v>0</v>
      </c>
      <c r="E61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Monthly'!$C61)</f>
        <v>0</v>
      </c>
      <c r="F61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Monthly'!$C61)</f>
        <v>0</v>
      </c>
      <c r="G61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Monthly'!$C61)</f>
        <v>0</v>
      </c>
      <c r="H61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Monthly'!$C61)</f>
        <v>0</v>
      </c>
      <c r="I61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Monthly'!$C61)</f>
        <v>0</v>
      </c>
      <c r="J61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Monthly'!$C61)</f>
        <v>0</v>
      </c>
      <c r="K61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Monthly'!$C61)</f>
        <v>0</v>
      </c>
      <c r="L61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Monthly'!$C61)</f>
        <v>0</v>
      </c>
    </row>
    <row r="62" spans="1:12" x14ac:dyDescent="0.3">
      <c r="A62" t="str">
        <f t="shared" si="2"/>
        <v>No</v>
      </c>
      <c r="B62" s="21" t="str">
        <f>VLOOKUP(C62, 'Items Master'!E:F,2,0)</f>
        <v>Import</v>
      </c>
      <c r="C62" s="21" t="s">
        <v>1285</v>
      </c>
      <c r="D62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Monthly'!$C62)</f>
        <v>0</v>
      </c>
      <c r="E62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Monthly'!$C62)</f>
        <v>0</v>
      </c>
      <c r="F62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Monthly'!$C62)</f>
        <v>0</v>
      </c>
      <c r="G62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Monthly'!$C62)</f>
        <v>0</v>
      </c>
      <c r="H62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Monthly'!$C62)</f>
        <v>0</v>
      </c>
      <c r="I62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Monthly'!$C62)</f>
        <v>0</v>
      </c>
      <c r="J62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Monthly'!$C62)</f>
        <v>0</v>
      </c>
      <c r="K62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Monthly'!$C62)</f>
        <v>0</v>
      </c>
      <c r="L62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Monthly'!$C62)</f>
        <v>0</v>
      </c>
    </row>
    <row r="63" spans="1:12" x14ac:dyDescent="0.3">
      <c r="A63" t="str">
        <f t="shared" si="2"/>
        <v>No</v>
      </c>
      <c r="B63" s="21" t="str">
        <f>VLOOKUP(C63, 'Items Master'!E:F,2,0)</f>
        <v>Import</v>
      </c>
      <c r="C63" s="21" t="s">
        <v>1286</v>
      </c>
      <c r="D63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Monthly'!$C63)</f>
        <v>0</v>
      </c>
      <c r="E63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Monthly'!$C63)</f>
        <v>0</v>
      </c>
      <c r="F63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Monthly'!$C63)</f>
        <v>0</v>
      </c>
      <c r="G63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Monthly'!$C63)</f>
        <v>0</v>
      </c>
      <c r="H63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Monthly'!$C63)</f>
        <v>0</v>
      </c>
      <c r="I63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Monthly'!$C63)</f>
        <v>0</v>
      </c>
      <c r="J63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Monthly'!$C63)</f>
        <v>0</v>
      </c>
      <c r="K63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Monthly'!$C63)</f>
        <v>0</v>
      </c>
      <c r="L63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Monthly'!$C63)</f>
        <v>0</v>
      </c>
    </row>
    <row r="64" spans="1:12" x14ac:dyDescent="0.3">
      <c r="A64" t="str">
        <f t="shared" si="2"/>
        <v>No</v>
      </c>
      <c r="B64" s="21" t="str">
        <f>VLOOKUP(C64, 'Items Master'!E:F,2,0)</f>
        <v>Import</v>
      </c>
      <c r="C64" s="21" t="s">
        <v>1287</v>
      </c>
      <c r="D64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Monthly'!$C64)</f>
        <v>0</v>
      </c>
      <c r="E64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Monthly'!$C64)</f>
        <v>0</v>
      </c>
      <c r="F64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Monthly'!$C64)</f>
        <v>0</v>
      </c>
      <c r="G64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Monthly'!$C64)</f>
        <v>0</v>
      </c>
      <c r="H64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Monthly'!$C64)</f>
        <v>0</v>
      </c>
      <c r="I64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Monthly'!$C64)</f>
        <v>0</v>
      </c>
      <c r="J64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Monthly'!$C64)</f>
        <v>0</v>
      </c>
      <c r="K64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Monthly'!$C64)</f>
        <v>0</v>
      </c>
      <c r="L64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Monthly'!$C64)</f>
        <v>0</v>
      </c>
    </row>
    <row r="65" spans="1:12" x14ac:dyDescent="0.3">
      <c r="A65" t="str">
        <f t="shared" si="2"/>
        <v>No</v>
      </c>
      <c r="B65" s="21" t="str">
        <f>VLOOKUP(C65, 'Items Master'!E:F,2,0)</f>
        <v>Import</v>
      </c>
      <c r="C65" s="21" t="s">
        <v>1288</v>
      </c>
      <c r="D65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Monthly'!$C65)</f>
        <v>0</v>
      </c>
      <c r="E65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Monthly'!$C65)</f>
        <v>0</v>
      </c>
      <c r="F65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Monthly'!$C65)</f>
        <v>0</v>
      </c>
      <c r="G65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Monthly'!$C65)</f>
        <v>0</v>
      </c>
      <c r="H65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Monthly'!$C65)</f>
        <v>0</v>
      </c>
      <c r="I65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Monthly'!$C65)</f>
        <v>0</v>
      </c>
      <c r="J65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Monthly'!$C65)</f>
        <v>0</v>
      </c>
      <c r="K65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Monthly'!$C65)</f>
        <v>0</v>
      </c>
      <c r="L65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Monthly'!$C65)</f>
        <v>0</v>
      </c>
    </row>
    <row r="66" spans="1:12" x14ac:dyDescent="0.3">
      <c r="A66" t="str">
        <f t="shared" si="2"/>
        <v>No</v>
      </c>
      <c r="B66" s="21" t="str">
        <f>VLOOKUP(C66, 'Items Master'!E:F,2,0)</f>
        <v>Import</v>
      </c>
      <c r="C66" s="21" t="s">
        <v>1291</v>
      </c>
      <c r="D66" s="39">
        <f>SUMIFS('&lt;&lt; Working &gt;&gt;'!$J:$J, '&lt;&lt; Working &gt;&gt;'!$E:$E, 'All Suppliers Monthly'!D$6, '&lt;&lt; Working &gt;&gt;'!$R:$R, 'All Suppliers Monthly'!$C$1, '&lt;&lt; Working &gt;&gt;'!$N:$N, 'All Suppliers Monthly'!$C$2, '&lt;&lt; Working &gt;&gt;'!$L:$L, 'All Suppliers Monthly'!$C66)</f>
        <v>0</v>
      </c>
      <c r="E66" s="39">
        <f>SUMIFS('&lt;&lt; Working &gt;&gt;'!$J:$J, '&lt;&lt; Working &gt;&gt;'!$E:$E, 'All Suppliers Monthly'!E$6, '&lt;&lt; Working &gt;&gt;'!$R:$R, 'All Suppliers Monthly'!$C$1, '&lt;&lt; Working &gt;&gt;'!$N:$N, 'All Suppliers Monthly'!$C$2, '&lt;&lt; Working &gt;&gt;'!$L:$L, 'All Suppliers Monthly'!$C66)</f>
        <v>0</v>
      </c>
      <c r="F66" s="39">
        <f>SUMIFS('&lt;&lt; Working &gt;&gt;'!$J:$J, '&lt;&lt; Working &gt;&gt;'!$E:$E, 'All Suppliers Monthly'!F$6, '&lt;&lt; Working &gt;&gt;'!$R:$R, 'All Suppliers Monthly'!$C$1, '&lt;&lt; Working &gt;&gt;'!$N:$N, 'All Suppliers Monthly'!$C$2, '&lt;&lt; Working &gt;&gt;'!$L:$L, 'All Suppliers Monthly'!$C66)</f>
        <v>0</v>
      </c>
      <c r="G66" s="39">
        <f>SUMIFS('&lt;&lt; Working &gt;&gt;'!$J:$J, '&lt;&lt; Working &gt;&gt;'!$E:$E, 'All Suppliers Monthly'!G$6, '&lt;&lt; Working &gt;&gt;'!$R:$R, 'All Suppliers Monthly'!$C$1, '&lt;&lt; Working &gt;&gt;'!$N:$N, 'All Suppliers Monthly'!$C$2, '&lt;&lt; Working &gt;&gt;'!$L:$L, 'All Suppliers Monthly'!$C66)</f>
        <v>0</v>
      </c>
      <c r="H66" s="39">
        <f>SUMIFS('&lt;&lt; Working &gt;&gt;'!$J:$J, '&lt;&lt; Working &gt;&gt;'!$E:$E, 'All Suppliers Monthly'!H$6, '&lt;&lt; Working &gt;&gt;'!$R:$R, 'All Suppliers Monthly'!$C$1, '&lt;&lt; Working &gt;&gt;'!$N:$N, 'All Suppliers Monthly'!$C$2, '&lt;&lt; Working &gt;&gt;'!$L:$L, 'All Suppliers Monthly'!$C66)</f>
        <v>0</v>
      </c>
      <c r="I66" s="39">
        <f>SUMIFS('&lt;&lt; Working &gt;&gt;'!$J:$J, '&lt;&lt; Working &gt;&gt;'!$E:$E, 'All Suppliers Monthly'!I$6, '&lt;&lt; Working &gt;&gt;'!$R:$R, 'All Suppliers Monthly'!$C$1, '&lt;&lt; Working &gt;&gt;'!$N:$N, 'All Suppliers Monthly'!$C$2, '&lt;&lt; Working &gt;&gt;'!$L:$L, 'All Suppliers Monthly'!$C66)</f>
        <v>0</v>
      </c>
      <c r="J66" s="39">
        <f>SUMIFS('&lt;&lt; Working &gt;&gt;'!$J:$J, '&lt;&lt; Working &gt;&gt;'!$E:$E, 'All Suppliers Monthly'!J$6, '&lt;&lt; Working &gt;&gt;'!$R:$R, 'All Suppliers Monthly'!$C$1, '&lt;&lt; Working &gt;&gt;'!$N:$N, 'All Suppliers Monthly'!$C$2, '&lt;&lt; Working &gt;&gt;'!$L:$L, 'All Suppliers Monthly'!$C66)</f>
        <v>0</v>
      </c>
      <c r="K66" s="39">
        <f>SUMIFS('&lt;&lt; Working &gt;&gt;'!$J:$J, '&lt;&lt; Working &gt;&gt;'!$E:$E, 'All Suppliers Monthly'!K$6, '&lt;&lt; Working &gt;&gt;'!$R:$R, 'All Suppliers Monthly'!$C$1, '&lt;&lt; Working &gt;&gt;'!$N:$N, 'All Suppliers Monthly'!$C$2, '&lt;&lt; Working &gt;&gt;'!$L:$L, 'All Suppliers Monthly'!$C66)</f>
        <v>0</v>
      </c>
      <c r="L66" s="39">
        <f>SUMIFS('&lt;&lt; Working &gt;&gt;'!$J:$J, '&lt;&lt; Working &gt;&gt;'!$E:$E, 'All Suppliers Monthly'!L$6, '&lt;&lt; Working &gt;&gt;'!$R:$R, 'All Suppliers Monthly'!$C$1, '&lt;&lt; Working &gt;&gt;'!$N:$N, 'All Suppliers Monthly'!$C$2, '&lt;&lt; Working &gt;&gt;'!$L:$L, 'All Suppliers Monthly'!$C66)</f>
        <v>0</v>
      </c>
    </row>
  </sheetData>
  <autoFilter ref="A6:M66" xr:uid="{E7176D1D-3FCC-4245-9F8C-7722E96077A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1518DC-1D81-40A3-A45F-5526102B074A}">
          <x14:formula1>
            <xm:f>Dropdown!$C$2:$C$13</xm:f>
          </x14:formula1>
          <xm:sqref>C1</xm:sqref>
        </x14:dataValidation>
        <x14:dataValidation type="list" allowBlank="1" showInputMessage="1" showErrorMessage="1" xr:uid="{4AD9DE99-318F-46DD-953E-1AD69F9632C6}">
          <x14:formula1>
            <xm:f>Dropdown!$D$2:$D$4</xm:f>
          </x14:formula1>
          <xm:sqref>C2:C4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Dropdown</vt:lpstr>
      <vt:lpstr>Items Master</vt:lpstr>
      <vt:lpstr>As per Zoho</vt:lpstr>
      <vt:lpstr>Master Check</vt:lpstr>
      <vt:lpstr>&lt;&lt; Working &gt;&gt;</vt:lpstr>
      <vt:lpstr>Supplier Wise Monthly</vt:lpstr>
      <vt:lpstr>Supplier Wise Yearly</vt:lpstr>
      <vt:lpstr>All Suppliers 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Choudhary</dc:creator>
  <cp:lastModifiedBy>Pankaj Choudhary</cp:lastModifiedBy>
  <dcterms:created xsi:type="dcterms:W3CDTF">2015-06-05T18:17:20Z</dcterms:created>
  <dcterms:modified xsi:type="dcterms:W3CDTF">2025-11-25T11:04:48Z</dcterms:modified>
</cp:coreProperties>
</file>